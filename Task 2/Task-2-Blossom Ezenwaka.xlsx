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 firstSheet="3" activeTab="5"/>
  </bookViews>
  <sheets>
    <sheet name="Raw Data" sheetId="7" r:id="rId1"/>
    <sheet name="Cleaned Sheet" sheetId="1" r:id="rId2"/>
    <sheet name="Outlier Check" sheetId="11" r:id="rId3"/>
    <sheet name="Descriptive Statistics" sheetId="8" r:id="rId4"/>
    <sheet name="Pivot Tables" sheetId="9" r:id="rId5"/>
    <sheet name="Main Dashboard" sheetId="13" r:id="rId6"/>
    <sheet name="Summary" sheetId="14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<sst xmlns="http://schemas.openxmlformats.org/spreadsheetml/2006/main" count="32420" uniqueCount="4453">
  <si>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</si>
  <si>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</si>
  <si>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</si>
  <si>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</si>
  <si>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</si>
  <si>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</si>
  <si>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</si>
  <si>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</si>
  <si>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</si>
  <si>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</si>
  <si>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</si>
  <si>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</si>
  <si>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</si>
  <si>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</si>
  <si>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</si>
  <si>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</si>
  <si>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</si>
  <si>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</si>
  <si>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</si>
  <si>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</si>
  <si>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</si>
  <si>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</si>
  <si>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</si>
  <si>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</si>
  <si>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</si>
  <si>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</si>
  <si>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</si>
  <si>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</si>
  <si>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</si>
  <si>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</si>
  <si>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</si>
  <si>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</si>
  <si>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</si>
  <si>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</si>
  <si>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</si>
  <si>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</si>
  <si>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</si>
  <si>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</si>
  <si>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</si>
  <si>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</si>
  <si>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</si>
  <si>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</si>
  <si>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</si>
  <si>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</si>
  <si>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</si>
  <si>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</si>
  <si>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</si>
  <si>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</si>
  <si>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</si>
  <si>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</si>
  <si>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</si>
  <si>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</si>
  <si>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</si>
  <si>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</si>
  <si>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</si>
  <si>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</si>
  <si>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</si>
  <si>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</si>
  <si>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</si>
  <si>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</si>
  <si>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</si>
  <si>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</si>
  <si>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</si>
  <si>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</si>
  <si>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</si>
  <si>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</si>
  <si>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</si>
  <si>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</si>
  <si>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</si>
  <si>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</si>
  <si>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</si>
  <si>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</si>
  <si>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</si>
  <si>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</si>
  <si>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</si>
  <si>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</si>
  <si>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</si>
  <si>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</si>
  <si>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</si>
  <si>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</si>
  <si>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</si>
  <si>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</si>
  <si>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</si>
  <si>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</si>
  <si>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</si>
  <si>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</si>
  <si>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</si>
  <si>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</si>
  <si>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</si>
  <si>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</si>
  <si>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</si>
  <si>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</si>
  <si>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</si>
  <si>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</si>
  <si>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</si>
  <si>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</si>
  <si>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</si>
  <si>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</si>
  <si>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</si>
  <si>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</si>
  <si>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</si>
  <si>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</si>
  <si>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</si>
  <si>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</si>
  <si>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</si>
  <si>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</si>
  <si>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</si>
  <si>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</si>
  <si>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</si>
  <si>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</si>
  <si>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</si>
  <si>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</si>
  <si>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</si>
  <si>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</si>
  <si>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</si>
  <si>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</si>
  <si>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</si>
  <si>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</si>
  <si>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</si>
  <si>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</si>
  <si>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</si>
  <si>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</si>
  <si>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</si>
  <si>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</si>
  <si>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</si>
  <si>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</si>
  <si>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</si>
  <si>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</si>
  <si>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</si>
  <si>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</si>
  <si>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</si>
  <si>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</si>
  <si>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</si>
  <si>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</si>
  <si>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</si>
  <si>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</si>
  <si>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</si>
  <si>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</si>
  <si>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</si>
  <si>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</si>
  <si>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</si>
  <si>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</si>
  <si>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</si>
  <si>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</si>
  <si>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</si>
  <si>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</si>
  <si>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</si>
  <si>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</si>
  <si>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</si>
  <si>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</si>
  <si>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</si>
  <si>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</si>
  <si>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</si>
  <si>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</si>
  <si>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</si>
  <si>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</si>
  <si>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</si>
  <si>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</si>
  <si>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</si>
  <si>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</si>
  <si>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</si>
  <si>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</si>
  <si>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</si>
  <si>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</si>
  <si>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</si>
  <si>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</si>
  <si>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</si>
  <si>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</si>
  <si>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</si>
  <si>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</si>
  <si>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</si>
  <si>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</si>
  <si>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</si>
  <si>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</si>
  <si>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</si>
  <si>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</si>
  <si>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</si>
  <si>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</si>
  <si>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</si>
  <si>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</si>
  <si>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</si>
  <si>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</si>
  <si>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</si>
  <si>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</si>
  <si>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</si>
  <si>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</si>
  <si>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</si>
  <si>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</si>
  <si>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</si>
  <si>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</si>
  <si>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</si>
  <si>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</si>
  <si>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</si>
  <si>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</si>
  <si>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</si>
  <si>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</si>
  <si>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</si>
  <si>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</si>
  <si>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</si>
  <si>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</si>
  <si>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</si>
  <si>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</si>
  <si>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</si>
  <si>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</si>
  <si>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</si>
  <si>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</si>
  <si>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</si>
  <si>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</si>
  <si>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</si>
  <si>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</si>
  <si>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</si>
  <si>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</si>
  <si>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</si>
  <si>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</si>
  <si>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</si>
  <si>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</si>
  <si>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</si>
  <si>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</si>
  <si>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</si>
  <si>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</si>
  <si>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</si>
  <si>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</si>
  <si>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</si>
  <si>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</si>
  <si>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</si>
  <si>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</si>
  <si>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</si>
  <si>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</si>
  <si>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</si>
  <si>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</si>
  <si>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</si>
  <si>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</si>
  <si>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</si>
  <si>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</si>
  <si>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</si>
  <si>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</si>
  <si>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</si>
  <si>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</si>
  <si>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</si>
  <si>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</si>
  <si>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</si>
  <si>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</si>
  <si>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</si>
  <si>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</si>
  <si>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</si>
  <si>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</si>
  <si>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</si>
  <si>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</si>
  <si>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</si>
  <si>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</si>
  <si>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</si>
  <si>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</si>
  <si>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</si>
  <si>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</si>
  <si>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</si>
  <si>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</si>
  <si>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</si>
  <si>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</si>
  <si>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</si>
  <si>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</si>
  <si>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</si>
  <si>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</si>
  <si>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</si>
  <si>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</si>
  <si>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</si>
  <si>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</si>
  <si>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</si>
  <si>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</si>
  <si>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</si>
  <si>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</si>
  <si>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</si>
  <si>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</si>
  <si>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</si>
  <si>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</si>
  <si>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</si>
  <si>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</si>
  <si>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</si>
  <si>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</si>
  <si>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</si>
  <si>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</si>
  <si>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</si>
  <si>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</si>
  <si>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</si>
  <si>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</si>
  <si>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</si>
  <si>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</si>
  <si>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</si>
  <si>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</si>
  <si>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</si>
  <si>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</si>
  <si>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</si>
  <si>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</si>
  <si>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</si>
  <si>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</si>
  <si>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</si>
  <si>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</si>
  <si>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</si>
  <si>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</si>
  <si>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</si>
  <si>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</si>
  <si>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</si>
  <si>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</si>
  <si>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</si>
  <si>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</si>
  <si>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</si>
  <si>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</si>
  <si>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</si>
  <si>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</si>
  <si>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</si>
  <si>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</si>
  <si>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</si>
  <si>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</si>
  <si>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</si>
  <si>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</si>
  <si>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</si>
  <si>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</si>
  <si>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</si>
  <si>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</si>
  <si>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</si>
  <si>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</si>
  <si>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</si>
  <si>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</si>
  <si>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</si>
  <si>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</si>
  <si>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</si>
  <si>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</si>
  <si>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</si>
  <si>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</si>
  <si>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</si>
  <si>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</si>
  <si>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</si>
  <si>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</si>
  <si>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</si>
  <si>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</si>
  <si>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</si>
  <si>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</si>
  <si>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</si>
  <si>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</si>
  <si>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</si>
  <si>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</si>
  <si>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</si>
  <si>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</si>
  <si>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</si>
  <si>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</si>
  <si>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</si>
  <si>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</si>
  <si>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</si>
  <si>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</si>
  <si>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</si>
  <si>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</si>
  <si>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</si>
  <si>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</si>
  <si>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</si>
  <si>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</si>
  <si>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</si>
  <si>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</si>
  <si>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</si>
  <si>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</si>
  <si>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</si>
  <si>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</si>
  <si>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</si>
  <si>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</si>
  <si>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</si>
  <si>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</si>
  <si>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</si>
  <si>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</si>
  <si>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</si>
  <si>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</si>
  <si>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</si>
  <si>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</si>
  <si>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</si>
  <si>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</si>
  <si>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</si>
  <si>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</si>
  <si>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</si>
  <si>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</si>
  <si>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</si>
  <si>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</si>
  <si>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</si>
  <si>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</si>
  <si>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</si>
  <si>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</si>
  <si>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</si>
  <si>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</si>
  <si>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</si>
  <si>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</si>
  <si>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</si>
  <si>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</si>
  <si>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</si>
  <si>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</si>
  <si>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</si>
  <si>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</si>
  <si>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</si>
  <si>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</si>
  <si>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</si>
  <si>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</si>
  <si>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</si>
  <si>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</si>
  <si>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</si>
  <si>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</si>
  <si>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</si>
  <si>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</si>
  <si>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</si>
  <si>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</si>
  <si>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</si>
  <si>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</si>
  <si>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</si>
  <si>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</si>
  <si>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</si>
  <si>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</si>
  <si>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</si>
  <si>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</si>
  <si>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</si>
  <si>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</si>
  <si>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</si>
  <si>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</si>
  <si>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</si>
  <si>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</si>
  <si>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</si>
  <si>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</si>
  <si>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</si>
  <si>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</si>
  <si>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</si>
  <si>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</si>
  <si>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</si>
  <si>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</si>
  <si>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</si>
  <si>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</si>
  <si>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</si>
  <si>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</si>
  <si>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</si>
  <si>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</si>
  <si>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</si>
  <si>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</si>
  <si>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</si>
  <si>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</si>
  <si>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</si>
  <si>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</si>
  <si>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</si>
  <si>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</si>
  <si>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</si>
  <si>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</si>
  <si>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</si>
  <si>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</si>
  <si>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</si>
  <si>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</si>
  <si>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</si>
  <si>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</si>
  <si>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</si>
  <si>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</si>
  <si>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</si>
  <si>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</si>
  <si>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</si>
  <si>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</si>
  <si>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</si>
  <si>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</si>
  <si>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</si>
  <si>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</si>
  <si>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</si>
  <si>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</si>
  <si>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</si>
  <si>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</si>
  <si>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</si>
  <si>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</si>
  <si>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</si>
  <si>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</si>
  <si>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</si>
  <si>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</si>
  <si>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</si>
  <si>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</si>
  <si>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</si>
  <si>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</si>
  <si>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</si>
  <si>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</si>
  <si>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</si>
  <si>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</si>
  <si>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</si>
  <si>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</si>
  <si>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</si>
  <si>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</si>
  <si>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</si>
  <si>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</si>
  <si>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</si>
  <si>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</si>
  <si>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</si>
  <si>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</si>
  <si>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</si>
  <si>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</si>
  <si>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</si>
  <si>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</si>
  <si>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</si>
  <si>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</si>
  <si>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</si>
  <si>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</si>
  <si>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</si>
  <si>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</si>
  <si>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</si>
  <si>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</si>
  <si>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</si>
  <si>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</si>
  <si>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</si>
  <si>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</si>
  <si>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</si>
  <si>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</si>
  <si>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</si>
  <si>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</si>
  <si>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</si>
  <si>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</si>
  <si>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</si>
  <si>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</si>
  <si>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</si>
  <si>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</si>
  <si>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</si>
  <si>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</si>
  <si>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</si>
  <si>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</si>
  <si>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</si>
  <si>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</si>
  <si>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</si>
  <si>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</si>
  <si>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</si>
  <si>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</si>
  <si>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</si>
  <si>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</si>
  <si>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</si>
  <si>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</si>
  <si>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</si>
  <si>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</si>
  <si>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</si>
  <si>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</si>
  <si>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</si>
  <si>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</si>
  <si>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</si>
  <si>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</si>
  <si>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</si>
  <si>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</si>
  <si>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</si>
  <si>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</si>
  <si>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</si>
  <si>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</si>
  <si>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</si>
  <si>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</si>
  <si>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</si>
  <si>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</si>
  <si>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</si>
  <si>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</si>
  <si>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</si>
  <si>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</si>
  <si>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</si>
  <si>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</si>
  <si>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</si>
  <si>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</si>
  <si>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</si>
  <si>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</si>
  <si>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</si>
  <si>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</si>
  <si>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</si>
  <si>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</si>
  <si>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</si>
  <si>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</si>
  <si>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</si>
  <si>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</si>
  <si>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</si>
  <si>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</si>
  <si>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</si>
  <si>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</si>
  <si>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</si>
  <si>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</si>
  <si>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</si>
  <si>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</si>
  <si>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</si>
  <si>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</si>
  <si>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</si>
  <si>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</si>
  <si>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</si>
  <si>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</si>
  <si>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</si>
  <si>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</si>
  <si>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</si>
  <si>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</si>
  <si>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</si>
  <si>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</si>
  <si>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</si>
  <si>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</si>
  <si>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</si>
  <si>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</si>
  <si>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</si>
  <si>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</si>
  <si>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</si>
  <si>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</si>
  <si>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</si>
  <si>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</si>
  <si>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</si>
  <si>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</si>
  <si>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</si>
  <si>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</si>
  <si>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</si>
  <si>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</si>
  <si>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</si>
  <si>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</si>
  <si>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</si>
  <si>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</si>
  <si>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</si>
  <si>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</si>
  <si>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</si>
  <si>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</si>
  <si>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</si>
  <si>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</si>
  <si>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</si>
  <si>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</si>
  <si>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</si>
  <si>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</si>
  <si>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</si>
  <si>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</si>
  <si>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</si>
  <si>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</si>
  <si>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</si>
  <si>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</si>
  <si>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</si>
  <si>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</si>
  <si>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</si>
  <si>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</si>
  <si>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</si>
  <si>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</si>
  <si>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</si>
  <si>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</si>
  <si>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</si>
  <si>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</si>
  <si>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</si>
  <si>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</si>
  <si>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</si>
  <si>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</si>
  <si>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</si>
  <si>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</si>
  <si>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</si>
  <si>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</si>
  <si>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</si>
  <si>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</si>
  <si>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</si>
  <si>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</si>
  <si>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</si>
  <si>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</si>
  <si>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</si>
  <si>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</si>
  <si>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</si>
  <si>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</si>
  <si>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</si>
  <si>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</si>
  <si>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</si>
  <si>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</si>
  <si>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</si>
  <si>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</si>
  <si>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</si>
  <si>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</si>
  <si>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</si>
  <si>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</si>
  <si>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</si>
  <si>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</si>
  <si>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</si>
  <si>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</si>
  <si>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</si>
  <si>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</si>
  <si>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</si>
  <si>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</si>
  <si>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</si>
  <si>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</si>
  <si>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</si>
  <si>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</si>
  <si>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</si>
  <si>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</si>
  <si>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</si>
  <si>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</si>
  <si>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</si>
  <si>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</si>
  <si>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</si>
  <si>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</si>
  <si>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</si>
  <si>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</si>
  <si>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</si>
  <si>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</si>
  <si>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</si>
  <si>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</si>
  <si>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</si>
  <si>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</si>
  <si>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</si>
  <si>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</si>
  <si>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</si>
  <si>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</si>
  <si>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</si>
  <si>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</si>
  <si>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</si>
  <si>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</si>
  <si>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</si>
  <si>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</si>
  <si>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</si>
  <si>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</si>
  <si>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</si>
  <si>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</si>
  <si>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</si>
  <si>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</si>
  <si>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</si>
  <si>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</si>
  <si>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</si>
  <si>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</si>
  <si>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</si>
  <si>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</si>
  <si>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</si>
  <si>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</si>
  <si>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</si>
  <si>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</si>
  <si>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</si>
  <si>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</si>
  <si>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</si>
  <si>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</si>
  <si>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</si>
  <si>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</si>
  <si>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</si>
  <si>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</si>
  <si>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</si>
  <si>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</si>
  <si>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</si>
  <si>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</si>
  <si>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</si>
  <si>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</si>
  <si>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</si>
  <si>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</si>
  <si>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</si>
  <si>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</si>
  <si>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</si>
  <si>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</si>
  <si>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</si>
  <si>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</si>
  <si>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</si>
  <si>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</si>
  <si>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</si>
  <si>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</si>
  <si>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</si>
  <si>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</si>
  <si>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</si>
  <si>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</si>
  <si>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</si>
  <si>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</si>
  <si>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</si>
  <si>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</si>
  <si>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</si>
  <si>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</si>
  <si>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</si>
  <si>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</si>
  <si>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</si>
  <si>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</si>
  <si>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</si>
  <si>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</si>
  <si>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</si>
  <si>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</si>
  <si>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</si>
  <si>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</si>
  <si>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</si>
  <si>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</si>
  <si>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</si>
  <si>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</si>
  <si>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</si>
  <si>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</si>
  <si>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</si>
  <si>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</si>
  <si>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</si>
  <si>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</si>
  <si>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</si>
  <si>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</si>
  <si>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</si>
  <si>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</si>
  <si>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</si>
  <si>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</si>
  <si>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</si>
  <si>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</si>
  <si>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</si>
  <si>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</si>
  <si>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</si>
  <si>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</si>
  <si>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</si>
  <si>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</si>
  <si>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</si>
  <si>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</si>
  <si>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</si>
  <si>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</si>
  <si>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</si>
  <si>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</si>
  <si>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</si>
  <si>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</si>
  <si>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</si>
  <si>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</si>
  <si>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</si>
  <si>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</si>
  <si>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</si>
  <si>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</si>
  <si>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</si>
  <si>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</si>
  <si>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</si>
  <si>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</si>
  <si>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</si>
  <si>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</si>
  <si>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</si>
  <si>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</si>
  <si>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</si>
  <si>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</si>
  <si>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</si>
  <si>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</si>
  <si>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</si>
  <si>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</si>
  <si>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</si>
  <si>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</si>
  <si>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</si>
  <si>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</si>
  <si>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</si>
  <si>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</si>
  <si>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</si>
  <si>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</si>
  <si>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</si>
  <si>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</si>
  <si>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</si>
  <si>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</si>
  <si>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</si>
  <si>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</si>
  <si>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</si>
  <si>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</si>
  <si>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</si>
  <si>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</si>
  <si>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</si>
  <si>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</si>
  <si>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</si>
  <si>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</si>
  <si>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</si>
  <si>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</si>
  <si>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</si>
  <si>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</si>
  <si>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</si>
  <si>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</si>
  <si>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</si>
  <si>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</si>
  <si>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</si>
  <si>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</si>
  <si>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</si>
  <si>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</si>
  <si>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</si>
  <si>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</si>
  <si>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</si>
  <si>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</si>
  <si>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</si>
  <si>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</si>
  <si>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</si>
  <si>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</si>
  <si>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</si>
  <si>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</si>
  <si>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</si>
  <si>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</si>
  <si>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</si>
  <si>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</si>
  <si>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</si>
  <si>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</si>
  <si>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</si>
  <si>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</si>
  <si>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</si>
  <si>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</si>
  <si>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</si>
  <si>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</si>
  <si>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</si>
  <si>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</si>
  <si>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</si>
  <si>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</si>
  <si>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</si>
  <si>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</si>
  <si>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</si>
  <si>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</si>
  <si>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</si>
  <si>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</si>
  <si>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</si>
  <si>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</si>
  <si>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</si>
  <si>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</si>
  <si>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</si>
  <si>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</si>
  <si>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</si>
  <si>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</si>
  <si>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</si>
  <si>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</si>
  <si>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</si>
  <si>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</si>
  <si>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</si>
  <si>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</si>
  <si>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</si>
  <si>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</si>
  <si>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</si>
  <si>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</si>
  <si>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</si>
  <si>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</si>
  <si>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</si>
  <si>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</si>
  <si>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</si>
  <si>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</si>
  <si>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</si>
  <si>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</si>
  <si>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</si>
  <si>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</si>
  <si>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</si>
  <si>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</si>
  <si>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</si>
  <si>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</si>
  <si>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</si>
  <si>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</si>
  <si>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</si>
  <si>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</si>
  <si>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</si>
  <si>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</si>
  <si>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</si>
  <si>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</si>
  <si>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</si>
  <si>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</si>
  <si>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</si>
  <si>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</si>
  <si>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</si>
  <si>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</si>
  <si>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</si>
  <si>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</si>
  <si>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</si>
  <si>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</si>
  <si>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</si>
  <si>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</si>
  <si>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</si>
  <si>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</si>
  <si>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</si>
  <si>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</si>
  <si>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</si>
  <si>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</si>
  <si>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</si>
  <si>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</si>
  <si>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</si>
  <si>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</si>
  <si>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</si>
  <si>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</si>
  <si>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</si>
  <si>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</si>
  <si>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</si>
  <si>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</si>
  <si>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</si>
  <si>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</si>
  <si>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</si>
  <si>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</si>
  <si>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</si>
  <si>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</si>
  <si>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</si>
  <si>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</si>
  <si>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</si>
  <si>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</si>
  <si>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</si>
  <si>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</si>
  <si>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</si>
  <si>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</si>
  <si>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</si>
  <si>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</si>
  <si>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</si>
  <si>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</si>
  <si>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</si>
  <si>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</si>
  <si>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</si>
  <si>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</si>
  <si>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</si>
  <si>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</si>
  <si>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</si>
  <si>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</si>
  <si>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</si>
  <si>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</si>
  <si>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</si>
  <si>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</si>
  <si>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</si>
  <si>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</si>
  <si>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</si>
  <si>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</si>
  <si>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</si>
  <si>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</si>
  <si>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</si>
  <si>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</si>
  <si>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</si>
  <si>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</si>
  <si>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</si>
  <si>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</si>
  <si>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</si>
  <si>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</si>
  <si>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</si>
  <si>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</si>
  <si>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</si>
  <si>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</si>
  <si>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</si>
  <si>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</si>
  <si>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</si>
  <si>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</si>
  <si>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</si>
  <si>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</si>
  <si>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</si>
  <si>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</si>
  <si>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</si>
  <si>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</si>
  <si>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</si>
  <si>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</si>
  <si>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</si>
  <si>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</si>
  <si>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</si>
  <si>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</si>
  <si>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</si>
  <si>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</si>
  <si>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</si>
  <si>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</si>
  <si>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</si>
  <si>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</si>
  <si>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</si>
  <si>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</si>
  <si>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</si>
  <si>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</si>
  <si>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</si>
  <si>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</si>
  <si>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</si>
  <si>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</si>
  <si>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</si>
  <si>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</si>
  <si>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</si>
  <si>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</si>
  <si>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</si>
  <si>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</si>
  <si>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</si>
  <si>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</si>
  <si>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</si>
  <si>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</si>
  <si>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</si>
  <si>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</si>
  <si>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</si>
  <si>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</si>
  <si>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</si>
  <si>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</si>
  <si>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</si>
  <si>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</si>
  <si>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</si>
  <si>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</si>
  <si>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</si>
  <si>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</si>
  <si>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</si>
  <si>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</si>
  <si>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</si>
  <si>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</si>
  <si>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</si>
  <si>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</si>
  <si>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</si>
  <si>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</si>
  <si>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</si>
  <si>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</si>
  <si>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</si>
  <si>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</si>
  <si>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</si>
  <si>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</si>
  <si>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</si>
  <si>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</si>
  <si>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</si>
  <si>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</si>
  <si>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</si>
  <si>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</si>
  <si>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</si>
  <si>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</si>
  <si>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</si>
  <si>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</si>
  <si>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</si>
  <si>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</si>
  <si>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</si>
  <si>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</si>
  <si>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</si>
  <si>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</si>
  <si>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</si>
  <si>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</si>
  <si>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</si>
  <si>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</si>
  <si>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</si>
  <si>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</si>
  <si>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</si>
  <si>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</si>
  <si>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</si>
  <si>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</si>
  <si>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</si>
  <si>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</si>
  <si>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</si>
  <si>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</si>
  <si>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</si>
  <si>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</si>
  <si>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</si>
  <si>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</si>
  <si>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</si>
  <si>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</si>
  <si>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</si>
  <si>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</si>
  <si>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</si>
  <si>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</si>
  <si>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</si>
  <si>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</si>
  <si>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</si>
  <si>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</si>
  <si>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</si>
  <si>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</si>
  <si>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</si>
  <si>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</si>
  <si>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</si>
  <si>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</si>
  <si>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</si>
  <si>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</si>
  <si>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</si>
  <si>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</si>
  <si>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</si>
  <si>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</si>
  <si>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</si>
  <si>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</si>
  <si>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</si>
  <si>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</si>
  <si>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</si>
  <si>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</si>
  <si>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</si>
  <si>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</si>
  <si>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</si>
  <si>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</si>
  <si>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</si>
  <si>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</si>
  <si>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</si>
  <si>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</si>
  <si>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</si>
  <si>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</si>
  <si>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</si>
  <si>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</si>
  <si>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</si>
  <si>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</si>
  <si>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</si>
  <si>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</si>
  <si>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</si>
  <si>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</si>
  <si>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</si>
  <si>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</si>
  <si>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</si>
  <si>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</si>
  <si>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</si>
  <si>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</si>
  <si>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</si>
  <si>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</si>
  <si>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</si>
  <si>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</si>
  <si>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</si>
  <si>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</si>
  <si>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</si>
  <si>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</si>
  <si>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</si>
  <si>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</si>
  <si>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</si>
  <si>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</si>
  <si>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</si>
  <si>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</si>
  <si>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</si>
  <si>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</si>
  <si>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</si>
  <si>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</si>
  <si>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</si>
  <si>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</si>
  <si>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</si>
  <si>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</si>
  <si>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</si>
  <si>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</si>
  <si>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</si>
  <si>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</si>
  <si>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</si>
  <si>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</si>
  <si>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</si>
  <si>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</si>
  <si>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</si>
  <si>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</si>
  <si>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</si>
  <si>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</si>
  <si>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</si>
  <si>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</si>
  <si>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</si>
  <si>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</si>
  <si>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</si>
  <si>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</si>
  <si>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</si>
  <si>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</si>
  <si>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</si>
  <si>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</si>
  <si>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</si>
  <si>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</si>
  <si>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</si>
  <si>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</si>
  <si>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</si>
  <si>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</si>
  <si>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</si>
  <si>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</si>
  <si>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</si>
  <si>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</si>
  <si>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</si>
  <si>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</si>
  <si>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</si>
  <si>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</si>
  <si>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</si>
  <si>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</si>
  <si>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</si>
  <si>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</si>
  <si>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</si>
  <si>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</si>
  <si>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</si>
  <si>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</si>
  <si>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</si>
  <si>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</si>
  <si>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</si>
  <si>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</si>
  <si>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</si>
  <si>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</si>
  <si>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</si>
  <si>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</si>
  <si>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</si>
  <si>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</si>
  <si>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</si>
  <si>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</si>
  <si>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</si>
  <si>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</si>
  <si>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</si>
  <si>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</si>
  <si>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</si>
  <si>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</si>
  <si>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</si>
  <si>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</si>
  <si>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</si>
  <si>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</si>
  <si>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</si>
  <si>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</si>
  <si>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</si>
  <si>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</si>
  <si>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</si>
  <si>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</si>
  <si>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</si>
  <si>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</si>
  <si>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</si>
  <si>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</si>
  <si>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</si>
  <si>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</si>
  <si>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</si>
  <si>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</si>
  <si>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</si>
  <si>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</si>
  <si>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</si>
  <si>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</si>
  <si>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</si>
  <si>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</si>
  <si>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</si>
  <si>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</si>
  <si>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</si>
  <si>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</si>
  <si>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</si>
  <si>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</si>
  <si>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</si>
  <si>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</si>
  <si>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</si>
  <si>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</si>
  <si>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</si>
  <si>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</si>
  <si>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</si>
  <si>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</si>
  <si>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</si>
  <si>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</si>
  <si>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</si>
  <si>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</si>
  <si>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</si>
  <si>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</si>
  <si>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</si>
  <si>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</si>
  <si>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</si>
  <si>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</si>
  <si>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</si>
  <si>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</si>
  <si>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</si>
  <si>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</si>
  <si>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</si>
  <si>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</si>
  <si>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</si>
  <si>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</si>
  <si>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</si>
  <si>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</si>
  <si>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</si>
  <si>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</si>
  <si>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</si>
  <si>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</si>
  <si>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</si>
  <si>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</si>
  <si>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</si>
  <si>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</si>
  <si>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</si>
  <si>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</si>
  <si>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</si>
  <si>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</si>
  <si>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</si>
  <si>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</si>
  <si>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</si>
  <si>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</si>
  <si>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</si>
  <si>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</si>
  <si>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</si>
  <si>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</si>
  <si>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</si>
  <si>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</si>
  <si>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</si>
  <si>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</si>
  <si>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</si>
  <si>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</si>
  <si>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</si>
  <si>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</si>
  <si>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</si>
  <si>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</si>
  <si>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</si>
  <si>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</si>
  <si>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</si>
  <si>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</si>
  <si>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</si>
  <si>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</si>
  <si>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</si>
  <si>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</si>
  <si>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</si>
  <si>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</si>
  <si>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</si>
  <si>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</si>
  <si>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</si>
  <si>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</si>
  <si>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</si>
  <si>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</si>
  <si>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</si>
  <si>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</si>
  <si>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</si>
  <si>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</si>
  <si>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</si>
  <si>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</si>
  <si>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</si>
  <si>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</si>
  <si>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</si>
  <si>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</si>
  <si>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</si>
  <si>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</si>
  <si>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</si>
  <si>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</si>
  <si>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</si>
  <si>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</si>
  <si>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</si>
  <si>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</si>
  <si>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</si>
  <si>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</si>
  <si>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</si>
  <si>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</si>
  <si>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</si>
  <si>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</si>
  <si>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</si>
  <si>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</si>
  <si>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</si>
  <si>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</si>
  <si>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</si>
  <si>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</si>
  <si>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</si>
  <si>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</si>
  <si>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</si>
  <si>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</si>
  <si>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</si>
  <si>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</si>
  <si>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</si>
  <si>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</si>
  <si>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</si>
  <si>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</si>
  <si>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</si>
  <si>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</si>
  <si>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</si>
  <si>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</si>
  <si>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</si>
  <si>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</si>
  <si>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</si>
  <si>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</si>
  <si>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</si>
  <si>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</si>
  <si>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</si>
  <si>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</si>
  <si>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</si>
  <si>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</si>
  <si>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</si>
  <si>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</si>
  <si>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</si>
  <si>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</si>
  <si>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</si>
  <si>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</si>
  <si>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</si>
  <si>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</si>
  <si>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</si>
  <si>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</si>
  <si>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</si>
  <si>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</si>
  <si>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</si>
  <si>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</si>
  <si>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</si>
  <si>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</si>
  <si>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</si>
  <si>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</si>
  <si>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</si>
  <si>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</si>
  <si>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</si>
  <si>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</si>
  <si>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</si>
  <si>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</si>
  <si>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</si>
  <si>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</si>
  <si>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</si>
  <si>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</si>
  <si>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</si>
  <si>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</si>
  <si>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</si>
  <si>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</si>
  <si>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</si>
  <si>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</si>
  <si>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</si>
  <si>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</si>
  <si>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</si>
  <si>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</si>
  <si>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</si>
  <si>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</si>
  <si>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</si>
  <si>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</si>
  <si>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</si>
  <si>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</si>
  <si>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</si>
  <si>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</si>
  <si>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</si>
  <si>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</si>
  <si>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</si>
  <si>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</si>
  <si>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</si>
  <si>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</si>
  <si>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</si>
  <si>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</si>
  <si>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</si>
  <si>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</si>
  <si>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</si>
  <si>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</si>
  <si>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</si>
  <si>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</si>
  <si>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</si>
  <si>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</si>
  <si>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</si>
  <si>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</si>
  <si>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</si>
  <si>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</si>
  <si>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</si>
  <si>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</si>
  <si>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</si>
  <si>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</si>
  <si>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</si>
  <si>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</si>
  <si>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</si>
  <si>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</si>
  <si>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</si>
  <si>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</si>
  <si>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</si>
  <si>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</si>
  <si>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</si>
  <si>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</si>
  <si>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</si>
  <si>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</si>
  <si>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</si>
  <si>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</si>
  <si>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</si>
  <si>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</si>
  <si>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</si>
  <si>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</si>
  <si>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</si>
  <si>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</si>
  <si>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</si>
  <si>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</si>
  <si>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</si>
  <si>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</si>
  <si>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</si>
  <si>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</si>
  <si>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</si>
  <si>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</si>
  <si>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</si>
  <si>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</si>
  <si>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</si>
  <si>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</si>
  <si>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</si>
  <si>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</si>
  <si>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</si>
  <si>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</si>
  <si>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</si>
  <si>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</si>
  <si>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</si>
  <si>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</si>
  <si>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</si>
  <si>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</si>
  <si>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</si>
  <si>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</si>
  <si>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</si>
  <si>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</si>
  <si>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</si>
  <si>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</si>
  <si>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</si>
  <si>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</si>
  <si>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</si>
  <si>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</si>
  <si>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</si>
  <si>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</si>
  <si>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</si>
  <si>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</si>
  <si>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</si>
  <si>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</si>
  <si>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</si>
  <si>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</si>
  <si>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</si>
  <si>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</si>
  <si>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</si>
  <si>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</si>
  <si>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</si>
  <si>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</si>
  <si>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</si>
  <si>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</si>
  <si>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</si>
  <si>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</si>
  <si>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</si>
  <si>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</si>
  <si>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</si>
  <si>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</si>
  <si>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</si>
  <si>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</si>
  <si>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</si>
  <si>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</si>
  <si>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</si>
  <si>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</si>
  <si>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</si>
  <si>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</si>
  <si>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</si>
  <si>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</si>
  <si>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</si>
  <si>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</si>
  <si>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</si>
  <si>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</si>
  <si>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</si>
  <si>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</si>
  <si>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</si>
  <si>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</si>
  <si>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</si>
  <si>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</si>
  <si>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</si>
  <si>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</si>
  <si>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</si>
  <si>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</si>
  <si>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</si>
  <si>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</si>
  <si>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</si>
  <si>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</si>
  <si>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</si>
  <si>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</si>
  <si>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</si>
  <si>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</si>
  <si>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</si>
  <si>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</si>
  <si>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</si>
  <si>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</si>
  <si>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</si>
  <si>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</si>
  <si>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</si>
  <si>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</si>
  <si>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</si>
  <si>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</si>
  <si>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</si>
  <si>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</si>
  <si>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</si>
  <si>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</si>
  <si>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</si>
  <si>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</si>
  <si>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</si>
  <si>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</si>
  <si>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</si>
  <si>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</si>
  <si>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</si>
  <si>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</si>
  <si>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</si>
  <si>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</si>
  <si>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</si>
  <si>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</si>
  <si>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</si>
  <si>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</si>
  <si>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</si>
  <si>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</si>
  <si>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</si>
  <si>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</si>
  <si>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</si>
  <si>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</si>
  <si>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</si>
  <si>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</si>
  <si>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</si>
  <si>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</si>
  <si>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</si>
  <si>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</si>
  <si>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</si>
  <si>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</si>
  <si>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</si>
  <si>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</si>
  <si>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</si>
  <si>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</si>
  <si>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</si>
  <si>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</si>
  <si>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</si>
  <si>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</si>
  <si>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</si>
  <si>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</si>
  <si>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</si>
  <si>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</si>
  <si>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</si>
  <si>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</si>
  <si>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</si>
  <si>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</si>
  <si>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</si>
  <si>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</si>
  <si>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</si>
  <si>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</si>
  <si>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</si>
  <si>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</si>
  <si>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</si>
  <si>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</si>
  <si>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</si>
  <si>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</si>
  <si>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</si>
  <si>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</si>
  <si>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</si>
  <si>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</si>
  <si>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</si>
  <si>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</si>
  <si>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</si>
  <si>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</si>
  <si>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</si>
  <si>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</si>
  <si>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</si>
  <si>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</si>
  <si>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</si>
  <si>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</si>
  <si>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</si>
  <si>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</si>
  <si>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</si>
  <si>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</si>
  <si>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</si>
  <si>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</si>
  <si>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</si>
  <si>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</si>
  <si>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</si>
  <si>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</si>
  <si>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</si>
  <si>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</si>
  <si>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</si>
  <si>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</si>
  <si>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</si>
  <si>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</si>
  <si>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</si>
  <si>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</si>
  <si>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</si>
  <si>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</si>
  <si>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</si>
  <si>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</si>
  <si>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</si>
  <si>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</si>
  <si>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</si>
  <si>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</si>
  <si>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</si>
  <si>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</si>
  <si>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</si>
  <si>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</si>
  <si>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</si>
  <si>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</si>
  <si>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</si>
  <si>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</si>
  <si>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</si>
  <si>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</si>
  <si>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</si>
  <si>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</si>
  <si>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</si>
  <si>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</si>
  <si>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</si>
  <si>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</si>
  <si>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</si>
  <si>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</si>
  <si>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</si>
  <si>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</si>
  <si>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</si>
  <si>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</si>
  <si>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</si>
  <si>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</si>
  <si>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</si>
  <si>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</si>
  <si>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</si>
  <si>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</si>
  <si>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</si>
  <si>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</si>
  <si>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</si>
  <si>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</si>
  <si>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</si>
  <si>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</si>
  <si>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</si>
  <si>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</si>
  <si>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</si>
  <si>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</si>
  <si>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</si>
  <si>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</si>
  <si>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</si>
  <si>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</si>
  <si>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</si>
  <si>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</si>
  <si>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</si>
  <si>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</si>
  <si>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</si>
  <si>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</si>
  <si>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</si>
  <si>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</si>
  <si>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</si>
  <si>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</si>
  <si>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</si>
  <si>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</si>
  <si>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</si>
  <si>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</si>
  <si>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</si>
  <si>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</si>
  <si>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</si>
  <si>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</si>
  <si>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</si>
  <si>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</si>
  <si>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</si>
  <si>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</si>
  <si>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</si>
  <si>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</si>
  <si>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</si>
  <si>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</si>
  <si>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</si>
  <si>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</si>
  <si>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</si>
  <si>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</si>
  <si>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</si>
  <si>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</si>
  <si>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</si>
  <si>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</si>
  <si>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</si>
  <si>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</si>
  <si>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</si>
  <si>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</si>
  <si>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</si>
  <si>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</si>
  <si>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</si>
  <si>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</si>
  <si>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</si>
  <si>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</si>
  <si>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</si>
  <si>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</si>
  <si>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</si>
  <si>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</si>
  <si>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</si>
  <si>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</si>
  <si>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</si>
  <si>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</si>
  <si>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</si>
  <si>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</si>
  <si>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</si>
  <si>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</si>
  <si>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</si>
  <si>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</si>
  <si>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</si>
  <si>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</si>
  <si>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</si>
  <si>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</si>
  <si>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</si>
  <si>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</si>
  <si>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</si>
  <si>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</si>
  <si>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</si>
  <si>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</si>
  <si>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</si>
  <si>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</si>
  <si>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</si>
  <si>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</si>
  <si>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</si>
  <si>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</si>
  <si>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</si>
  <si>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</si>
  <si>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</si>
  <si>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</si>
  <si>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</si>
  <si>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</si>
  <si>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</si>
  <si>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</si>
  <si>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</si>
  <si>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</si>
  <si>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</si>
  <si>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</si>
  <si>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</si>
  <si>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</si>
  <si>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</si>
  <si>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</si>
  <si>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</si>
  <si>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</si>
  <si>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</si>
  <si>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</si>
  <si>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</si>
  <si>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</si>
  <si>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</si>
  <si>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</si>
  <si>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</si>
  <si>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</si>
  <si>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</si>
  <si>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</si>
  <si>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</si>
  <si>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</si>
  <si>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</si>
  <si>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</si>
  <si>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</si>
  <si>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</si>
  <si>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</si>
  <si>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</si>
  <si>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</si>
  <si>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</si>
  <si>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</si>
  <si>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</si>
  <si>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</si>
  <si>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</si>
  <si>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</si>
  <si>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</si>
  <si>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</si>
  <si>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</si>
  <si>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</si>
  <si>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</si>
  <si>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</si>
  <si>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</si>
  <si>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</si>
  <si>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</si>
  <si>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</si>
  <si>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</si>
  <si>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</si>
  <si>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</si>
  <si>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</si>
  <si>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</si>
  <si>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</si>
  <si>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</si>
  <si>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</si>
  <si>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</si>
  <si>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</si>
  <si>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</si>
  <si>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</si>
  <si>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</si>
  <si>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</si>
  <si>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</si>
  <si>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</si>
  <si>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</si>
  <si>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</si>
  <si>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</si>
  <si>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</si>
  <si>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</si>
  <si>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</si>
  <si>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</si>
  <si>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</si>
  <si>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</si>
  <si>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</si>
  <si>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</si>
  <si>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</si>
  <si>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</si>
  <si>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</si>
  <si>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</si>
  <si>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</si>
  <si>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</si>
  <si>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</si>
  <si>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</si>
  <si>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</si>
  <si>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</si>
  <si>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</si>
  <si>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</si>
  <si>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</si>
  <si>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</si>
  <si>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</si>
  <si>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</si>
  <si>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</si>
  <si>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</si>
  <si>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</si>
  <si>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</si>
  <si>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</si>
  <si>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</si>
  <si>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</si>
  <si>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</si>
  <si>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</si>
  <si>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</si>
  <si>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</si>
  <si>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</si>
  <si>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</si>
  <si>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</si>
  <si>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</si>
  <si>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</si>
  <si>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</si>
  <si>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</si>
  <si>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</si>
  <si>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</si>
  <si>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</si>
  <si>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</si>
  <si>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</si>
  <si>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</si>
  <si>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</si>
  <si>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</si>
  <si>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</si>
  <si>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</si>
  <si>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</si>
  <si>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</si>
  <si>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</si>
  <si>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</si>
  <si>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</si>
  <si>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</si>
  <si>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</si>
  <si>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</si>
  <si>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</si>
  <si>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</si>
  <si>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</si>
  <si>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</si>
  <si>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</si>
  <si>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</si>
  <si>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</si>
  <si>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</si>
  <si>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</si>
  <si>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</si>
  <si>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</si>
  <si>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</si>
  <si>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</si>
  <si>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</si>
  <si>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</si>
  <si>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</si>
  <si>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</si>
  <si>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</si>
  <si>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</si>
  <si>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</si>
  <si>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</si>
  <si>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</si>
  <si>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</si>
  <si>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</si>
  <si>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</si>
  <si>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</si>
  <si>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</si>
  <si>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</si>
  <si>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</si>
  <si>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</si>
  <si>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</si>
  <si>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</si>
  <si>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</si>
  <si>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</si>
  <si>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</si>
  <si>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</si>
  <si>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</si>
  <si>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</si>
  <si>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</si>
  <si>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</si>
  <si>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</si>
  <si>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</si>
  <si>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</si>
  <si>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</si>
  <si>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</si>
  <si>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</si>
  <si>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</si>
  <si>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</si>
  <si>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</si>
  <si>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</si>
  <si>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</si>
  <si>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</si>
  <si>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</si>
  <si>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</si>
  <si>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</si>
  <si>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</si>
  <si>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</si>
  <si>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</si>
  <si>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</si>
  <si>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</si>
  <si>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</si>
  <si>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</si>
  <si>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</si>
  <si>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</si>
  <si>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</si>
  <si>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</si>
  <si>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</si>
  <si>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</si>
  <si>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</si>
  <si>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</si>
  <si>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</si>
  <si>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</si>
  <si>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</si>
  <si>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</si>
  <si>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</si>
  <si>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</si>
  <si>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</si>
  <si>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</si>
  <si>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</si>
  <si>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</si>
  <si>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</si>
  <si>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</si>
  <si>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</si>
  <si>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</si>
  <si>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</si>
  <si>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</si>
  <si>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</si>
  <si>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</si>
  <si>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</si>
  <si>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</si>
  <si>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</si>
  <si>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</si>
  <si>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</si>
  <si>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</si>
  <si>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</si>
  <si>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</si>
  <si>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</si>
  <si>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</si>
  <si>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</si>
  <si>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</si>
  <si>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</si>
  <si>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</si>
  <si>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</si>
  <si>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</si>
  <si>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</si>
  <si>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</si>
  <si>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</si>
  <si>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</si>
  <si>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</si>
  <si>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</si>
  <si>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</si>
  <si>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</si>
  <si>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</si>
  <si>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</si>
  <si>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</si>
  <si>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</si>
  <si>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</si>
  <si>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</si>
  <si>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</si>
  <si>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</si>
  <si>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</si>
  <si>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</si>
  <si>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</si>
  <si>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</si>
  <si>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</si>
  <si>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</si>
  <si>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</si>
  <si>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</si>
  <si>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</si>
  <si>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</si>
  <si>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</si>
  <si>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</si>
  <si>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</si>
  <si>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</si>
  <si>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</si>
  <si>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</si>
  <si>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</si>
  <si>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</si>
  <si>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</si>
  <si>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</si>
  <si>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</si>
  <si>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</si>
  <si>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</si>
  <si>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</si>
  <si>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</si>
  <si>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</si>
  <si>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</si>
  <si>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</si>
  <si>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</si>
  <si>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</si>
  <si>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</si>
  <si>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</si>
  <si>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</si>
  <si>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</si>
  <si>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</si>
  <si>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</si>
  <si>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</si>
  <si>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</si>
  <si>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</si>
  <si>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</si>
  <si>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</si>
  <si>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</si>
  <si>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</si>
  <si>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</si>
  <si>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</si>
  <si>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</si>
  <si>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</si>
  <si>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</si>
  <si>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</si>
  <si>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</si>
  <si>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</si>
  <si>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</si>
  <si>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</si>
  <si>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</si>
  <si>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</si>
  <si>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</si>
  <si>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</si>
  <si>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</si>
  <si>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</si>
  <si>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</si>
  <si>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</si>
  <si>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</si>
  <si>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</si>
  <si>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</si>
  <si>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</si>
  <si>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</si>
  <si>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</si>
  <si>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</si>
  <si>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</si>
  <si>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</si>
  <si>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</si>
  <si>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</si>
  <si>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</si>
  <si>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</si>
  <si>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</si>
  <si>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</si>
  <si>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</si>
  <si>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</si>
  <si>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</si>
  <si>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</si>
  <si>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</si>
  <si>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</si>
  <si>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</si>
  <si>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</si>
  <si>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</si>
  <si>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</si>
  <si>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</si>
  <si>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</si>
  <si>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</si>
  <si>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</si>
  <si>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</si>
  <si>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</si>
  <si>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</si>
  <si>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</si>
  <si>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</si>
  <si>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</si>
  <si>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</si>
  <si>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</si>
  <si>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</si>
  <si>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</si>
  <si>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</si>
  <si>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</si>
  <si>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</si>
  <si>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</si>
  <si>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</si>
  <si>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</si>
  <si>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</si>
  <si>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</si>
  <si>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</si>
  <si>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</si>
  <si>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</si>
  <si>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</si>
  <si>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</si>
  <si>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</si>
  <si>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</si>
  <si>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</si>
  <si>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</si>
  <si>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</si>
  <si>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</si>
  <si>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</si>
  <si>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</si>
  <si>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</si>
  <si>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</si>
  <si>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</si>
  <si>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</si>
  <si>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</si>
  <si>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</si>
  <si>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</si>
  <si>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</si>
  <si>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</si>
  <si>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</si>
  <si>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</si>
  <si>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</si>
  <si>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</si>
  <si>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</si>
  <si>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</si>
  <si>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</si>
  <si>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</si>
  <si>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</si>
  <si>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</si>
  <si>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</si>
  <si>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</si>
  <si>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</si>
  <si>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</si>
  <si>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</si>
  <si>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</si>
  <si>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</si>
  <si>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</si>
  <si>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</si>
  <si>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</si>
  <si>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</si>
  <si>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</si>
  <si>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</si>
  <si>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</si>
  <si>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</si>
  <si>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</si>
  <si>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</si>
  <si>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</si>
  <si>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</si>
  <si>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</si>
  <si>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</si>
  <si>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</si>
  <si>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</si>
  <si>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</si>
  <si>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</si>
  <si>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</si>
  <si>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</si>
  <si>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</si>
  <si>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</si>
  <si>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</si>
  <si>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</si>
  <si>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</si>
  <si>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</si>
  <si>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</si>
  <si>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</si>
  <si>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</si>
  <si>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</si>
  <si>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</si>
  <si>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</si>
  <si>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</si>
  <si>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</si>
  <si>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</si>
  <si>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</si>
  <si>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</si>
  <si>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</si>
  <si>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</si>
  <si>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</si>
  <si>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</si>
  <si>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</si>
  <si>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</si>
  <si>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</si>
  <si>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</si>
  <si>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</si>
  <si>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</si>
  <si>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</si>
  <si>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</si>
  <si>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</si>
  <si>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</si>
  <si>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</si>
  <si>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</si>
  <si>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</si>
  <si>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</si>
  <si>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</si>
  <si>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</si>
  <si>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</si>
  <si>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</si>
  <si>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</si>
  <si>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</si>
  <si>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</si>
  <si>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</si>
  <si>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</si>
  <si>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</si>
  <si>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</si>
  <si>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</si>
  <si>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</si>
  <si>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</si>
  <si>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</si>
  <si>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</si>
  <si>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</si>
  <si>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</si>
  <si>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</si>
  <si>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</si>
  <si>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</si>
  <si>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</si>
  <si>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</si>
  <si>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</si>
  <si>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</si>
  <si>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</si>
  <si>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</si>
  <si>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</si>
  <si>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</si>
  <si>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</si>
  <si>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</si>
  <si>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</si>
  <si>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</si>
  <si>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</si>
  <si>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</si>
  <si>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</si>
  <si>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</si>
  <si>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</si>
  <si>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</si>
  <si>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</si>
  <si>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</si>
  <si>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</si>
  <si>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</si>
  <si>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</si>
  <si>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</si>
  <si>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</si>
  <si>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</si>
  <si>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</si>
  <si>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</si>
  <si>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</si>
  <si>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</si>
  <si>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</si>
  <si>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</si>
  <si>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</si>
  <si>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</si>
  <si>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</si>
  <si>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</si>
  <si>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</si>
  <si>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</si>
  <si>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</si>
  <si>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</si>
  <si>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</si>
  <si>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</si>
  <si>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</si>
  <si>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</si>
  <si>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</si>
  <si>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</si>
  <si>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</si>
  <si>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</si>
  <si>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</si>
  <si>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</si>
  <si>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</si>
  <si>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</si>
  <si>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</si>
  <si>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</si>
  <si>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</si>
  <si>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</si>
  <si>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</si>
  <si>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</si>
  <si>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</si>
  <si>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</si>
  <si>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</si>
  <si>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</si>
  <si>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</si>
  <si>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</si>
  <si>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</si>
  <si>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</si>
  <si>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</si>
  <si>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</si>
  <si>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</si>
  <si>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</si>
  <si>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</si>
  <si>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</si>
  <si>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</si>
  <si>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</si>
  <si>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</si>
  <si>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</si>
  <si>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</si>
  <si>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</si>
  <si>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</si>
  <si>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</si>
  <si>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</si>
  <si>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</si>
  <si>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</si>
  <si>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</si>
  <si>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</si>
  <si>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</si>
  <si>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</si>
  <si>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</si>
  <si>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</si>
  <si>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</si>
  <si>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</si>
  <si>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</si>
  <si>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</si>
  <si>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</si>
  <si>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</si>
  <si>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</si>
  <si>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</si>
  <si>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</si>
  <si>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</si>
  <si>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</si>
  <si>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</si>
  <si>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</si>
  <si>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</si>
  <si>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</si>
  <si>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</si>
  <si>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</si>
  <si>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</si>
  <si>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</si>
  <si>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</si>
  <si>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</si>
  <si>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</si>
  <si>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</si>
  <si>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</si>
  <si>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</si>
  <si>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</si>
  <si>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</si>
  <si>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</si>
  <si>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</si>
  <si>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</si>
  <si>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</si>
  <si>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</si>
  <si>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</si>
  <si>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</si>
  <si>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</si>
  <si>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</si>
  <si>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</si>
  <si>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</si>
  <si>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</si>
  <si>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</si>
  <si>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</si>
  <si>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</si>
  <si>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</si>
  <si>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</si>
  <si>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</si>
  <si>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</si>
  <si>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</si>
  <si>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</si>
  <si>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</si>
  <si>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</si>
  <si>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</si>
  <si>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</si>
  <si>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</si>
  <si>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</si>
  <si>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</si>
  <si>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</si>
  <si>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</si>
  <si>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</si>
  <si>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</si>
  <si>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</si>
  <si>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</si>
  <si>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</si>
  <si>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</si>
  <si>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</si>
  <si>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</si>
  <si>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</si>
  <si>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</si>
  <si>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</si>
  <si>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</si>
  <si>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</si>
  <si>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</si>
  <si>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</si>
  <si>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</si>
  <si>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</si>
  <si>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</si>
  <si>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</si>
  <si>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</si>
  <si>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</si>
  <si>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</si>
  <si>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</si>
  <si>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</si>
  <si>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</si>
  <si>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</si>
  <si>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</si>
  <si>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</si>
  <si>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</si>
  <si>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</si>
  <si>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</si>
  <si>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</si>
  <si>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</si>
  <si>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</si>
  <si>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</si>
  <si>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</si>
  <si>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</si>
  <si>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</si>
  <si>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</si>
  <si>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</si>
  <si>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</si>
  <si>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</si>
  <si>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</si>
  <si>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</si>
  <si>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</si>
  <si>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</si>
  <si>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</si>
  <si>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</si>
  <si>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</si>
  <si>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</si>
  <si>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</si>
  <si>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</si>
  <si>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</si>
  <si>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</si>
  <si>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</si>
  <si>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</si>
  <si>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</si>
  <si>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</si>
  <si>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</si>
  <si>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</si>
  <si>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</si>
  <si>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</si>
  <si>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</si>
  <si>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</si>
  <si>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</si>
  <si>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</si>
  <si>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</si>
  <si>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</si>
  <si>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</si>
  <si>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</si>
  <si>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</si>
  <si>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</si>
  <si>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</si>
  <si>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</si>
  <si>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</si>
  <si>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</si>
  <si>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</si>
  <si>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</si>
  <si>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</si>
  <si>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</si>
  <si>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</si>
  <si>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</si>
  <si>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</si>
  <si>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</si>
  <si>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</si>
  <si>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</si>
  <si>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</si>
  <si>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</si>
  <si>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</si>
  <si>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</si>
  <si>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</si>
  <si>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</si>
  <si>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</si>
  <si>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</si>
  <si>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</si>
  <si>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</si>
  <si>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</si>
  <si>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</si>
  <si>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</si>
  <si>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</si>
  <si>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</si>
  <si>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</si>
  <si>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</si>
  <si>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</si>
  <si>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</si>
  <si>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</si>
  <si>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</si>
  <si>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</si>
  <si>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</si>
  <si>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</si>
  <si>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</si>
  <si>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</si>
  <si>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</si>
  <si>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</si>
  <si>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</si>
  <si>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</si>
  <si>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</si>
  <si>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</si>
  <si>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</si>
  <si>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</si>
  <si>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</si>
  <si>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</si>
  <si>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</si>
  <si>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</si>
  <si>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</si>
  <si>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</si>
  <si>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</si>
  <si>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</si>
  <si>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</si>
  <si>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</si>
  <si>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</si>
  <si>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</si>
  <si>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</si>
  <si>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</si>
  <si>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</si>
  <si>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</si>
  <si>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</si>
  <si>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</si>
  <si>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</si>
  <si>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</si>
  <si>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</si>
  <si>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</si>
  <si>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</si>
  <si>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</si>
  <si>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</si>
  <si>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</si>
  <si>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</si>
  <si>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</si>
  <si>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</si>
  <si>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</si>
  <si>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</si>
  <si>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</si>
  <si>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</si>
  <si>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</si>
  <si>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</si>
  <si>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</si>
  <si>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</si>
  <si>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</si>
  <si>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</si>
  <si>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</si>
  <si>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</si>
  <si>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</si>
  <si>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</si>
  <si>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</si>
  <si>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</si>
  <si>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</si>
  <si>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</si>
  <si>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</si>
  <si>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</si>
  <si>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</si>
  <si>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</si>
  <si>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</si>
  <si>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</si>
  <si>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</si>
  <si>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</si>
  <si>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</si>
  <si>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</si>
  <si>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</si>
  <si>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</si>
  <si>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</si>
  <si>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</si>
  <si>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</si>
  <si>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</si>
  <si>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</si>
  <si>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</si>
  <si>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</si>
  <si>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</si>
  <si>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</si>
  <si>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</si>
  <si>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</si>
  <si>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</si>
  <si>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</si>
  <si>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</si>
  <si>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</si>
  <si>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</si>
  <si>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</si>
  <si>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</si>
  <si>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</si>
  <si>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</si>
  <si>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</si>
  <si>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</si>
  <si>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</si>
  <si>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</si>
  <si>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</si>
  <si>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</si>
  <si>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</si>
  <si>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</si>
  <si>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</si>
  <si>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</si>
  <si>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</si>
  <si>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</si>
  <si>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</si>
  <si>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</si>
  <si>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</si>
  <si>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</si>
  <si>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</si>
  <si>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</si>
  <si>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</si>
  <si>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</si>
  <si>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</si>
  <si>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</si>
  <si>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</si>
  <si>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</si>
  <si>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</si>
  <si>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</si>
  <si>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</si>
  <si>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</si>
  <si>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</si>
  <si>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</si>
  <si>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</si>
  <si>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</si>
  <si>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</si>
  <si>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</si>
  <si>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</si>
  <si>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</si>
  <si>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</si>
  <si>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</si>
  <si>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</si>
  <si>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</si>
  <si>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</si>
  <si>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</si>
  <si>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</si>
  <si>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</si>
  <si>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</si>
  <si>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</si>
  <si>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</si>
  <si>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</si>
  <si>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</si>
  <si>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</si>
  <si>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</si>
  <si>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</si>
  <si>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</si>
  <si>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</si>
  <si>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</si>
  <si>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</si>
  <si>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</si>
  <si>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</si>
  <si>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</si>
  <si>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</si>
  <si>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</si>
  <si>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</si>
  <si>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</si>
  <si>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</si>
  <si>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</si>
  <si>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</si>
  <si>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</si>
  <si>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</si>
  <si>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</si>
  <si>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</si>
  <si>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</si>
  <si>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</si>
  <si>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</si>
  <si>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</si>
  <si>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</si>
  <si>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</si>
  <si>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</si>
  <si>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</si>
  <si>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</si>
  <si>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</si>
  <si>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</si>
  <si>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</si>
  <si>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</si>
  <si>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</si>
  <si>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</si>
  <si>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</si>
  <si>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</si>
  <si>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</si>
  <si>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</si>
  <si>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</si>
  <si>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</si>
  <si>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</si>
  <si>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</si>
  <si>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</si>
  <si>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</si>
  <si>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</si>
  <si>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</si>
  <si>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</si>
  <si>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</si>
  <si>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</si>
  <si>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</si>
  <si>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</si>
  <si>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</si>
  <si>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</si>
  <si>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</si>
  <si>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</si>
  <si>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</si>
  <si>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</si>
  <si>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</si>
  <si>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</si>
  <si>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</si>
  <si>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</si>
  <si>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</si>
  <si>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</si>
  <si>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</si>
  <si>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</si>
  <si>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</si>
  <si>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</si>
  <si>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</si>
  <si>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</si>
  <si>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</si>
  <si>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</si>
  <si>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</si>
  <si>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</si>
  <si>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</si>
  <si>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</si>
  <si>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</si>
  <si>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</si>
  <si>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</si>
  <si>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</si>
  <si>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</si>
  <si>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</si>
  <si>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</si>
  <si>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</si>
  <si>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</si>
  <si>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</si>
  <si>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</si>
  <si>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</si>
  <si>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</si>
  <si>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</si>
  <si>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</si>
  <si>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</si>
  <si>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</si>
  <si>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</si>
  <si>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</si>
  <si>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</si>
  <si>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</si>
  <si>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</si>
  <si>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</si>
  <si>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</si>
  <si>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</si>
  <si>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</si>
  <si>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</si>
  <si>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</si>
  <si>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</si>
  <si>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</si>
  <si>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</si>
  <si>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</si>
  <si>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</si>
  <si>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</si>
  <si>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</si>
  <si>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</si>
  <si>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</si>
  <si>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</si>
  <si>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</si>
  <si>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</si>
  <si>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</si>
  <si>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</si>
  <si>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</si>
  <si>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</si>
  <si>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</si>
  <si>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</si>
  <si>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</si>
  <si>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</si>
  <si>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</si>
  <si>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</si>
  <si>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</si>
  <si>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</si>
  <si>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</si>
  <si>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</si>
  <si>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</si>
  <si>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</si>
  <si>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</si>
  <si>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</si>
  <si>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</si>
  <si>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</si>
  <si>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</si>
  <si>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</si>
  <si>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</si>
  <si>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</si>
  <si>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</si>
  <si>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</si>
  <si>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</si>
  <si>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</si>
  <si>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</si>
  <si>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</si>
  <si>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</si>
  <si>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</si>
  <si>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</si>
  <si>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</si>
  <si>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</si>
  <si>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</si>
  <si>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</si>
  <si>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</si>
  <si>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</si>
  <si>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</si>
  <si>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</si>
  <si>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</si>
  <si>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</si>
  <si>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</si>
  <si>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</si>
  <si>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</si>
  <si>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</si>
  <si>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</si>
  <si>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</si>
  <si>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</si>
  <si>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</si>
  <si>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</si>
  <si>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</si>
  <si>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</si>
  <si>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</si>
  <si>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</si>
  <si>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</si>
  <si>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</si>
  <si>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</si>
  <si>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</si>
  <si>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</si>
  <si>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</si>
  <si>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</si>
  <si>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</si>
  <si>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</si>
  <si>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</si>
  <si>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</si>
  <si>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</si>
  <si>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</si>
  <si>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</si>
  <si>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</si>
  <si>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</si>
  <si>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</si>
  <si>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</si>
  <si>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</si>
  <si>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</si>
  <si>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</si>
  <si>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</si>
  <si>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</si>
  <si>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</si>
  <si>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</si>
  <si>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</si>
  <si>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</si>
  <si>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</si>
  <si>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</si>
  <si>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</si>
  <si>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</si>
  <si>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</si>
  <si>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</si>
  <si>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</si>
  <si>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</si>
  <si>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</si>
  <si>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</si>
  <si>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</si>
  <si>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</si>
  <si>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</si>
  <si>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</si>
  <si>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</si>
  <si>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</si>
  <si>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</si>
  <si>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</si>
  <si>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</si>
  <si>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</si>
  <si>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</si>
  <si>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</si>
  <si>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</si>
  <si>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</si>
  <si>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</si>
  <si>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</si>
  <si>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</si>
  <si>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</si>
  <si>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</si>
  <si>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</si>
  <si>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</si>
  <si>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</si>
  <si>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</si>
  <si>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</si>
  <si>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</si>
  <si>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</si>
  <si>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</si>
  <si>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</si>
  <si>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</si>
  <si>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</si>
  <si>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</si>
  <si>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</si>
  <si>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</si>
  <si>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</si>
  <si>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</si>
  <si>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</si>
  <si>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</si>
  <si>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</si>
  <si>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</si>
  <si>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</si>
  <si>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</si>
  <si>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</si>
  <si>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</si>
  <si>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</si>
  <si>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</si>
  <si>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</si>
  <si>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</si>
  <si>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</si>
  <si>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</si>
  <si>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</si>
  <si>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</si>
  <si>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</si>
  <si>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</si>
  <si>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</si>
  <si>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</si>
  <si>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</si>
  <si>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</si>
  <si>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</si>
  <si>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</si>
  <si>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</si>
  <si>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</si>
  <si>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</si>
  <si>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</si>
  <si>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</si>
  <si>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</si>
  <si>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</si>
  <si>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</si>
  <si>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</si>
  <si>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</si>
  <si>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</si>
  <si>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</si>
  <si>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</si>
  <si>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</si>
  <si>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</si>
  <si>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</si>
  <si>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</si>
  <si>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</si>
  <si>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</si>
  <si>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</si>
  <si>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</si>
  <si>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</si>
  <si>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</si>
  <si>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</si>
  <si>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</si>
  <si>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</si>
  <si>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</si>
  <si>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</si>
  <si>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</si>
  <si>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</si>
  <si>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</si>
  <si>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</si>
  <si>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</si>
  <si>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</si>
  <si>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</si>
  <si>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</si>
  <si>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</si>
  <si>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</si>
  <si>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</si>
  <si>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</si>
  <si>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</si>
  <si>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</si>
  <si>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</si>
  <si>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</si>
  <si>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</si>
  <si>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</si>
  <si>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</si>
  <si>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</si>
  <si>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</si>
  <si>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</si>
  <si>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</si>
  <si>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</si>
  <si>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</si>
  <si>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</si>
  <si>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</si>
  <si>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</si>
  <si>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</si>
  <si>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</si>
  <si>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</si>
  <si>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</si>
  <si>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</si>
  <si>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</si>
  <si>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</si>
  <si>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</si>
  <si>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</si>
  <si>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</si>
  <si>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</si>
  <si>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</si>
  <si>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</si>
  <si>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</si>
  <si>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</si>
  <si>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</si>
  <si>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</si>
  <si>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</si>
  <si>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</si>
  <si>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</si>
  <si>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</si>
  <si>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</si>
  <si>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</si>
  <si>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</si>
  <si>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</si>
  <si>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</si>
  <si>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</si>
  <si>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</si>
  <si>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</si>
  <si>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</si>
  <si>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</si>
  <si>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</si>
  <si>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</si>
  <si>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</si>
  <si>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</si>
  <si>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</si>
  <si>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</si>
  <si>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</si>
  <si>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</si>
  <si>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</si>
  <si>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</si>
  <si>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</si>
  <si>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</si>
  <si>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</si>
  <si>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</si>
  <si>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</si>
  <si>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</si>
  <si>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</si>
  <si>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</si>
  <si>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</si>
  <si>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</si>
  <si>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</si>
  <si>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</si>
  <si>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</si>
  <si>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</si>
  <si>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</si>
  <si>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</si>
  <si>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</si>
  <si>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</si>
  <si>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</si>
  <si>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</si>
  <si>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</si>
  <si>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</si>
  <si>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</si>
  <si>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</si>
  <si>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</si>
  <si>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</si>
  <si>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</si>
  <si>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</si>
  <si>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</si>
  <si>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</si>
  <si>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</si>
  <si>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</si>
  <si>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</si>
  <si>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</si>
  <si>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</si>
  <si>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</si>
  <si>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</si>
  <si>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</si>
  <si>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</si>
  <si>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</si>
  <si>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</si>
  <si>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</si>
  <si>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</si>
  <si>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</si>
  <si>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</si>
  <si>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</si>
  <si>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</si>
  <si>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</si>
  <si>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</si>
  <si>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</si>
  <si>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</si>
  <si>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</si>
  <si>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</si>
  <si>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</si>
  <si>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</si>
  <si>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</si>
  <si>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</si>
  <si>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</si>
  <si>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</si>
  <si>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</si>
  <si>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</si>
  <si>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</si>
  <si>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</si>
  <si>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</si>
  <si>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</si>
  <si>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</si>
  <si>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</si>
  <si>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</si>
  <si>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</si>
  <si>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</si>
  <si>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</si>
  <si>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</si>
  <si>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</si>
  <si>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</si>
  <si>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</si>
  <si>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</si>
  <si>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</si>
  <si>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</si>
  <si>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</si>
  <si>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</si>
  <si>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</si>
  <si>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</si>
  <si>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</si>
  <si>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</si>
  <si>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</si>
  <si>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</si>
  <si>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</si>
  <si>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</si>
  <si>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</si>
  <si>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</si>
  <si>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</si>
  <si>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</si>
  <si>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</si>
  <si>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</si>
  <si>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</si>
  <si>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</si>
  <si>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</si>
  <si>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</si>
  <si>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</si>
  <si>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</si>
  <si>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</si>
  <si>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</si>
  <si>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</si>
  <si>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</si>
  <si>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</si>
  <si>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</si>
  <si>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</si>
  <si>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</si>
  <si>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</si>
  <si>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</si>
  <si>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</si>
  <si>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</si>
  <si>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</si>
  <si>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</si>
  <si>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</si>
  <si>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</si>
  <si>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</si>
  <si>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</si>
  <si>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</si>
  <si>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</si>
  <si>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</si>
  <si>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</si>
  <si>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</si>
  <si>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</si>
  <si>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</si>
  <si>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</si>
  <si>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</si>
  <si>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</si>
  <si>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</si>
  <si>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</si>
  <si>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</si>
  <si>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</si>
  <si>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</si>
  <si>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</si>
  <si>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</si>
  <si>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</si>
  <si>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</si>
  <si>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</si>
  <si>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</si>
  <si>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</si>
  <si>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</si>
  <si>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</si>
  <si>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</si>
  <si>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</si>
  <si>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</si>
  <si>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</si>
  <si>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</si>
  <si>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</si>
  <si>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</si>
  <si>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</si>
  <si>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</si>
  <si>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</si>
  <si>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</si>
  <si>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</si>
  <si>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</si>
  <si>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</si>
  <si>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</si>
  <si>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</si>
  <si>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</si>
  <si>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</si>
  <si>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</si>
  <si>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</si>
  <si>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</si>
  <si>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</si>
  <si>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</si>
  <si>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</si>
  <si>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</si>
  <si>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</si>
  <si>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</si>
  <si>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</si>
  <si>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</si>
  <si>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</si>
  <si>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</si>
  <si>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</si>
  <si>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</si>
  <si>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</si>
  <si>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</si>
  <si>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</si>
  <si>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</si>
  <si>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</si>
  <si>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</si>
  <si>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</si>
  <si>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</si>
  <si>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</si>
  <si>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</si>
  <si>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</si>
  <si>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</si>
  <si>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</si>
  <si>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</si>
  <si>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</si>
  <si>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</si>
  <si>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</si>
  <si>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</si>
  <si>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</si>
  <si>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</si>
  <si>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</si>
  <si>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</si>
  <si>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</si>
  <si>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</si>
  <si>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</si>
  <si>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</si>
  <si>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</si>
  <si>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</si>
  <si>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</si>
  <si>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</si>
  <si>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</si>
  <si>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</si>
  <si>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</si>
  <si>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</si>
  <si>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</si>
  <si>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</si>
  <si>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</si>
  <si>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</si>
  <si>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</si>
  <si>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</si>
  <si>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</si>
  <si>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</si>
  <si>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</si>
  <si>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</si>
  <si>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</si>
  <si>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</si>
  <si>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</si>
  <si>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</si>
  <si>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</si>
  <si>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</si>
  <si>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</si>
  <si>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</si>
  <si>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</si>
  <si>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</si>
  <si>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</si>
  <si>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</si>
  <si>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</si>
  <si>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</si>
  <si>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</si>
  <si>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</si>
  <si>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</si>
  <si>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</si>
  <si>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</si>
  <si>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</si>
  <si>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</si>
  <si>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</si>
  <si>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</si>
  <si>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</si>
  <si>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</si>
  <si>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</si>
  <si>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</si>
  <si>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</si>
  <si>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</si>
  <si>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</si>
  <si>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</si>
  <si>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</si>
  <si>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</si>
  <si>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</si>
  <si>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</si>
  <si>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</si>
  <si>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</si>
  <si>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</si>
  <si>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</si>
  <si>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</si>
  <si>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</si>
  <si>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</si>
  <si>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</si>
  <si>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</si>
  <si>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</si>
  <si>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</si>
  <si>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</si>
  <si>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</si>
  <si>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</si>
  <si>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</si>
  <si>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</si>
  <si>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</si>
  <si>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</si>
  <si>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</si>
  <si>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</si>
  <si>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</si>
  <si>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</si>
  <si>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</si>
  <si>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</si>
  <si>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</si>
  <si>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</si>
  <si>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</si>
  <si>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</si>
  <si>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</si>
  <si>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</si>
  <si>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</si>
  <si>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</si>
  <si>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</si>
  <si>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</si>
  <si>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</si>
  <si>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</si>
  <si>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</si>
  <si>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</si>
  <si>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</si>
  <si>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</si>
  <si>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</si>
  <si>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</si>
  <si>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</si>
  <si>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</si>
  <si>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</si>
  <si>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</si>
  <si>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</si>
  <si>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</si>
  <si>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</si>
  <si>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</si>
  <si>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</si>
  <si>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</si>
  <si>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</si>
  <si>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</si>
  <si>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</si>
  <si>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</si>
  <si>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</si>
  <si>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</si>
  <si>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</si>
  <si>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</si>
  <si>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</si>
  <si>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</si>
  <si>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</si>
  <si>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</si>
  <si>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</si>
  <si>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</si>
  <si>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</si>
  <si>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</si>
  <si>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</si>
  <si>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</si>
  <si>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</si>
  <si>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</si>
  <si>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</si>
  <si>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</si>
  <si>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</si>
  <si>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</si>
  <si>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</si>
  <si>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</si>
  <si>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</si>
  <si>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</si>
  <si>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</si>
  <si>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</si>
  <si>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</si>
  <si>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</si>
  <si>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</si>
  <si>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</si>
  <si>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</si>
  <si>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</si>
  <si>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</si>
  <si>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</si>
  <si>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</si>
  <si>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</si>
  <si>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</si>
  <si>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</si>
  <si>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</si>
  <si>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</si>
  <si>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</si>
  <si>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</si>
  <si>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</si>
  <si>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</si>
  <si>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</si>
  <si>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</si>
  <si>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</si>
  <si>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</si>
  <si>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</si>
  <si>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</si>
  <si>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</si>
  <si>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</si>
  <si>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</si>
  <si>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</si>
  <si>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</si>
  <si>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</si>
  <si>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</si>
  <si>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</si>
  <si>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</si>
  <si>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</si>
  <si>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</si>
  <si>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</si>
  <si>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</si>
  <si>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</si>
  <si>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</si>
  <si>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</si>
  <si>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</si>
  <si>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</si>
  <si>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</si>
  <si>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</si>
  <si>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</si>
  <si>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</si>
  <si>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</si>
  <si>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</si>
  <si>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</si>
  <si>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</si>
  <si>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</si>
  <si>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</si>
  <si>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</si>
  <si>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</si>
  <si>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</si>
  <si>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</si>
  <si>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</si>
  <si>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</si>
  <si>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</si>
  <si>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</si>
  <si>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</si>
  <si>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</si>
  <si>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</si>
  <si>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</si>
  <si>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</si>
  <si>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</si>
  <si>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</si>
  <si>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</si>
  <si>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</si>
  <si>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</si>
  <si>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</si>
  <si>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</si>
  <si>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</si>
  <si>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</si>
  <si>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</si>
  <si>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</si>
  <si>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</si>
  <si>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</si>
  <si>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</si>
  <si>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</si>
  <si>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</si>
  <si>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</si>
  <si>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</si>
  <si>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</si>
  <si>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</si>
  <si>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</si>
  <si>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</si>
  <si>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</si>
  <si>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</si>
  <si>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</si>
  <si>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</si>
  <si>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</si>
  <si>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</si>
  <si>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</si>
  <si>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</si>
  <si>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</si>
  <si>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</si>
  <si>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</si>
  <si>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</si>
  <si>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</si>
  <si>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</si>
  <si>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</si>
  <si>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</si>
  <si>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</si>
  <si>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</si>
  <si>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</si>
  <si>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</si>
  <si>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</si>
  <si>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</si>
  <si>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</si>
  <si>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</si>
  <si>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</si>
  <si>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</si>
  <si>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</si>
  <si>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</si>
  <si>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</si>
  <si>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</si>
  <si>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</si>
  <si>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</si>
  <si>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</si>
  <si>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</si>
  <si>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</si>
  <si>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</si>
  <si>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</si>
  <si>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</si>
  <si>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</si>
  <si>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</si>
  <si>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</si>
  <si>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</si>
  <si>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</si>
  <si>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</si>
  <si>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</si>
  <si>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</si>
  <si>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</si>
  <si>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</si>
  <si>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</si>
  <si>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</si>
  <si>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</si>
  <si>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</si>
  <si>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</si>
  <si>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</si>
  <si>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</si>
  <si>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</si>
  <si>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</si>
  <si>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</si>
  <si>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</si>
  <si>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</si>
  <si>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</si>
  <si>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</si>
  <si>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</si>
  <si>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</si>
  <si>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</si>
  <si>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</si>
  <si>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</si>
  <si>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</si>
  <si>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</si>
  <si>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</si>
  <si>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</si>
  <si>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</si>
  <si>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</si>
  <si>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</si>
  <si>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</si>
  <si>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</si>
  <si>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</si>
  <si>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</si>
  <si>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</si>
  <si>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</si>
  <si>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</si>
  <si>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</si>
  <si>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</si>
  <si>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</si>
  <si>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</si>
  <si>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</si>
  <si>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</si>
  <si>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</si>
  <si>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</si>
  <si>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</si>
  <si>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</si>
  <si>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</si>
  <si>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</si>
  <si>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</si>
  <si>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</si>
  <si>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</si>
  <si>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</si>
  <si>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</si>
  <si>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</si>
  <si>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</si>
  <si>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</si>
  <si>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</si>
  <si>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</si>
  <si>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</si>
  <si>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</si>
  <si>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</si>
  <si>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</si>
  <si>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</si>
  <si>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</si>
  <si>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</si>
  <si>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</si>
  <si>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</si>
  <si>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</si>
  <si>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</si>
  <si>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</si>
  <si>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</si>
  <si>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</si>
  <si>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</si>
  <si>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</si>
  <si>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</si>
  <si>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</si>
  <si>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</si>
  <si>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</si>
  <si>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</si>
  <si>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</si>
  <si>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</si>
  <si>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</si>
  <si>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</si>
  <si>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</si>
  <si>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</si>
  <si>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</si>
  <si>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</si>
  <si>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</si>
  <si>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</si>
  <si>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</si>
  <si>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</si>
  <si>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</si>
  <si>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</si>
  <si>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</si>
  <si>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</si>
  <si>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</si>
  <si>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</si>
  <si>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</si>
  <si>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</si>
  <si>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</si>
  <si>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</si>
  <si>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</si>
  <si>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</si>
  <si>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</si>
  <si>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</si>
  <si>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</si>
  <si>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</si>
  <si>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</si>
  <si>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</si>
  <si>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</si>
  <si>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</si>
  <si>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</si>
  <si>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</si>
  <si>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</si>
  <si>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</si>
  <si>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</si>
  <si>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</si>
  <si>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</si>
  <si>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</si>
  <si>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</si>
  <si>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</si>
  <si>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</si>
  <si>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</si>
  <si>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</si>
  <si>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</si>
  <si>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</si>
  <si>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</si>
  <si>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</si>
  <si>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</si>
  <si>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</si>
  <si>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</si>
  <si>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</si>
  <si>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</si>
  <si>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</si>
  <si>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</si>
  <si>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</si>
  <si>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</si>
  <si>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</si>
  <si>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</si>
  <si>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</si>
  <si>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</si>
  <si>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</si>
  <si>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</si>
  <si>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</si>
  <si>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</si>
  <si>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</si>
  <si>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</si>
  <si>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</si>
  <si>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</si>
  <si>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</si>
  <si>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</si>
  <si>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</si>
  <si>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</si>
  <si>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</si>
  <si>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</si>
  <si>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</si>
  <si>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</si>
  <si>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</si>
  <si>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</si>
  <si>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</si>
  <si>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</si>
  <si>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</si>
  <si>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</si>
  <si>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</si>
  <si>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</si>
  <si>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</si>
  <si>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</si>
  <si>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</si>
  <si>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</si>
  <si>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</si>
  <si>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</si>
  <si>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</si>
  <si>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</si>
  <si>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</si>
  <si>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</si>
  <si>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</si>
  <si>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</si>
  <si>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</si>
  <si>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</si>
  <si>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</si>
  <si>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</si>
  <si>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</si>
  <si>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</si>
  <si>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</si>
  <si>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</si>
  <si>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</si>
  <si>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</si>
  <si>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</si>
  <si>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</si>
  <si>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</si>
  <si>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</si>
  <si>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</si>
  <si>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</si>
  <si>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</si>
  <si>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</si>
  <si>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</si>
  <si>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</si>
  <si>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</si>
  <si>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</si>
  <si>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</si>
  <si>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</si>
  <si>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</si>
  <si>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</si>
  <si>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</si>
  <si>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</si>
  <si>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</si>
  <si>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</si>
  <si>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</si>
  <si>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</si>
  <si>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</si>
  <si>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</si>
  <si>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</si>
  <si>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</si>
  <si>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</si>
  <si>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</si>
  <si>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</si>
  <si>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</si>
  <si>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</si>
  <si>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</si>
  <si>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</si>
  <si>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</si>
  <si>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</si>
  <si>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</si>
  <si>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</si>
  <si>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</si>
  <si>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</si>
  <si>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</si>
  <si>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</si>
  <si>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</si>
  <si>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</si>
  <si>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</si>
  <si>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</si>
  <si>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</si>
  <si>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</si>
  <si>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</si>
  <si>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</si>
  <si>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</si>
  <si>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</si>
  <si>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</si>
  <si>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</si>
  <si>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</si>
  <si>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</si>
  <si>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</si>
  <si>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</si>
  <si>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</si>
  <si>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</si>
  <si>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</si>
  <si>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</si>
  <si>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</si>
  <si>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</si>
  <si>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</si>
  <si>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</si>
  <si>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</si>
  <si>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</si>
  <si>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</si>
  <si>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</si>
  <si>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</si>
  <si>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</si>
  <si>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</si>
  <si>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</si>
  <si>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</si>
  <si>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</si>
  <si>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</si>
  <si>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</si>
  <si>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</si>
  <si>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</si>
  <si>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</si>
  <si>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</si>
  <si>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</si>
  <si>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</si>
  <si>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</si>
  <si>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</si>
  <si>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</si>
  <si>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</si>
  <si>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</si>
  <si>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</si>
  <si>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</si>
  <si>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</si>
  <si>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</si>
  <si>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</si>
  <si>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</si>
  <si>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</si>
  <si>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</si>
  <si>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</si>
  <si>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</si>
  <si>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</si>
  <si>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</si>
  <si>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</si>
  <si>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</si>
  <si>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</si>
  <si>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</si>
  <si>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</si>
  <si>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</si>
  <si>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</si>
  <si>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</si>
  <si>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</si>
  <si>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</si>
  <si>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</si>
  <si>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</si>
  <si>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</si>
  <si>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</si>
  <si>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</si>
  <si>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</si>
  <si>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</si>
  <si>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</si>
  <si>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</si>
  <si>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</si>
  <si>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</si>
  <si>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</si>
  <si>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</si>
  <si>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</si>
  <si>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</si>
  <si>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</si>
  <si>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</si>
  <si>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</si>
  <si>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</si>
  <si>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</si>
  <si>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</si>
  <si>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</si>
  <si>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</si>
  <si>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</si>
  <si>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</si>
  <si>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</si>
  <si>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</si>
  <si>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</si>
  <si>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</si>
  <si>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</si>
  <si>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</si>
  <si>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</si>
  <si>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</si>
  <si>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</si>
  <si>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</si>
  <si>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</si>
  <si>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</si>
  <si>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</si>
  <si>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</si>
  <si>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</si>
  <si>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</si>
  <si>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</si>
  <si>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</si>
  <si>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</si>
  <si>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</si>
  <si>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</si>
  <si>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</si>
  <si>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</si>
  <si>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</si>
  <si>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</si>
  <si>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</si>
  <si>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</si>
  <si>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</si>
  <si>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</si>
  <si>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</si>
  <si>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</si>
  <si>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</si>
  <si>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</si>
  <si>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</si>
  <si>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</si>
  <si>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</si>
  <si>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</si>
  <si>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</si>
  <si>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</si>
  <si>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</si>
  <si>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</si>
  <si>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</si>
  <si>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</si>
  <si>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</si>
  <si>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</si>
  <si>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</si>
  <si>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</si>
  <si>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</si>
  <si>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</si>
  <si>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</si>
  <si>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</si>
  <si>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</si>
  <si>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</si>
  <si>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</si>
  <si>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</si>
  <si>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</si>
  <si>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</si>
  <si>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</si>
  <si>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</si>
  <si>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</si>
  <si>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</si>
  <si>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</si>
  <si>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</si>
  <si>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</si>
  <si>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</si>
  <si>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</si>
  <si>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</si>
  <si>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</si>
  <si>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</si>
  <si>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</si>
  <si>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</si>
  <si>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</si>
  <si>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</si>
  <si>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</si>
  <si>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</si>
  <si>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</si>
  <si>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</si>
  <si>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</si>
  <si>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</si>
  <si>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</si>
  <si>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</si>
  <si>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</si>
  <si>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</si>
  <si>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</si>
  <si>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</si>
  <si>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</si>
  <si>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</si>
  <si>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</si>
  <si>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</si>
  <si>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</si>
  <si>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</si>
  <si>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</si>
  <si>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</si>
  <si>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</si>
  <si>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</si>
  <si>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</si>
  <si>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</si>
  <si>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</si>
  <si>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</si>
  <si>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</si>
  <si>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</si>
  <si>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</si>
  <si>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</si>
  <si>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</si>
  <si>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</si>
  <si>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</si>
  <si>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</si>
  <si>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</si>
  <si>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</si>
  <si>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</si>
  <si>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</si>
  <si>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</si>
  <si>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</si>
  <si>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</si>
  <si>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</si>
  <si>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</si>
  <si>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</si>
  <si>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</si>
  <si>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</si>
  <si>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</si>
  <si>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</si>
  <si>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</si>
  <si>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</si>
  <si>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</si>
  <si>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</si>
  <si>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</si>
  <si>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</si>
  <si>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</si>
  <si>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</si>
  <si>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</si>
  <si>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</si>
  <si>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</si>
  <si>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</si>
  <si>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</si>
  <si>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</si>
  <si>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</si>
  <si>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</si>
  <si>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</si>
  <si>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</si>
  <si>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</si>
  <si>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</si>
  <si>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</si>
  <si>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</si>
  <si>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</si>
  <si>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</si>
  <si>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</si>
  <si>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</si>
  <si>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</si>
  <si>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</si>
  <si>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</si>
  <si>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</si>
  <si>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</si>
  <si>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</si>
  <si>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</si>
  <si>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</si>
  <si>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</si>
  <si>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</si>
  <si>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</si>
  <si>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</si>
  <si>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</si>
  <si>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</si>
  <si>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</si>
  <si>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</si>
  <si>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</si>
  <si>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</si>
  <si>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</si>
  <si>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</si>
  <si>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</si>
  <si>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</si>
  <si>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</si>
  <si>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</si>
  <si>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</si>
  <si>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</si>
  <si>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</si>
  <si>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</si>
  <si>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</si>
  <si>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</si>
  <si>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</si>
  <si>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</si>
  <si>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</si>
  <si>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</si>
  <si>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</si>
  <si>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</si>
  <si>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</si>
  <si>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</si>
  <si>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</si>
  <si>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</si>
  <si>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</si>
  <si>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</si>
  <si>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</si>
  <si>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</si>
  <si>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</si>
  <si>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</si>
  <si>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</si>
  <si>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</si>
  <si>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</si>
  <si>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</si>
  <si>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</si>
  <si>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</si>
  <si>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</si>
  <si>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</si>
  <si>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</si>
  <si>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</si>
  <si>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</si>
  <si>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</si>
  <si>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</si>
  <si>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</si>
  <si>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</si>
  <si>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</si>
  <si>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</si>
  <si>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</si>
  <si>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</si>
  <si>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</si>
  <si>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</si>
  <si>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</si>
  <si>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</si>
  <si>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</si>
  <si>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</si>
  <si>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</si>
  <si>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</si>
  <si>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</si>
  <si>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</si>
  <si>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</si>
  <si>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</si>
  <si>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</si>
  <si>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</si>
  <si>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</si>
  <si>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</si>
  <si>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</si>
  <si>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</si>
  <si>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</si>
  <si>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</si>
  <si>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</si>
  <si>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</si>
  <si>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</si>
  <si>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</si>
  <si>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</si>
  <si>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</si>
  <si>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</si>
  <si>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</si>
  <si>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</si>
  <si>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</si>
  <si>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</si>
  <si>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</si>
  <si>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</si>
  <si>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</si>
  <si>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</si>
  <si>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</si>
  <si>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</si>
  <si>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</si>
  <si>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</si>
  <si>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</si>
  <si>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</si>
  <si>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</si>
  <si>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</si>
  <si>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</si>
  <si>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</si>
  <si>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</si>
  <si>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</si>
  <si>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</si>
  <si>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</si>
  <si>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</si>
  <si>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</si>
  <si>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</si>
  <si>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</si>
  <si>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</si>
  <si>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</si>
  <si>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</si>
  <si>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</si>
  <si>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</si>
  <si>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</si>
  <si>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</si>
  <si>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</si>
  <si>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</si>
  <si>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</si>
  <si>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</si>
  <si>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</si>
  <si>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</si>
  <si>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</si>
  <si>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</si>
  <si>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</si>
  <si>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</si>
  <si>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</si>
  <si>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</si>
  <si>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</si>
  <si>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</si>
  <si>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</si>
  <si>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</si>
  <si>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</si>
  <si>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</si>
  <si>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</si>
  <si>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</si>
  <si>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</si>
  <si>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</si>
  <si>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</si>
  <si>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</si>
  <si>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</si>
  <si>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</si>
  <si>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</si>
  <si>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</si>
  <si>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</si>
  <si>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</si>
  <si>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</si>
  <si>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</si>
  <si>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</si>
  <si>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</si>
  <si>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</si>
  <si>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</si>
  <si>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</si>
  <si>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</si>
  <si>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</si>
  <si>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</si>
  <si>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</si>
  <si>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</si>
  <si>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</si>
  <si>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</si>
  <si>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</si>
  <si>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</si>
  <si>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</si>
  <si>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</si>
  <si>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</si>
  <si>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</si>
  <si>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</si>
  <si>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</si>
  <si>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</si>
  <si>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</si>
  <si>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</si>
  <si>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</si>
  <si>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</si>
  <si>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</si>
  <si>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</si>
  <si>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</si>
  <si>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</si>
  <si>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</si>
  <si>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</si>
  <si>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</si>
  <si>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</si>
  <si>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</si>
  <si>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</si>
  <si>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</si>
  <si>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</si>
  <si>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</si>
  <si>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</si>
  <si>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</si>
  <si>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</si>
  <si>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</si>
  <si>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</si>
  <si>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</si>
  <si>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</si>
  <si>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</si>
  <si>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</si>
  <si>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</si>
  <si>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</si>
  <si>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</si>
  <si>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</si>
  <si>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</si>
  <si>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</si>
  <si>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</si>
  <si>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</si>
  <si>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</si>
  <si>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</si>
  <si>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</si>
  <si>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</si>
  <si>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</si>
  <si>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</si>
  <si>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</si>
  <si>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</si>
  <si>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</si>
  <si>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</si>
  <si>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</si>
  <si>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</si>
  <si>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</si>
  <si>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</si>
  <si>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</si>
  <si>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</si>
  <si>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</si>
  <si>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</si>
  <si>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</si>
  <si>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</si>
  <si>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</si>
  <si>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</si>
  <si>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</si>
  <si>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</si>
  <si>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</si>
  <si>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</si>
  <si>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</si>
  <si>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</si>
  <si>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</si>
  <si>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</si>
  <si>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</si>
  <si>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</si>
  <si>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</si>
  <si>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</si>
  <si>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</si>
  <si>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</si>
  <si>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</si>
  <si>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</si>
  <si>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</si>
  <si>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</si>
  <si>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</si>
  <si>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</si>
  <si>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</si>
  <si>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</si>
  <si>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</si>
  <si>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</si>
  <si>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</si>
  <si>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</si>
  <si>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</si>
  <si>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</si>
  <si>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</si>
  <si>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</si>
  <si>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</si>
  <si>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</si>
  <si>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</si>
  <si>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</si>
  <si>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</si>
  <si>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</si>
  <si>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</si>
  <si>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</si>
  <si>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</si>
  <si>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</si>
  <si>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</si>
  <si>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</si>
  <si>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</si>
  <si>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</si>
  <si>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</si>
  <si>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</si>
  <si>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</si>
  <si>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</si>
  <si>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</si>
  <si>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</si>
  <si>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</si>
  <si>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</si>
  <si>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</si>
  <si>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</si>
  <si>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</si>
  <si>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</si>
  <si>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</si>
  <si>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</si>
  <si>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</si>
  <si>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</si>
  <si>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</si>
  <si>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</si>
  <si>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</si>
  <si>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</si>
  <si>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</si>
  <si>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</si>
  <si>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</si>
  <si>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</si>
  <si>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</si>
  <si>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</si>
  <si>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</si>
  <si>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</si>
  <si>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</si>
  <si>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</si>
  <si>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</si>
  <si>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</si>
  <si>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</si>
  <si>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</si>
  <si>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</si>
  <si>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</si>
  <si>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</si>
  <si>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</si>
  <si>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</si>
  <si>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</si>
  <si>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</si>
  <si>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</si>
  <si>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</si>
  <si>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</si>
  <si>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</si>
  <si>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</si>
  <si>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</si>
  <si>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</si>
  <si>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</si>
  <si>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Month</t>
  </si>
  <si>
    <t>Year</t>
  </si>
  <si>
    <t>Quarter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</si>
  <si>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</si>
  <si>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</si>
  <si>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</si>
  <si>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</si>
  <si>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</si>
  <si>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</si>
  <si>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</si>
  <si>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</si>
  <si>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</si>
  <si>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 Coupon</t>
  </si>
  <si>
    <t>Total Price Outlier Check</t>
  </si>
  <si>
    <t>Quantity Outlier Check</t>
  </si>
  <si>
    <t>Unit Price Outlier Check</t>
  </si>
  <si>
    <t>Measure</t>
  </si>
  <si>
    <t>Values</t>
  </si>
  <si>
    <t>Total Price Statistics</t>
  </si>
  <si>
    <t>Quantity Statistics</t>
  </si>
  <si>
    <t>Cart Items Statistics</t>
  </si>
  <si>
    <t>Total Orders</t>
  </si>
  <si>
    <t>Total Price Average</t>
  </si>
  <si>
    <t>Total quantity</t>
  </si>
  <si>
    <t>Total</t>
  </si>
  <si>
    <t>Total Customers</t>
  </si>
  <si>
    <t>Total Price Median</t>
  </si>
  <si>
    <t>Average</t>
  </si>
  <si>
    <t>Gross Revenue</t>
  </si>
  <si>
    <t>Total Price Max</t>
  </si>
  <si>
    <t>Median</t>
  </si>
  <si>
    <t>Total Price Min</t>
  </si>
  <si>
    <t>Min</t>
  </si>
  <si>
    <t>KPI</t>
  </si>
  <si>
    <t>Standard Deviation</t>
  </si>
  <si>
    <t>Max</t>
  </si>
  <si>
    <t>Mode</t>
  </si>
  <si>
    <t>Actual Revenue</t>
  </si>
  <si>
    <t>Average Order Value</t>
  </si>
  <si>
    <t>Outlier Check</t>
  </si>
  <si>
    <t>Return Rate</t>
  </si>
  <si>
    <t>Metric</t>
  </si>
  <si>
    <t>Cancelled Rate</t>
  </si>
  <si>
    <t>Outlier(Q1)</t>
  </si>
  <si>
    <t>Outlier(Q3)</t>
  </si>
  <si>
    <t>SD</t>
  </si>
  <si>
    <t>IQR</t>
  </si>
  <si>
    <t>Lower bound</t>
  </si>
  <si>
    <t>Revenue</t>
  </si>
  <si>
    <t>Orders</t>
  </si>
  <si>
    <t>AOV</t>
  </si>
  <si>
    <t>Upper bound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</si>
  <si>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</si>
  <si>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</si>
  <si>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</si>
  <si>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</si>
  <si>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</si>
  <si>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</si>
  <si>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</si>
  <si>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</si>
  <si>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</si>
  <si>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</si>
  <si>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% of Product</t>
  </si>
  <si>
    <t>Count of OrderID</t>
  </si>
  <si>
    <t>Sum of Unit Price</t>
  </si>
  <si>
    <t>% of Unit Price</t>
  </si>
  <si>
    <t>Sum of Total Price</t>
  </si>
  <si>
    <t>%  of Total Price</t>
  </si>
  <si>
    <t>Count of Payment Method</t>
  </si>
  <si>
    <t>A: Lower Bound</t>
  </si>
  <si>
    <t>B: Upper Bound</t>
  </si>
  <si>
    <t>Bins</t>
  </si>
  <si>
    <t>C: Frequency</t>
  </si>
  <si>
    <t>Grand Total</t>
  </si>
  <si>
    <t>Count of Order Status</t>
  </si>
  <si>
    <t>Count of Coupon Code</t>
  </si>
  <si>
    <t>Count of Referral Source</t>
  </si>
  <si>
    <t>Sum of C: Frequency</t>
  </si>
  <si>
    <t>0-500</t>
  </si>
  <si>
    <t>500-1000</t>
  </si>
  <si>
    <t>1000-1500</t>
  </si>
  <si>
    <t>1500-2000</t>
  </si>
  <si>
    <t>2000-2500</t>
  </si>
  <si>
    <t>2500-3000</t>
  </si>
  <si>
    <t>3000-3500</t>
  </si>
  <si>
    <t>3500-4000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</si>
  <si>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</si>
  <si>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</si>
  <si>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</si>
  <si>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</si>
  <si>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</si>
  <si>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</si>
  <si>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</si>
  <si>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</si>
  <si>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</si>
  <si>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</si>
  <si>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</si>
  <si>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Q1</t>
  </si>
  <si>
    <t>Nov</t>
  </si>
  <si>
    <t>Q2</t>
  </si>
  <si>
    <t>Dec</t>
  </si>
  <si>
    <t>Q3</t>
  </si>
  <si>
    <t>2024</t>
  </si>
  <si>
    <t>Q4</t>
  </si>
  <si>
    <t>2025</t>
  </si>
  <si>
    <t>s</t>
  </si>
  <si>
    <t>S/N</t>
  </si>
  <si>
    <t>Area</t>
  </si>
  <si>
    <t>Finding</t>
  </si>
  <si>
    <t>Evidence</t>
  </si>
  <si>
    <t>Source in workbook</t>
  </si>
  <si>
    <t>Order outcomes</t>
  </si>
  <si>
    <t>41.4% of orders are cancelled or returned</t>
  </si>
  <si>
    <t>Cancelled 20.83%, Returned 20.58%</t>
  </si>
  <si>
    <t>Descriptive Statistics, KPI block (rates)</t>
  </si>
  <si>
    <t>Only 38.6% of gross revenue is realised</t>
  </si>
  <si>
    <t>Net $488,759.90 vs gross $1,264,761.96</t>
  </si>
  <si>
    <t>Descriptive Statistics, Gross Revenue and Actual Revenue</t>
  </si>
  <si>
    <t>Net average order value is about $1,049</t>
  </si>
  <si>
    <t>$1,048.84 (466 Shipped and Delivered orders)</t>
  </si>
  <si>
    <t>Descriptive Statistics, Average Order Value</t>
  </si>
  <si>
    <t>Order value</t>
  </si>
  <si>
    <t>Right-skewed: a few large orders pull the mean above the median</t>
  </si>
  <si>
    <t>Mean $1,053.97, median $823.62, SD $819.86</t>
  </si>
  <si>
    <t>Descriptive Statistics, Total Price block</t>
  </si>
  <si>
    <t>Most orders are small</t>
  </si>
  <si>
    <t>57% under $1,000; 15% over $2,000</t>
  </si>
  <si>
    <t>Distribution of Total Order Prices chart</t>
  </si>
  <si>
    <t>Price and quantity</t>
  </si>
  <si>
    <t>Unit price is spread evenly; most orders are 1 to 3 units</t>
  </si>
  <si>
    <t>Unit price mean $356.41, median $364.21; quantity mean 2.95, mode 1</t>
  </si>
  <si>
    <t>Descriptive Statistics, Unit Price and Quantity blocks</t>
  </si>
  <si>
    <t>Products</t>
  </si>
  <si>
    <t>Evenly balanced; ranking gaps are trivial</t>
  </si>
  <si>
    <t>13% to 15% of orders each; Chair and Printer revenue differ by $7.50</t>
  </si>
  <si>
    <t>Revenue by Product and Orders by Product charts</t>
  </si>
  <si>
    <t>Channels</t>
  </si>
  <si>
    <t>Referral sources are close</t>
  </si>
  <si>
    <t>Instagram highest (259), Referral lowest (222)</t>
  </si>
  <si>
    <t>Referral Source chart</t>
  </si>
  <si>
    <t>Order trend</t>
  </si>
  <si>
    <t>Orders slipped slightly (Jan to Jun each year)</t>
  </si>
  <si>
    <t>252, then 237, then 231 (-6.0%, then -2.5%)</t>
  </si>
  <si>
    <t>Quarterly table (Q1 plus Q2 orders)</t>
  </si>
  <si>
    <t>Revenue trend</t>
  </si>
  <si>
    <t>Revenue fell faster than orders</t>
  </si>
  <si>
    <t>$286,502, then $257,059, then $231,883 (-10.3%, then -9.8%)</t>
  </si>
  <si>
    <t>Quarterly table (Q1 plus Q2 revenue)</t>
  </si>
  <si>
    <t>AOV trend</t>
  </si>
  <si>
    <t>Volatile, not steadily falling</t>
  </si>
  <si>
    <t>$1,145 (2023 Q1), low $917 (2025 Q1), back to $1,087 (2025 Q2)</t>
  </si>
  <si>
    <t>AOV column in the quarterly table and AOV chart</t>
  </si>
  <si>
    <t>Seasonality</t>
  </si>
  <si>
    <t>No consistent seasonal pattern</t>
  </si>
  <si>
    <t>Monthly orders range 27 (Jan 2025) to 53 (Jun 2024)</t>
  </si>
  <si>
    <t>Orders by Month chart</t>
  </si>
  <si>
    <t>Outliers</t>
  </si>
  <si>
    <t>8 high-value orders, all legitimate, retained</t>
  </si>
  <si>
    <t>0.67% of orders above $3,330.41; all 5-unit orders priced $667 to $691</t>
  </si>
  <si>
    <t>Outlier Check sheet (flag column)</t>
  </si>
  <si>
    <t>None in Quantity or Unit Price</t>
  </si>
  <si>
    <t>Bounds -1 to 7 and -317 to 1,025; all values inside</t>
  </si>
  <si>
    <t>Descriptive Statistics, outlier bounds</t>
  </si>
  <si>
    <t>Limitation</t>
  </si>
  <si>
    <t>Coupon impact can't be measured</t>
  </si>
  <si>
    <t>Total Price = Quantity x Unit Price on every row</t>
  </si>
  <si>
    <t>Task 1 validation sheet</t>
  </si>
  <si>
    <t>2025 is a half year; net revenue is a floor</t>
  </si>
  <si>
    <t>Data ends 30 Jun 2025; 237 Pending orders</t>
  </si>
  <si>
    <t>Cleaned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</si>
</sst>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.00;\-[$$-409]#,##0.00"/>
    <numFmt numFmtId="179" formatCode="0_);[Red]\(0\)"/>
    <numFmt numFmtId="180" formatCode="0.000000_ "/>
    <numFmt numFmtId="181" formatCode="yyyy\-mm\-dd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8" fontId="0" fillId="0" borderId="0" xfId="0" applyNumberFormat="1"/>
    <xf numFmtId="10" fontId="0" fillId="0" borderId="0" xfId="0" applyNumberFormat="1"/>
    <xf numFmtId="6" fontId="0" fillId="0" borderId="0" xfId="0" applyNumberFormat="1"/>
    <xf numFmtId="178" fontId="0" fillId="0" borderId="0" xfId="0" applyNumberFormat="1"/>
    <xf numFmtId="0" fontId="4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NumberFormat="1" applyAlignment="1">
      <alignment horizontal="right" wrapText="1"/>
    </xf>
    <xf numFmtId="179" fontId="0" fillId="0" borderId="0" xfId="0" applyNumberFormat="1"/>
    <xf numFmtId="180" fontId="0" fillId="0" borderId="0" xfId="0" applyNumberFormat="1"/>
    <xf numFmtId="44" fontId="0" fillId="0" borderId="0" xfId="0" applyNumberFormat="1"/>
    <xf numFmtId="8" fontId="0" fillId="0" borderId="0" xfId="0" applyNumberFormat="1"/>
    <xf numFmtId="0" fontId="4" fillId="0" borderId="0" xfId="0" applyFont="1"/>
    <xf numFmtId="0" fontId="4" fillId="0" borderId="2" xfId="0" applyFont="1" applyBorder="1" applyAlignment="1">
      <alignment horizontal="center" vertical="top"/>
    </xf>
    <xf numFmtId="181" fontId="0" fillId="0" borderId="0" xfId="0" applyNumberFormat="1"/>
    <xf numFmtId="49" fontId="0" fillId="0" borderId="0" xfId="0" applyNumberFormat="1"/>
    <xf numFmtId="49" fontId="4" fillId="0" borderId="2" xfId="0" applyNumberFormat="1" applyFont="1" applyBorder="1" applyAlignment="1">
      <alignment horizontal="center" vertical="top"/>
    </xf>
    <xf numFmtId="0" fontId="0" fillId="0" borderId="0" xfId="0" applyNumberFormat="1"/>
    <xf numFmtId="0" fontId="5" fillId="0" borderId="3" xfId="0" applyFont="1" applyBorder="1" applyAlignment="1">
      <alignment horizontal="center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wrapText="1" readingOrder="1"/>
    </xf>
    <xf numFmtId="58" fontId="6" fillId="0" borderId="5" xfId="0" applyNumberFormat="1" applyFont="1" applyBorder="1" applyAlignment="1">
      <alignment horizontal="right" wrapText="1" readingOrder="1"/>
    </xf>
    <xf numFmtId="0" fontId="6" fillId="0" borderId="5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numFmt numFmtId="8" formatCode="&quot;$&quot;#,##0.00_);[Red]\(&quot;$&quot;#,##0.00\)"/>
    </dxf>
    <dxf>
      <numFmt numFmtId="8" formatCode="&quot;$&quot;#,##0.00_);[Red]\(&quot;$&quot;#,##0.00\)"/>
    </dxf>
    <dxf>
      <numFmt numFmtId="10" formatCode="0.00%"/>
    </dxf>
    <dxf>
      <numFmt numFmtId="10" formatCode="0.00%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82" formatCode="&quot;$&quot;#,##0.000_);[Red]\(&quot;$&quot;#,##0.000\)"/>
    </dxf>
    <dxf>
      <numFmt numFmtId="8" formatCode="&quot;$&quot;#,##0.00_);[Red]\(&quot;$&quot;#,##0.00\)"/>
    </dxf>
    <dxf>
      <numFmt numFmtId="183" formatCode="&quot;$&quot;#,##0.0_);[Red]\(&quot;$&quot;#,##0.0\)"/>
    </dxf>
    <dxf>
      <numFmt numFmtId="6" formatCode="&quot;$&quot;#,##0_);[Red]\(&quot;$&quot;#,##0\)"/>
    </dxf>
    <dxf>
      <numFmt numFmtId="181" formatCode="yyyy\-mm\-dd"/>
    </dxf>
    <dxf>
      <numFmt numFmtId="181" formatCode="yyyy\-mm\-dd"/>
    </dxf>
    <dxf>
      <numFmt numFmtId="181" formatCode="yyyy\-mm\-dd"/>
    </dxf>
    <dxf>
      <numFmt numFmtId="181" formatCode="yyyy\-mm\-dd"/>
    </dxf>
    <dxf>
      <numFmt numFmtId="49" formatCode="@"/>
    </dxf>
    <dxf>
      <numFmt numFmtId="179" formatCode="0_);[Red]\(0\)"/>
    </dxf>
    <dxf>
      <numFmt numFmtId="44" formatCode="_(&quot;$&quot;* #,##0.00_);_(&quot;$&quot;* \(#,##0.00\);_(&quot;$&quot;* &quot;-&quot;??_);_(@_)"/>
    </dxf>
    <dxf>
      <numFmt numFmtId="49" formatCode="@"/>
    </dxf>
    <dxf>
      <numFmt numFmtId="49" formatCode="@"/>
    </dxf>
    <dxf>
      <numFmt numFmtId="179" formatCode="0_);[Red]\(0\)"/>
    </dxf>
    <dxf>
      <numFmt numFmtId="49" formatCode="@"/>
    </dxf>
    <dxf>
      <numFmt numFmtId="4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alignment horizontal="right" wrapText="1"/>
    </dxf>
    <dxf>
      <alignment horizontal="right" wrapText="1"/>
    </dxf>
    <dxf>
      <numFmt numFmtId="0" formatCode="General"/>
    </dxf>
    <dxf>
      <numFmt numFmtId="0" formatCode="General"/>
      <alignment horizontal="right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[Task-2-Blossom Ezenwaka.xlsx]Pivot Tables!Month &amp; Year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Orders by Month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Tables'!$I$21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Tables'!$G$22:$H$55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'Pivot Tables'!$I$22:$I$55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797514"/>
        <c:axId val="912710994"/>
      </c:lineChart>
      <c:catAx>
        <c:axId val="977975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2710994"/>
        <c:crosses val="autoZero"/>
        <c:auto val="1"/>
        <c:lblAlgn val="ctr"/>
        <c:lblOffset val="100"/>
        <c:noMultiLvlLbl val="0"/>
      </c:catAx>
      <c:valAx>
        <c:axId val="91271099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975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abb773-1e49-4aa3-9b25-1cf548642e2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[Task-2-Blossom Ezenwaka.xlsx]Pivot Tables!Revenue by Product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Tables'!$A$22:$A$29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Tables'!$B$22:$B$29</c:f>
              <c:numCache>
                <c:formatCode>"$"#,##0_);[Red]\("$"#,##0\)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0741281"/>
        <c:axId val="310922940"/>
      </c:barChart>
      <c:catAx>
        <c:axId val="107412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0922940"/>
        <c:crosses val="autoZero"/>
        <c:auto val="1"/>
        <c:lblAlgn val="ctr"/>
        <c:lblOffset val="100"/>
        <c:noMultiLvlLbl val="0"/>
      </c:catAx>
      <c:valAx>
        <c:axId val="310922940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4128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115e808-b4d4-4a67-8551-85ce394c58b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[Task-2-Blossom Ezenwaka.xlsx]Pivot Tables!No. of Orders by Product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Orders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Tables'!$D$22:$D$29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'Pivot Tables'!$E$22:$E$29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25895173"/>
        <c:axId val="331622650"/>
      </c:barChart>
      <c:catAx>
        <c:axId val="2258951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1622650"/>
        <c:crosses val="autoZero"/>
        <c:auto val="1"/>
        <c:lblAlgn val="ctr"/>
        <c:lblOffset val="100"/>
        <c:noMultiLvlLbl val="0"/>
      </c:catAx>
      <c:valAx>
        <c:axId val="3316226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8951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36f76a9-bede-4a9a-87f8-8d359a65ac6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[Task-2-Blossom Ezenwaka.xlsx]Pivot Tables!Order Status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Status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'Pivot Tables'!$B$14:$B$19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38191929"/>
        <c:axId val="113214127"/>
      </c:barChart>
      <c:catAx>
        <c:axId val="4381919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214127"/>
        <c:crosses val="autoZero"/>
        <c:auto val="1"/>
        <c:lblAlgn val="ctr"/>
        <c:lblOffset val="100"/>
        <c:noMultiLvlLbl val="0"/>
      </c:catAx>
      <c:valAx>
        <c:axId val="113214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919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2cd6edf-2044-4cfa-9aa2-5dc5c87af5a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Distribution of Total Order Prices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{"0-500","500-1000","1000-1500","1500-2000","2000-2500","2500-3000","3000-3500","3500-4000"}</c:f>
              <c:strCache>
                <c:ptCount val="8"/>
                <c:pt idx="0">
                  <c:v>0-500</c:v>
                </c:pt>
                <c:pt idx="1">
                  <c:v>500-1000</c:v>
                </c:pt>
                <c:pt idx="2">
                  <c:v>1000-1500</c:v>
                </c:pt>
                <c:pt idx="3">
                  <c:v>1500-2000</c:v>
                </c:pt>
                <c:pt idx="4">
                  <c:v>2000-2500</c:v>
                </c:pt>
                <c:pt idx="5">
                  <c:v>2500-3000</c:v>
                </c:pt>
                <c:pt idx="6">
                  <c:v>3000-3500</c:v>
                </c:pt>
                <c:pt idx="7">
                  <c:v>3500-4000</c:v>
                </c:pt>
              </c:strCache>
            </c:strRef>
          </c:cat>
          <c:val>
            <c:numRef>
              <c:f>{383,305,190,142,86,60,34,0}</c:f>
              <c:numCache>
                <c:formatCode>General</c:formatCode>
                <c:ptCount val="8"/>
                <c:pt idx="0">
                  <c:v>383</c:v>
                </c:pt>
                <c:pt idx="1">
                  <c:v>305</c:v>
                </c:pt>
                <c:pt idx="2">
                  <c:v>190</c:v>
                </c:pt>
                <c:pt idx="3">
                  <c:v>142</c:v>
                </c:pt>
                <c:pt idx="4">
                  <c:v>86</c:v>
                </c:pt>
                <c:pt idx="5">
                  <c:v>60</c:v>
                </c:pt>
                <c:pt idx="6">
                  <c:v>34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74618443"/>
        <c:axId val="866248678"/>
      </c:barChart>
      <c:catAx>
        <c:axId val="3746184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6248678"/>
        <c:crosses val="autoZero"/>
        <c:auto val="1"/>
        <c:lblAlgn val="ctr"/>
        <c:lblOffset val="100"/>
        <c:noMultiLvlLbl val="0"/>
      </c:catAx>
      <c:valAx>
        <c:axId val="86624867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6184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ee1a21-0b6e-462d-9f86-d2dd24df462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[Task-2-Blossom Ezenwaka.xlsx]Pivot Tables!Referral Source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Referral Source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Tables'!$G$14:$G$19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'Pivot Tables'!$H$14:$H$19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4899096"/>
        <c:axId val="590855674"/>
      </c:barChart>
      <c:catAx>
        <c:axId val="74899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855674"/>
        <c:crosses val="autoZero"/>
        <c:auto val="1"/>
        <c:lblAlgn val="ctr"/>
        <c:lblOffset val="100"/>
        <c:noMultiLvlLbl val="0"/>
      </c:catAx>
      <c:valAx>
        <c:axId val="59085567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9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f5cb83-e2ff-4092-a8ea-72f99391428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[Task-2-Blossom Ezenwaka.xlsx]Pivot Tables!PivotTable11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Quarter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Tables'!$A$32:$B$45</c:f>
              <c:multiLvlStrCache>
                <c:ptCount val="1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'Pivot Tables'!$C$32:$C$45</c:f>
              <c:numCache>
                <c:formatCode>[$$-409]#,##0.00;\-[$$-409]#,##0.00</c:formatCode>
                <c:ptCount val="10"/>
                <c:pt idx="0">
                  <c:v>145412.78</c:v>
                </c:pt>
                <c:pt idx="1">
                  <c:v>141088.74</c:v>
                </c:pt>
                <c:pt idx="2">
                  <c:v>126699.47</c:v>
                </c:pt>
                <c:pt idx="3">
                  <c:v>139442.25</c:v>
                </c:pt>
                <c:pt idx="4">
                  <c:v>111468.55</c:v>
                </c:pt>
                <c:pt idx="5">
                  <c:v>145590.79</c:v>
                </c:pt>
                <c:pt idx="6">
                  <c:v>114750.03</c:v>
                </c:pt>
                <c:pt idx="7">
                  <c:v>108426.5</c:v>
                </c:pt>
                <c:pt idx="8">
                  <c:v>103617.61</c:v>
                </c:pt>
                <c:pt idx="9">
                  <c:v>128265.24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69086"/>
        <c:axId val="369300659"/>
      </c:lineChart>
      <c:catAx>
        <c:axId val="1566908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300659"/>
        <c:crosses val="autoZero"/>
        <c:auto val="1"/>
        <c:lblAlgn val="ctr"/>
        <c:lblOffset val="100"/>
        <c:noMultiLvlLbl val="0"/>
      </c:catAx>
      <c:valAx>
        <c:axId val="369300659"/>
        <c:scaling>
          <c:orientation val="minMax"/>
        </c:scaling>
        <c:delete val="1"/>
        <c:axPos val="l"/>
        <c:numFmt formatCode="[$$-409]#,##0.00;\-[$$-409]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6908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79e2519-c331-4584-81d5-cc249c638fe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'Descriptive Statistics'!$D$18</c:f>
              <c:strCache>
                <c:ptCount val="1"/>
                <c:pt idx="0">
                  <c:v>AOV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Statistics'!$A$19:$A$28</c:f>
              <c:strCache>
                <c:ptCount val="10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</c:strCache>
            </c:strRef>
          </c:cat>
          <c:val>
            <c:numRef>
              <c:f>'Descriptive Statistics'!$D$19:$D$28</c:f>
              <c:numCache>
                <c:formatCode>"$"#,##0.00_);[Red]\("$"#,##0.00\)</c:formatCode>
                <c:ptCount val="10"/>
                <c:pt idx="0">
                  <c:v>1144.98251968504</c:v>
                </c:pt>
                <c:pt idx="1">
                  <c:v>1128.70992</c:v>
                </c:pt>
                <c:pt idx="2">
                  <c:v>1021.76991935484</c:v>
                </c:pt>
                <c:pt idx="3">
                  <c:v>1040.61380597015</c:v>
                </c:pt>
                <c:pt idx="4">
                  <c:v>1114.6855</c:v>
                </c:pt>
                <c:pt idx="5">
                  <c:v>1062.70649635037</c:v>
                </c:pt>
                <c:pt idx="6">
                  <c:v>997.826347826087</c:v>
                </c:pt>
                <c:pt idx="7">
                  <c:v>1013.33177570093</c:v>
                </c:pt>
                <c:pt idx="8">
                  <c:v>916.97</c:v>
                </c:pt>
                <c:pt idx="9">
                  <c:v>1086.99355932203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491207"/>
        <c:axId val="246375147"/>
      </c:lineChart>
      <c:catAx>
        <c:axId val="168491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6375147"/>
        <c:crosses val="autoZero"/>
        <c:auto val="1"/>
        <c:lblAlgn val="ctr"/>
        <c:lblOffset val="100"/>
        <c:noMultiLvlLbl val="0"/>
      </c:catAx>
      <c:valAx>
        <c:axId val="246375147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491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835ff0-6b4a-496b-88ff-e163b20e716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173990</xdr:colOff>
      <xdr:row>0</xdr:row>
      <xdr:rowOff>83185</xdr:rowOff>
    </xdr:from>
    <xdr:to>
      <xdr:col>36</xdr:col>
      <xdr:colOff>562610</xdr:colOff>
      <xdr:row>43</xdr:row>
      <xdr:rowOff>84455</xdr:rowOff>
    </xdr:to>
    <xdr:sp>
      <xdr:nvSpPr>
        <xdr:cNvPr id="13" name="Rounded Rectangle 12"/>
        <xdr:cNvSpPr/>
      </xdr:nvSpPr>
      <xdr:spPr>
        <a:xfrm>
          <a:off x="173990" y="83185"/>
          <a:ext cx="23394670" cy="791972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13</xdr:col>
      <xdr:colOff>289560</xdr:colOff>
      <xdr:row>9</xdr:row>
      <xdr:rowOff>90170</xdr:rowOff>
    </xdr:from>
    <xdr:to>
      <xdr:col>24</xdr:col>
      <xdr:colOff>553085</xdr:colOff>
      <xdr:row>24</xdr:row>
      <xdr:rowOff>132715</xdr:rowOff>
    </xdr:to>
    <xdr:graphicFrame>
      <xdr:nvGraphicFramePr>
        <xdr:cNvPr id="4" name="Chart 3"/>
        <xdr:cNvGraphicFramePr/>
      </xdr:nvGraphicFramePr>
      <xdr:xfrm>
        <a:off x="8214360" y="1747520"/>
        <a:ext cx="6969125" cy="2804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6985</xdr:colOff>
      <xdr:row>26</xdr:row>
      <xdr:rowOff>83185</xdr:rowOff>
    </xdr:from>
    <xdr:to>
      <xdr:col>10</xdr:col>
      <xdr:colOff>139065</xdr:colOff>
      <xdr:row>40</xdr:row>
      <xdr:rowOff>62865</xdr:rowOff>
    </xdr:to>
    <xdr:graphicFrame>
      <xdr:nvGraphicFramePr>
        <xdr:cNvPr id="5" name="Chart 4"/>
        <xdr:cNvGraphicFramePr/>
      </xdr:nvGraphicFramePr>
      <xdr:xfrm>
        <a:off x="1226185" y="4871085"/>
        <a:ext cx="5008880" cy="2557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579120</xdr:colOff>
      <xdr:row>26</xdr:row>
      <xdr:rowOff>83185</xdr:rowOff>
    </xdr:from>
    <xdr:to>
      <xdr:col>29</xdr:col>
      <xdr:colOff>384175</xdr:colOff>
      <xdr:row>40</xdr:row>
      <xdr:rowOff>62865</xdr:rowOff>
    </xdr:to>
    <xdr:graphicFrame>
      <xdr:nvGraphicFramePr>
        <xdr:cNvPr id="6" name="Chart 5"/>
        <xdr:cNvGraphicFramePr/>
      </xdr:nvGraphicFramePr>
      <xdr:xfrm>
        <a:off x="14599920" y="4871085"/>
        <a:ext cx="4281805" cy="2557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302260</xdr:colOff>
      <xdr:row>26</xdr:row>
      <xdr:rowOff>83185</xdr:rowOff>
    </xdr:from>
    <xdr:to>
      <xdr:col>16</xdr:col>
      <xdr:colOff>403225</xdr:colOff>
      <xdr:row>40</xdr:row>
      <xdr:rowOff>62865</xdr:rowOff>
    </xdr:to>
    <xdr:graphicFrame>
      <xdr:nvGraphicFramePr>
        <xdr:cNvPr id="9" name="Chart 8"/>
        <xdr:cNvGraphicFramePr/>
      </xdr:nvGraphicFramePr>
      <xdr:xfrm>
        <a:off x="6398260" y="4871085"/>
        <a:ext cx="3758565" cy="2557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547370</xdr:colOff>
      <xdr:row>26</xdr:row>
      <xdr:rowOff>83185</xdr:rowOff>
    </xdr:from>
    <xdr:to>
      <xdr:col>36</xdr:col>
      <xdr:colOff>140335</xdr:colOff>
      <xdr:row>40</xdr:row>
      <xdr:rowOff>62865</xdr:rowOff>
    </xdr:to>
    <xdr:graphicFrame>
      <xdr:nvGraphicFramePr>
        <xdr:cNvPr id="12" name="Chart 11"/>
        <xdr:cNvGraphicFramePr/>
      </xdr:nvGraphicFramePr>
      <xdr:xfrm>
        <a:off x="19044920" y="4871085"/>
        <a:ext cx="4101465" cy="2557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566420</xdr:colOff>
      <xdr:row>26</xdr:row>
      <xdr:rowOff>83185</xdr:rowOff>
    </xdr:from>
    <xdr:to>
      <xdr:col>23</xdr:col>
      <xdr:colOff>415925</xdr:colOff>
      <xdr:row>40</xdr:row>
      <xdr:rowOff>62865</xdr:rowOff>
    </xdr:to>
    <xdr:graphicFrame>
      <xdr:nvGraphicFramePr>
        <xdr:cNvPr id="14" name="Chart 13"/>
        <xdr:cNvGraphicFramePr/>
      </xdr:nvGraphicFramePr>
      <xdr:xfrm>
        <a:off x="10320020" y="4871085"/>
        <a:ext cx="4116705" cy="2557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133350</xdr:colOff>
      <xdr:row>1</xdr:row>
      <xdr:rowOff>73025</xdr:rowOff>
    </xdr:from>
    <xdr:to>
      <xdr:col>13</xdr:col>
      <xdr:colOff>223520</xdr:colOff>
      <xdr:row>6</xdr:row>
      <xdr:rowOff>78105</xdr:rowOff>
    </xdr:to>
    <xdr:sp>
      <xdr:nvSpPr>
        <xdr:cNvPr id="16" name="Text Box 15"/>
        <xdr:cNvSpPr txBox="1"/>
      </xdr:nvSpPr>
      <xdr:spPr>
        <a:xfrm>
          <a:off x="1352550" y="257175"/>
          <a:ext cx="6795770" cy="92583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altLang="en-GB" sz="4800" b="1"/>
            <a:t>E-COMMERCE EDA</a:t>
          </a:r>
          <a:endParaRPr lang="en-US" altLang="en-GB" sz="4800" b="1"/>
        </a:p>
      </xdr:txBody>
    </xdr:sp>
    <xdr:clientData/>
  </xdr:twoCellAnchor>
  <xdr:twoCellAnchor>
    <xdr:from>
      <xdr:col>26</xdr:col>
      <xdr:colOff>313055</xdr:colOff>
      <xdr:row>9</xdr:row>
      <xdr:rowOff>90170</xdr:rowOff>
    </xdr:from>
    <xdr:to>
      <xdr:col>36</xdr:col>
      <xdr:colOff>227965</xdr:colOff>
      <xdr:row>24</xdr:row>
      <xdr:rowOff>132715</xdr:rowOff>
    </xdr:to>
    <xdr:graphicFrame>
      <xdr:nvGraphicFramePr>
        <xdr:cNvPr id="20" name="Chart 19"/>
        <xdr:cNvGraphicFramePr/>
      </xdr:nvGraphicFramePr>
      <xdr:xfrm>
        <a:off x="16162655" y="1747520"/>
        <a:ext cx="7071360" cy="2804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488950</xdr:colOff>
      <xdr:row>3</xdr:row>
      <xdr:rowOff>19050</xdr:rowOff>
    </xdr:from>
    <xdr:to>
      <xdr:col>18</xdr:col>
      <xdr:colOff>590550</xdr:colOff>
      <xdr:row>6</xdr:row>
      <xdr:rowOff>114935</xdr:rowOff>
    </xdr:to>
    <xdr:sp textlink="'Descriptive Statistics'!$B$11">
      <xdr:nvSpPr>
        <xdr:cNvPr id="2" name="Text Box 1"/>
        <xdr:cNvSpPr txBox="1"/>
      </xdr:nvSpPr>
      <xdr:spPr>
        <a:xfrm>
          <a:off x="9632950" y="571500"/>
          <a:ext cx="1930400" cy="648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US" altLang="en-GB" sz="2200"/>
            <a:t>$488,759.90 </a:t>
          </a:fld>
          <a:endParaRPr lang="en-US" altLang="en-GB" sz="2200"/>
        </a:p>
      </xdr:txBody>
    </xdr:sp>
    <xdr:clientData/>
  </xdr:twoCellAnchor>
  <xdr:twoCellAnchor>
    <xdr:from>
      <xdr:col>15</xdr:col>
      <xdr:colOff>349250</xdr:colOff>
      <xdr:row>0</xdr:row>
      <xdr:rowOff>146050</xdr:rowOff>
    </xdr:from>
    <xdr:to>
      <xdr:col>19</xdr:col>
      <xdr:colOff>145415</xdr:colOff>
      <xdr:row>7</xdr:row>
      <xdr:rowOff>0</xdr:rowOff>
    </xdr:to>
    <xdr:sp>
      <xdr:nvSpPr>
        <xdr:cNvPr id="8" name="Text Box 7"/>
        <xdr:cNvSpPr txBox="1"/>
      </xdr:nvSpPr>
      <xdr:spPr>
        <a:xfrm>
          <a:off x="9493250" y="146050"/>
          <a:ext cx="2234565" cy="11430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altLang="en-GB" sz="1600" b="1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charset="0"/>
              <a:cs typeface="Times New Roman" panose="02020603050405020304" charset="0"/>
            </a:rPr>
            <a:t>NET REVENUE</a:t>
          </a:r>
          <a:endParaRPr lang="en-US" altLang="en-GB" sz="1600" b="1">
            <a:solidFill>
              <a:schemeClr val="tx1">
                <a:lumMod val="95000"/>
                <a:lumOff val="5000"/>
              </a:schemeClr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19</xdr:col>
      <xdr:colOff>593090</xdr:colOff>
      <xdr:row>3</xdr:row>
      <xdr:rowOff>45085</xdr:rowOff>
    </xdr:from>
    <xdr:to>
      <xdr:col>23</xdr:col>
      <xdr:colOff>85090</xdr:colOff>
      <xdr:row>6</xdr:row>
      <xdr:rowOff>140970</xdr:rowOff>
    </xdr:to>
    <xdr:sp textlink="'Descriptive Statistics'!$B$13">
      <xdr:nvSpPr>
        <xdr:cNvPr id="10" name="Text Box 9"/>
        <xdr:cNvSpPr txBox="1"/>
      </xdr:nvSpPr>
      <xdr:spPr>
        <a:xfrm>
          <a:off x="12175490" y="597535"/>
          <a:ext cx="1930400" cy="648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altLang="en-GB" sz="2200"/>
            <a:t>20.58%</a:t>
          </a:fld>
          <a:endParaRPr lang="en-US" altLang="en-GB" sz="2200"/>
        </a:p>
      </xdr:txBody>
    </xdr:sp>
    <xdr:clientData/>
  </xdr:twoCellAnchor>
  <xdr:twoCellAnchor>
    <xdr:from>
      <xdr:col>23</xdr:col>
      <xdr:colOff>491490</xdr:colOff>
      <xdr:row>3</xdr:row>
      <xdr:rowOff>70485</xdr:rowOff>
    </xdr:from>
    <xdr:to>
      <xdr:col>26</xdr:col>
      <xdr:colOff>593090</xdr:colOff>
      <xdr:row>6</xdr:row>
      <xdr:rowOff>166370</xdr:rowOff>
    </xdr:to>
    <xdr:sp textlink="'Descriptive Statistics'!$B$14">
      <xdr:nvSpPr>
        <xdr:cNvPr id="11" name="Text Box 10"/>
        <xdr:cNvSpPr txBox="1"/>
      </xdr:nvSpPr>
      <xdr:spPr>
        <a:xfrm>
          <a:off x="14512290" y="622935"/>
          <a:ext cx="1930400" cy="648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altLang="en-GB" sz="2200"/>
            <a:t>20.83%</a:t>
          </a:fld>
          <a:endParaRPr lang="en-US" altLang="en-GB" sz="2200"/>
        </a:p>
      </xdr:txBody>
    </xdr:sp>
    <xdr:clientData/>
  </xdr:twoCellAnchor>
  <xdr:twoCellAnchor>
    <xdr:from>
      <xdr:col>19</xdr:col>
      <xdr:colOff>412750</xdr:colOff>
      <xdr:row>0</xdr:row>
      <xdr:rowOff>139700</xdr:rowOff>
    </xdr:from>
    <xdr:to>
      <xdr:col>23</xdr:col>
      <xdr:colOff>208915</xdr:colOff>
      <xdr:row>6</xdr:row>
      <xdr:rowOff>177800</xdr:rowOff>
    </xdr:to>
    <xdr:sp>
      <xdr:nvSpPr>
        <xdr:cNvPr id="15" name="Text Box 14"/>
        <xdr:cNvSpPr txBox="1"/>
      </xdr:nvSpPr>
      <xdr:spPr>
        <a:xfrm>
          <a:off x="11995150" y="139700"/>
          <a:ext cx="2234565" cy="11430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600" b="1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charset="0"/>
              <a:cs typeface="Times New Roman" panose="02020603050405020304" charset="0"/>
            </a:rPr>
            <a:t>RETURN RATE</a:t>
          </a:r>
          <a:endParaRPr lang="en-US" altLang="en-GB" sz="1600" b="1">
            <a:solidFill>
              <a:schemeClr val="tx1">
                <a:lumMod val="95000"/>
                <a:lumOff val="5000"/>
              </a:schemeClr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23</xdr:col>
      <xdr:colOff>323850</xdr:colOff>
      <xdr:row>0</xdr:row>
      <xdr:rowOff>114300</xdr:rowOff>
    </xdr:from>
    <xdr:to>
      <xdr:col>27</xdr:col>
      <xdr:colOff>120015</xdr:colOff>
      <xdr:row>6</xdr:row>
      <xdr:rowOff>177800</xdr:rowOff>
    </xdr:to>
    <xdr:sp>
      <xdr:nvSpPr>
        <xdr:cNvPr id="17" name="Text Box 16"/>
        <xdr:cNvSpPr txBox="1"/>
      </xdr:nvSpPr>
      <xdr:spPr>
        <a:xfrm>
          <a:off x="14344650" y="114300"/>
          <a:ext cx="2234565" cy="11684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600" b="1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charset="0"/>
              <a:cs typeface="Times New Roman" panose="02020603050405020304" charset="0"/>
            </a:rPr>
            <a:t>CANCELLED ORDER RATE</a:t>
          </a:r>
          <a:endParaRPr lang="en-US" altLang="en-GB" sz="1600" b="1">
            <a:solidFill>
              <a:schemeClr val="tx1">
                <a:lumMod val="95000"/>
                <a:lumOff val="5000"/>
              </a:schemeClr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27</xdr:col>
      <xdr:colOff>466090</xdr:colOff>
      <xdr:row>3</xdr:row>
      <xdr:rowOff>32385</xdr:rowOff>
    </xdr:from>
    <xdr:to>
      <xdr:col>29</xdr:col>
      <xdr:colOff>358140</xdr:colOff>
      <xdr:row>6</xdr:row>
      <xdr:rowOff>128270</xdr:rowOff>
    </xdr:to>
    <xdr:sp textlink="'Descriptive Statistics'!$B$12">
      <xdr:nvSpPr>
        <xdr:cNvPr id="19" name="Text Box 18"/>
        <xdr:cNvSpPr txBox="1"/>
      </xdr:nvSpPr>
      <xdr:spPr>
        <a:xfrm>
          <a:off x="16925290" y="584835"/>
          <a:ext cx="1930400" cy="648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altLang="en-GB" sz="2200"/>
            <a:t>$1,048.84 </a:t>
          </a:fld>
          <a:endParaRPr lang="en-US" altLang="en-GB" sz="2200"/>
        </a:p>
      </xdr:txBody>
    </xdr:sp>
    <xdr:clientData/>
  </xdr:twoCellAnchor>
  <xdr:twoCellAnchor>
    <xdr:from>
      <xdr:col>27</xdr:col>
      <xdr:colOff>300990</xdr:colOff>
      <xdr:row>0</xdr:row>
      <xdr:rowOff>96520</xdr:rowOff>
    </xdr:from>
    <xdr:to>
      <xdr:col>29</xdr:col>
      <xdr:colOff>497205</xdr:colOff>
      <xdr:row>6</xdr:row>
      <xdr:rowOff>172085</xdr:rowOff>
    </xdr:to>
    <xdr:sp>
      <xdr:nvSpPr>
        <xdr:cNvPr id="21" name="Text Box 20"/>
        <xdr:cNvSpPr txBox="1"/>
      </xdr:nvSpPr>
      <xdr:spPr>
        <a:xfrm>
          <a:off x="16760190" y="96520"/>
          <a:ext cx="2234565" cy="118046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600" b="1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charset="0"/>
              <a:cs typeface="Times New Roman" panose="02020603050405020304" charset="0"/>
            </a:rPr>
            <a:t>AVERAGE ORDER VALUE</a:t>
          </a:r>
          <a:endParaRPr lang="en-US" altLang="en-GB" sz="1600" b="1">
            <a:solidFill>
              <a:schemeClr val="tx1">
                <a:lumMod val="95000"/>
                <a:lumOff val="5000"/>
              </a:schemeClr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1</xdr:col>
      <xdr:colOff>351790</xdr:colOff>
      <xdr:row>9</xdr:row>
      <xdr:rowOff>90170</xdr:rowOff>
    </xdr:from>
    <xdr:to>
      <xdr:col>11</xdr:col>
      <xdr:colOff>529590</xdr:colOff>
      <xdr:row>24</xdr:row>
      <xdr:rowOff>132715</xdr:rowOff>
    </xdr:to>
    <xdr:graphicFrame>
      <xdr:nvGraphicFramePr>
        <xdr:cNvPr id="3" name="Chart 2"/>
        <xdr:cNvGraphicFramePr/>
      </xdr:nvGraphicFramePr>
      <xdr:xfrm>
        <a:off x="961390" y="1747520"/>
        <a:ext cx="6273800" cy="2804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8.5441435185" refreshedBy="HP" recordCount="1200">
  <cacheSource type="worksheet">
    <worksheetSource name="Table1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81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Month" numFmtId="181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Year" numFmtId="181">
      <sharedItems count="3">
        <s v="2023"/>
        <s v="2024"/>
        <s v="2025"/>
      </sharedItems>
    </cacheField>
    <cacheField name="Quarter" numFmtId="181">
      <sharedItems count="4">
        <s v="Q1"/>
        <s v="Q3"/>
        <s v="Q4"/>
        <s v="Q2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79">
      <sharedItems containsSemiMixedTypes="0" containsString="0" containsNumber="1" containsInteger="1" minValue="0" maxValue="5" count="5">
        <n v="5"/>
        <n v="2"/>
        <n v="1"/>
        <n v="4"/>
        <n v="3"/>
      </sharedItems>
    </cacheField>
    <cacheField name="Unit Price" numFmtId="44">
      <sharedItems containsSemiMixedTypes="0" containsString="0" containsNumber="1" minValue="0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 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 Method" numFmtId="49">
      <sharedItems count="5">
        <s v="Debit Card"/>
        <s v="Online"/>
        <s v="Credit Card"/>
        <s v="Gift Card"/>
        <s v="Cash"/>
      </sharedItems>
    </cacheField>
    <cacheField name="Order Status" numFmtId="49">
      <sharedItems count="5">
        <s v="Shipped"/>
        <s v="Cancelled"/>
        <s v="Returned"/>
        <s v="Delivered"/>
        <s v="Pending"/>
      </sharedItems>
    </cacheField>
    <cacheField name="Tracking 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 In Cart" numFmtId="179">
      <sharedItems containsSemiMixedTypes="0" containsString="0" containsNumber="1" containsInteger="1" minValue="0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 Code" numFmtId="0">
      <sharedItems count="4">
        <s v="SAVE10"/>
        <s v="FREESHIP"/>
        <s v="No Coupon"/>
        <s v="WINTER15"/>
      </sharedItems>
    </cacheField>
    <cacheField name="Referral Source" numFmtId="49">
      <sharedItems count="5">
        <s v="Instagram"/>
        <s v="Referral"/>
        <s v="Email"/>
        <s v="Facebook"/>
        <s v="Google"/>
      </sharedItems>
    </cacheField>
    <cacheField name="Total Price" numFmtId="44">
      <sharedItems containsSemiMixedTypes="0" containsString="0" containsNumber="1" minValue="0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5.0047800926" refreshedBy="HP" recordCount="8">
  <cacheSource type="worksheet">
    <worksheetSource name="Table7"/>
  </cacheSource>
  <cacheFields count="4">
    <cacheField name="A: Lower Bound" numFmtId="0">
      <sharedItems containsSemiMixedTypes="0" containsString="0" containsNumber="1" containsInteger="1" minValue="0" maxValue="3500" count="8">
        <n v="0"/>
        <n v="500"/>
        <n v="1000"/>
        <n v="1500"/>
        <n v="2000"/>
        <n v="2500"/>
        <n v="3000"/>
        <n v="3500"/>
      </sharedItems>
    </cacheField>
    <cacheField name="B: Upper Bound" numFmtId="0">
      <sharedItems containsSemiMixedTypes="0" containsString="0" containsNumber="1" containsInteger="1" minValue="0" maxValue="4000" count="8">
        <n v="500"/>
        <n v="1000"/>
        <n v="1500"/>
        <n v="2000"/>
        <n v="2500"/>
        <n v="3000"/>
        <n v="3500"/>
        <n v="4000"/>
      </sharedItems>
    </cacheField>
    <cacheField name="Bins" numFmtId="0">
      <sharedItems count="8">
        <s v="0-500"/>
        <s v="500-1000"/>
        <s v="1000-1500"/>
        <s v="1500-2000"/>
        <s v="2000-2500"/>
        <s v="2500-3000"/>
        <s v="3000-3500"/>
        <s v="3500-4000"/>
      </sharedItems>
    </cacheField>
    <cacheField name="C: Frequency" numFmtId="0">
      <sharedItems containsSemiMixedTypes="0" containsString="0" containsNumber="1" containsInteger="1" minValue="0" maxValue="383" count="8">
        <n v="383"/>
        <n v="305"/>
        <n v="190"/>
        <n v="142"/>
        <n v="86"/>
        <n v="60"/>
        <n v="34"/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1"/>
    <x v="1"/>
    <x v="0"/>
    <x v="1"/>
    <x v="1"/>
  </r>
  <r>
    <x v="2"/>
    <x v="2"/>
    <x v="2"/>
    <x v="1"/>
    <x v="0"/>
    <x v="2"/>
    <x v="2"/>
    <x v="0"/>
    <x v="2"/>
    <x v="2"/>
    <x v="2"/>
    <x v="1"/>
    <x v="2"/>
    <x v="2"/>
    <x v="1"/>
    <x v="2"/>
    <x v="2"/>
  </r>
  <r>
    <x v="3"/>
    <x v="3"/>
    <x v="3"/>
    <x v="0"/>
    <x v="2"/>
    <x v="3"/>
    <x v="3"/>
    <x v="2"/>
    <x v="3"/>
    <x v="3"/>
    <x v="0"/>
    <x v="2"/>
    <x v="3"/>
    <x v="3"/>
    <x v="0"/>
    <x v="3"/>
    <x v="3"/>
  </r>
  <r>
    <x v="4"/>
    <x v="4"/>
    <x v="4"/>
    <x v="2"/>
    <x v="3"/>
    <x v="4"/>
    <x v="4"/>
    <x v="3"/>
    <x v="4"/>
    <x v="4"/>
    <x v="1"/>
    <x v="3"/>
    <x v="4"/>
    <x v="2"/>
    <x v="0"/>
    <x v="2"/>
    <x v="4"/>
  </r>
  <r>
    <x v="5"/>
    <x v="5"/>
    <x v="3"/>
    <x v="0"/>
    <x v="2"/>
    <x v="5"/>
    <x v="1"/>
    <x v="1"/>
    <x v="5"/>
    <x v="5"/>
    <x v="2"/>
    <x v="0"/>
    <x v="5"/>
    <x v="4"/>
    <x v="0"/>
    <x v="0"/>
    <x v="5"/>
  </r>
  <r>
    <x v="6"/>
    <x v="6"/>
    <x v="5"/>
    <x v="2"/>
    <x v="3"/>
    <x v="6"/>
    <x v="5"/>
    <x v="2"/>
    <x v="6"/>
    <x v="6"/>
    <x v="3"/>
    <x v="2"/>
    <x v="6"/>
    <x v="5"/>
    <x v="0"/>
    <x v="3"/>
    <x v="6"/>
  </r>
  <r>
    <x v="7"/>
    <x v="7"/>
    <x v="4"/>
    <x v="0"/>
    <x v="3"/>
    <x v="7"/>
    <x v="0"/>
    <x v="0"/>
    <x v="7"/>
    <x v="7"/>
    <x v="4"/>
    <x v="0"/>
    <x v="7"/>
    <x v="6"/>
    <x v="1"/>
    <x v="3"/>
    <x v="7"/>
  </r>
  <r>
    <x v="8"/>
    <x v="8"/>
    <x v="6"/>
    <x v="2"/>
    <x v="3"/>
    <x v="8"/>
    <x v="1"/>
    <x v="1"/>
    <x v="8"/>
    <x v="8"/>
    <x v="3"/>
    <x v="1"/>
    <x v="8"/>
    <x v="7"/>
    <x v="2"/>
    <x v="2"/>
    <x v="8"/>
  </r>
  <r>
    <x v="9"/>
    <x v="9"/>
    <x v="7"/>
    <x v="0"/>
    <x v="2"/>
    <x v="9"/>
    <x v="6"/>
    <x v="3"/>
    <x v="9"/>
    <x v="9"/>
    <x v="2"/>
    <x v="0"/>
    <x v="9"/>
    <x v="5"/>
    <x v="0"/>
    <x v="4"/>
    <x v="9"/>
  </r>
  <r>
    <x v="10"/>
    <x v="10"/>
    <x v="8"/>
    <x v="0"/>
    <x v="2"/>
    <x v="10"/>
    <x v="2"/>
    <x v="0"/>
    <x v="10"/>
    <x v="10"/>
    <x v="2"/>
    <x v="2"/>
    <x v="10"/>
    <x v="6"/>
    <x v="3"/>
    <x v="0"/>
    <x v="10"/>
  </r>
  <r>
    <x v="11"/>
    <x v="11"/>
    <x v="2"/>
    <x v="1"/>
    <x v="0"/>
    <x v="11"/>
    <x v="0"/>
    <x v="4"/>
    <x v="11"/>
    <x v="11"/>
    <x v="1"/>
    <x v="2"/>
    <x v="11"/>
    <x v="0"/>
    <x v="0"/>
    <x v="2"/>
    <x v="11"/>
  </r>
  <r>
    <x v="12"/>
    <x v="12"/>
    <x v="3"/>
    <x v="1"/>
    <x v="2"/>
    <x v="12"/>
    <x v="0"/>
    <x v="1"/>
    <x v="12"/>
    <x v="12"/>
    <x v="0"/>
    <x v="4"/>
    <x v="12"/>
    <x v="5"/>
    <x v="1"/>
    <x v="1"/>
    <x v="12"/>
  </r>
  <r>
    <x v="13"/>
    <x v="13"/>
    <x v="1"/>
    <x v="0"/>
    <x v="1"/>
    <x v="13"/>
    <x v="5"/>
    <x v="4"/>
    <x v="13"/>
    <x v="13"/>
    <x v="2"/>
    <x v="2"/>
    <x v="13"/>
    <x v="4"/>
    <x v="1"/>
    <x v="3"/>
    <x v="13"/>
  </r>
  <r>
    <x v="14"/>
    <x v="14"/>
    <x v="9"/>
    <x v="0"/>
    <x v="0"/>
    <x v="14"/>
    <x v="2"/>
    <x v="1"/>
    <x v="14"/>
    <x v="14"/>
    <x v="0"/>
    <x v="4"/>
    <x v="14"/>
    <x v="1"/>
    <x v="0"/>
    <x v="0"/>
    <x v="14"/>
  </r>
  <r>
    <x v="15"/>
    <x v="15"/>
    <x v="10"/>
    <x v="0"/>
    <x v="1"/>
    <x v="15"/>
    <x v="4"/>
    <x v="2"/>
    <x v="15"/>
    <x v="15"/>
    <x v="4"/>
    <x v="3"/>
    <x v="15"/>
    <x v="1"/>
    <x v="2"/>
    <x v="4"/>
    <x v="15"/>
  </r>
  <r>
    <x v="16"/>
    <x v="16"/>
    <x v="0"/>
    <x v="0"/>
    <x v="0"/>
    <x v="16"/>
    <x v="4"/>
    <x v="1"/>
    <x v="16"/>
    <x v="16"/>
    <x v="2"/>
    <x v="4"/>
    <x v="16"/>
    <x v="1"/>
    <x v="1"/>
    <x v="2"/>
    <x v="16"/>
  </r>
  <r>
    <x v="17"/>
    <x v="17"/>
    <x v="9"/>
    <x v="1"/>
    <x v="0"/>
    <x v="17"/>
    <x v="2"/>
    <x v="2"/>
    <x v="17"/>
    <x v="17"/>
    <x v="0"/>
    <x v="0"/>
    <x v="17"/>
    <x v="1"/>
    <x v="2"/>
    <x v="1"/>
    <x v="17"/>
  </r>
  <r>
    <x v="18"/>
    <x v="18"/>
    <x v="9"/>
    <x v="2"/>
    <x v="0"/>
    <x v="18"/>
    <x v="6"/>
    <x v="2"/>
    <x v="18"/>
    <x v="18"/>
    <x v="3"/>
    <x v="4"/>
    <x v="18"/>
    <x v="1"/>
    <x v="0"/>
    <x v="3"/>
    <x v="18"/>
  </r>
  <r>
    <x v="19"/>
    <x v="19"/>
    <x v="0"/>
    <x v="0"/>
    <x v="0"/>
    <x v="19"/>
    <x v="0"/>
    <x v="0"/>
    <x v="19"/>
    <x v="19"/>
    <x v="4"/>
    <x v="2"/>
    <x v="19"/>
    <x v="6"/>
    <x v="0"/>
    <x v="4"/>
    <x v="19"/>
  </r>
  <r>
    <x v="20"/>
    <x v="20"/>
    <x v="4"/>
    <x v="0"/>
    <x v="3"/>
    <x v="20"/>
    <x v="3"/>
    <x v="0"/>
    <x v="20"/>
    <x v="20"/>
    <x v="4"/>
    <x v="4"/>
    <x v="20"/>
    <x v="6"/>
    <x v="3"/>
    <x v="0"/>
    <x v="20"/>
  </r>
  <r>
    <x v="21"/>
    <x v="21"/>
    <x v="7"/>
    <x v="1"/>
    <x v="2"/>
    <x v="21"/>
    <x v="0"/>
    <x v="3"/>
    <x v="21"/>
    <x v="21"/>
    <x v="4"/>
    <x v="3"/>
    <x v="21"/>
    <x v="5"/>
    <x v="2"/>
    <x v="4"/>
    <x v="21"/>
  </r>
  <r>
    <x v="22"/>
    <x v="22"/>
    <x v="0"/>
    <x v="0"/>
    <x v="0"/>
    <x v="22"/>
    <x v="0"/>
    <x v="1"/>
    <x v="22"/>
    <x v="22"/>
    <x v="1"/>
    <x v="4"/>
    <x v="22"/>
    <x v="7"/>
    <x v="0"/>
    <x v="4"/>
    <x v="22"/>
  </r>
  <r>
    <x v="23"/>
    <x v="23"/>
    <x v="6"/>
    <x v="2"/>
    <x v="3"/>
    <x v="23"/>
    <x v="1"/>
    <x v="3"/>
    <x v="23"/>
    <x v="23"/>
    <x v="0"/>
    <x v="1"/>
    <x v="23"/>
    <x v="3"/>
    <x v="1"/>
    <x v="1"/>
    <x v="23"/>
  </r>
  <r>
    <x v="24"/>
    <x v="24"/>
    <x v="3"/>
    <x v="1"/>
    <x v="2"/>
    <x v="24"/>
    <x v="5"/>
    <x v="1"/>
    <x v="24"/>
    <x v="24"/>
    <x v="1"/>
    <x v="3"/>
    <x v="24"/>
    <x v="1"/>
    <x v="3"/>
    <x v="1"/>
    <x v="24"/>
  </r>
  <r>
    <x v="25"/>
    <x v="25"/>
    <x v="10"/>
    <x v="1"/>
    <x v="1"/>
    <x v="25"/>
    <x v="0"/>
    <x v="2"/>
    <x v="25"/>
    <x v="25"/>
    <x v="0"/>
    <x v="3"/>
    <x v="25"/>
    <x v="1"/>
    <x v="3"/>
    <x v="2"/>
    <x v="25"/>
  </r>
  <r>
    <x v="26"/>
    <x v="26"/>
    <x v="9"/>
    <x v="1"/>
    <x v="0"/>
    <x v="26"/>
    <x v="5"/>
    <x v="0"/>
    <x v="26"/>
    <x v="26"/>
    <x v="1"/>
    <x v="3"/>
    <x v="26"/>
    <x v="5"/>
    <x v="2"/>
    <x v="1"/>
    <x v="26"/>
  </r>
  <r>
    <x v="27"/>
    <x v="27"/>
    <x v="2"/>
    <x v="1"/>
    <x v="0"/>
    <x v="27"/>
    <x v="4"/>
    <x v="2"/>
    <x v="27"/>
    <x v="27"/>
    <x v="1"/>
    <x v="0"/>
    <x v="27"/>
    <x v="5"/>
    <x v="3"/>
    <x v="4"/>
    <x v="27"/>
  </r>
  <r>
    <x v="28"/>
    <x v="9"/>
    <x v="7"/>
    <x v="0"/>
    <x v="2"/>
    <x v="28"/>
    <x v="1"/>
    <x v="3"/>
    <x v="28"/>
    <x v="28"/>
    <x v="1"/>
    <x v="4"/>
    <x v="28"/>
    <x v="3"/>
    <x v="2"/>
    <x v="2"/>
    <x v="28"/>
  </r>
  <r>
    <x v="29"/>
    <x v="28"/>
    <x v="11"/>
    <x v="1"/>
    <x v="1"/>
    <x v="29"/>
    <x v="6"/>
    <x v="4"/>
    <x v="29"/>
    <x v="29"/>
    <x v="2"/>
    <x v="3"/>
    <x v="29"/>
    <x v="5"/>
    <x v="0"/>
    <x v="1"/>
    <x v="29"/>
  </r>
  <r>
    <x v="30"/>
    <x v="29"/>
    <x v="9"/>
    <x v="2"/>
    <x v="0"/>
    <x v="30"/>
    <x v="0"/>
    <x v="1"/>
    <x v="30"/>
    <x v="30"/>
    <x v="1"/>
    <x v="4"/>
    <x v="30"/>
    <x v="3"/>
    <x v="0"/>
    <x v="1"/>
    <x v="30"/>
  </r>
  <r>
    <x v="31"/>
    <x v="30"/>
    <x v="5"/>
    <x v="0"/>
    <x v="3"/>
    <x v="31"/>
    <x v="3"/>
    <x v="4"/>
    <x v="31"/>
    <x v="31"/>
    <x v="0"/>
    <x v="2"/>
    <x v="31"/>
    <x v="5"/>
    <x v="2"/>
    <x v="3"/>
    <x v="31"/>
  </r>
  <r>
    <x v="32"/>
    <x v="31"/>
    <x v="4"/>
    <x v="0"/>
    <x v="3"/>
    <x v="32"/>
    <x v="2"/>
    <x v="0"/>
    <x v="32"/>
    <x v="32"/>
    <x v="4"/>
    <x v="3"/>
    <x v="32"/>
    <x v="8"/>
    <x v="2"/>
    <x v="2"/>
    <x v="32"/>
  </r>
  <r>
    <x v="33"/>
    <x v="32"/>
    <x v="5"/>
    <x v="0"/>
    <x v="3"/>
    <x v="33"/>
    <x v="3"/>
    <x v="2"/>
    <x v="33"/>
    <x v="33"/>
    <x v="1"/>
    <x v="1"/>
    <x v="33"/>
    <x v="4"/>
    <x v="3"/>
    <x v="3"/>
    <x v="33"/>
  </r>
  <r>
    <x v="34"/>
    <x v="33"/>
    <x v="0"/>
    <x v="0"/>
    <x v="0"/>
    <x v="34"/>
    <x v="3"/>
    <x v="3"/>
    <x v="34"/>
    <x v="34"/>
    <x v="2"/>
    <x v="4"/>
    <x v="34"/>
    <x v="3"/>
    <x v="3"/>
    <x v="3"/>
    <x v="34"/>
  </r>
  <r>
    <x v="35"/>
    <x v="34"/>
    <x v="8"/>
    <x v="1"/>
    <x v="2"/>
    <x v="35"/>
    <x v="0"/>
    <x v="1"/>
    <x v="35"/>
    <x v="35"/>
    <x v="1"/>
    <x v="0"/>
    <x v="35"/>
    <x v="7"/>
    <x v="0"/>
    <x v="3"/>
    <x v="35"/>
  </r>
  <r>
    <x v="36"/>
    <x v="4"/>
    <x v="4"/>
    <x v="2"/>
    <x v="3"/>
    <x v="36"/>
    <x v="5"/>
    <x v="1"/>
    <x v="36"/>
    <x v="36"/>
    <x v="0"/>
    <x v="4"/>
    <x v="36"/>
    <x v="3"/>
    <x v="2"/>
    <x v="3"/>
    <x v="36"/>
  </r>
  <r>
    <x v="37"/>
    <x v="35"/>
    <x v="3"/>
    <x v="1"/>
    <x v="2"/>
    <x v="37"/>
    <x v="5"/>
    <x v="1"/>
    <x v="37"/>
    <x v="37"/>
    <x v="4"/>
    <x v="2"/>
    <x v="37"/>
    <x v="0"/>
    <x v="0"/>
    <x v="0"/>
    <x v="37"/>
  </r>
  <r>
    <x v="38"/>
    <x v="36"/>
    <x v="8"/>
    <x v="1"/>
    <x v="2"/>
    <x v="38"/>
    <x v="5"/>
    <x v="2"/>
    <x v="38"/>
    <x v="38"/>
    <x v="0"/>
    <x v="3"/>
    <x v="38"/>
    <x v="1"/>
    <x v="0"/>
    <x v="4"/>
    <x v="38"/>
  </r>
  <r>
    <x v="39"/>
    <x v="37"/>
    <x v="2"/>
    <x v="2"/>
    <x v="0"/>
    <x v="39"/>
    <x v="4"/>
    <x v="4"/>
    <x v="39"/>
    <x v="39"/>
    <x v="2"/>
    <x v="3"/>
    <x v="39"/>
    <x v="4"/>
    <x v="0"/>
    <x v="1"/>
    <x v="39"/>
  </r>
  <r>
    <x v="40"/>
    <x v="38"/>
    <x v="1"/>
    <x v="0"/>
    <x v="1"/>
    <x v="40"/>
    <x v="6"/>
    <x v="1"/>
    <x v="40"/>
    <x v="40"/>
    <x v="1"/>
    <x v="3"/>
    <x v="40"/>
    <x v="4"/>
    <x v="1"/>
    <x v="0"/>
    <x v="40"/>
  </r>
  <r>
    <x v="41"/>
    <x v="39"/>
    <x v="8"/>
    <x v="0"/>
    <x v="2"/>
    <x v="41"/>
    <x v="0"/>
    <x v="4"/>
    <x v="41"/>
    <x v="41"/>
    <x v="3"/>
    <x v="4"/>
    <x v="41"/>
    <x v="4"/>
    <x v="1"/>
    <x v="0"/>
    <x v="41"/>
  </r>
  <r>
    <x v="42"/>
    <x v="40"/>
    <x v="4"/>
    <x v="1"/>
    <x v="3"/>
    <x v="42"/>
    <x v="4"/>
    <x v="1"/>
    <x v="42"/>
    <x v="14"/>
    <x v="4"/>
    <x v="1"/>
    <x v="42"/>
    <x v="5"/>
    <x v="2"/>
    <x v="0"/>
    <x v="42"/>
  </r>
  <r>
    <x v="43"/>
    <x v="41"/>
    <x v="8"/>
    <x v="0"/>
    <x v="2"/>
    <x v="43"/>
    <x v="3"/>
    <x v="4"/>
    <x v="43"/>
    <x v="42"/>
    <x v="1"/>
    <x v="1"/>
    <x v="43"/>
    <x v="2"/>
    <x v="2"/>
    <x v="0"/>
    <x v="43"/>
  </r>
  <r>
    <x v="44"/>
    <x v="42"/>
    <x v="6"/>
    <x v="2"/>
    <x v="3"/>
    <x v="44"/>
    <x v="1"/>
    <x v="1"/>
    <x v="44"/>
    <x v="31"/>
    <x v="3"/>
    <x v="2"/>
    <x v="44"/>
    <x v="1"/>
    <x v="1"/>
    <x v="1"/>
    <x v="44"/>
  </r>
  <r>
    <x v="45"/>
    <x v="43"/>
    <x v="2"/>
    <x v="1"/>
    <x v="0"/>
    <x v="45"/>
    <x v="3"/>
    <x v="2"/>
    <x v="45"/>
    <x v="43"/>
    <x v="0"/>
    <x v="2"/>
    <x v="45"/>
    <x v="9"/>
    <x v="0"/>
    <x v="3"/>
    <x v="45"/>
  </r>
  <r>
    <x v="46"/>
    <x v="44"/>
    <x v="5"/>
    <x v="1"/>
    <x v="3"/>
    <x v="46"/>
    <x v="0"/>
    <x v="3"/>
    <x v="46"/>
    <x v="44"/>
    <x v="0"/>
    <x v="4"/>
    <x v="46"/>
    <x v="4"/>
    <x v="1"/>
    <x v="0"/>
    <x v="46"/>
  </r>
  <r>
    <x v="47"/>
    <x v="45"/>
    <x v="10"/>
    <x v="0"/>
    <x v="1"/>
    <x v="47"/>
    <x v="6"/>
    <x v="1"/>
    <x v="47"/>
    <x v="45"/>
    <x v="2"/>
    <x v="2"/>
    <x v="47"/>
    <x v="1"/>
    <x v="1"/>
    <x v="2"/>
    <x v="47"/>
  </r>
  <r>
    <x v="48"/>
    <x v="46"/>
    <x v="1"/>
    <x v="0"/>
    <x v="1"/>
    <x v="48"/>
    <x v="0"/>
    <x v="1"/>
    <x v="48"/>
    <x v="46"/>
    <x v="0"/>
    <x v="0"/>
    <x v="48"/>
    <x v="4"/>
    <x v="2"/>
    <x v="4"/>
    <x v="48"/>
  </r>
  <r>
    <x v="49"/>
    <x v="47"/>
    <x v="3"/>
    <x v="0"/>
    <x v="2"/>
    <x v="49"/>
    <x v="4"/>
    <x v="2"/>
    <x v="49"/>
    <x v="22"/>
    <x v="2"/>
    <x v="0"/>
    <x v="49"/>
    <x v="9"/>
    <x v="0"/>
    <x v="2"/>
    <x v="49"/>
  </r>
  <r>
    <x v="50"/>
    <x v="48"/>
    <x v="10"/>
    <x v="0"/>
    <x v="1"/>
    <x v="50"/>
    <x v="2"/>
    <x v="2"/>
    <x v="50"/>
    <x v="47"/>
    <x v="1"/>
    <x v="1"/>
    <x v="50"/>
    <x v="5"/>
    <x v="1"/>
    <x v="0"/>
    <x v="50"/>
  </r>
  <r>
    <x v="51"/>
    <x v="49"/>
    <x v="8"/>
    <x v="1"/>
    <x v="2"/>
    <x v="51"/>
    <x v="2"/>
    <x v="2"/>
    <x v="51"/>
    <x v="48"/>
    <x v="4"/>
    <x v="2"/>
    <x v="51"/>
    <x v="7"/>
    <x v="0"/>
    <x v="3"/>
    <x v="51"/>
  </r>
  <r>
    <x v="52"/>
    <x v="50"/>
    <x v="11"/>
    <x v="1"/>
    <x v="1"/>
    <x v="52"/>
    <x v="2"/>
    <x v="2"/>
    <x v="52"/>
    <x v="49"/>
    <x v="1"/>
    <x v="2"/>
    <x v="52"/>
    <x v="3"/>
    <x v="0"/>
    <x v="3"/>
    <x v="52"/>
  </r>
  <r>
    <x v="53"/>
    <x v="51"/>
    <x v="4"/>
    <x v="1"/>
    <x v="3"/>
    <x v="53"/>
    <x v="1"/>
    <x v="3"/>
    <x v="53"/>
    <x v="2"/>
    <x v="1"/>
    <x v="2"/>
    <x v="53"/>
    <x v="3"/>
    <x v="1"/>
    <x v="4"/>
    <x v="53"/>
  </r>
  <r>
    <x v="54"/>
    <x v="52"/>
    <x v="9"/>
    <x v="2"/>
    <x v="0"/>
    <x v="54"/>
    <x v="3"/>
    <x v="2"/>
    <x v="54"/>
    <x v="50"/>
    <x v="1"/>
    <x v="4"/>
    <x v="54"/>
    <x v="3"/>
    <x v="3"/>
    <x v="2"/>
    <x v="54"/>
  </r>
  <r>
    <x v="55"/>
    <x v="53"/>
    <x v="5"/>
    <x v="2"/>
    <x v="3"/>
    <x v="55"/>
    <x v="4"/>
    <x v="4"/>
    <x v="55"/>
    <x v="51"/>
    <x v="1"/>
    <x v="1"/>
    <x v="55"/>
    <x v="1"/>
    <x v="2"/>
    <x v="3"/>
    <x v="55"/>
  </r>
  <r>
    <x v="56"/>
    <x v="54"/>
    <x v="4"/>
    <x v="0"/>
    <x v="3"/>
    <x v="56"/>
    <x v="2"/>
    <x v="4"/>
    <x v="56"/>
    <x v="52"/>
    <x v="4"/>
    <x v="1"/>
    <x v="56"/>
    <x v="3"/>
    <x v="3"/>
    <x v="1"/>
    <x v="56"/>
  </r>
  <r>
    <x v="57"/>
    <x v="55"/>
    <x v="0"/>
    <x v="0"/>
    <x v="0"/>
    <x v="57"/>
    <x v="4"/>
    <x v="0"/>
    <x v="57"/>
    <x v="53"/>
    <x v="4"/>
    <x v="2"/>
    <x v="57"/>
    <x v="5"/>
    <x v="0"/>
    <x v="0"/>
    <x v="57"/>
  </r>
  <r>
    <x v="58"/>
    <x v="56"/>
    <x v="0"/>
    <x v="0"/>
    <x v="0"/>
    <x v="58"/>
    <x v="1"/>
    <x v="3"/>
    <x v="58"/>
    <x v="54"/>
    <x v="3"/>
    <x v="1"/>
    <x v="58"/>
    <x v="5"/>
    <x v="0"/>
    <x v="4"/>
    <x v="58"/>
  </r>
  <r>
    <x v="59"/>
    <x v="57"/>
    <x v="11"/>
    <x v="1"/>
    <x v="1"/>
    <x v="59"/>
    <x v="3"/>
    <x v="3"/>
    <x v="59"/>
    <x v="55"/>
    <x v="1"/>
    <x v="0"/>
    <x v="59"/>
    <x v="3"/>
    <x v="2"/>
    <x v="3"/>
    <x v="59"/>
  </r>
  <r>
    <x v="60"/>
    <x v="58"/>
    <x v="1"/>
    <x v="1"/>
    <x v="1"/>
    <x v="60"/>
    <x v="6"/>
    <x v="2"/>
    <x v="60"/>
    <x v="56"/>
    <x v="0"/>
    <x v="2"/>
    <x v="60"/>
    <x v="1"/>
    <x v="1"/>
    <x v="1"/>
    <x v="60"/>
  </r>
  <r>
    <x v="61"/>
    <x v="59"/>
    <x v="9"/>
    <x v="1"/>
    <x v="0"/>
    <x v="61"/>
    <x v="6"/>
    <x v="3"/>
    <x v="61"/>
    <x v="57"/>
    <x v="4"/>
    <x v="3"/>
    <x v="61"/>
    <x v="0"/>
    <x v="1"/>
    <x v="3"/>
    <x v="61"/>
  </r>
  <r>
    <x v="62"/>
    <x v="60"/>
    <x v="1"/>
    <x v="0"/>
    <x v="1"/>
    <x v="62"/>
    <x v="6"/>
    <x v="1"/>
    <x v="62"/>
    <x v="58"/>
    <x v="0"/>
    <x v="4"/>
    <x v="62"/>
    <x v="1"/>
    <x v="3"/>
    <x v="2"/>
    <x v="62"/>
  </r>
  <r>
    <x v="63"/>
    <x v="61"/>
    <x v="2"/>
    <x v="2"/>
    <x v="0"/>
    <x v="63"/>
    <x v="3"/>
    <x v="2"/>
    <x v="63"/>
    <x v="59"/>
    <x v="0"/>
    <x v="0"/>
    <x v="63"/>
    <x v="5"/>
    <x v="3"/>
    <x v="1"/>
    <x v="63"/>
  </r>
  <r>
    <x v="64"/>
    <x v="62"/>
    <x v="5"/>
    <x v="2"/>
    <x v="3"/>
    <x v="64"/>
    <x v="4"/>
    <x v="4"/>
    <x v="64"/>
    <x v="60"/>
    <x v="0"/>
    <x v="1"/>
    <x v="64"/>
    <x v="4"/>
    <x v="1"/>
    <x v="3"/>
    <x v="64"/>
  </r>
  <r>
    <x v="65"/>
    <x v="63"/>
    <x v="8"/>
    <x v="0"/>
    <x v="2"/>
    <x v="65"/>
    <x v="0"/>
    <x v="0"/>
    <x v="65"/>
    <x v="61"/>
    <x v="2"/>
    <x v="3"/>
    <x v="65"/>
    <x v="5"/>
    <x v="2"/>
    <x v="0"/>
    <x v="65"/>
  </r>
  <r>
    <x v="66"/>
    <x v="64"/>
    <x v="7"/>
    <x v="1"/>
    <x v="2"/>
    <x v="66"/>
    <x v="3"/>
    <x v="0"/>
    <x v="66"/>
    <x v="62"/>
    <x v="4"/>
    <x v="1"/>
    <x v="66"/>
    <x v="6"/>
    <x v="0"/>
    <x v="1"/>
    <x v="66"/>
  </r>
  <r>
    <x v="67"/>
    <x v="65"/>
    <x v="8"/>
    <x v="1"/>
    <x v="2"/>
    <x v="67"/>
    <x v="4"/>
    <x v="3"/>
    <x v="67"/>
    <x v="63"/>
    <x v="0"/>
    <x v="1"/>
    <x v="67"/>
    <x v="2"/>
    <x v="2"/>
    <x v="4"/>
    <x v="67"/>
  </r>
  <r>
    <x v="68"/>
    <x v="66"/>
    <x v="8"/>
    <x v="0"/>
    <x v="2"/>
    <x v="68"/>
    <x v="3"/>
    <x v="4"/>
    <x v="68"/>
    <x v="25"/>
    <x v="2"/>
    <x v="4"/>
    <x v="68"/>
    <x v="3"/>
    <x v="1"/>
    <x v="2"/>
    <x v="68"/>
  </r>
  <r>
    <x v="69"/>
    <x v="67"/>
    <x v="4"/>
    <x v="0"/>
    <x v="3"/>
    <x v="69"/>
    <x v="0"/>
    <x v="4"/>
    <x v="69"/>
    <x v="64"/>
    <x v="1"/>
    <x v="0"/>
    <x v="69"/>
    <x v="4"/>
    <x v="2"/>
    <x v="1"/>
    <x v="69"/>
  </r>
  <r>
    <x v="70"/>
    <x v="68"/>
    <x v="4"/>
    <x v="0"/>
    <x v="3"/>
    <x v="70"/>
    <x v="6"/>
    <x v="2"/>
    <x v="70"/>
    <x v="65"/>
    <x v="3"/>
    <x v="4"/>
    <x v="70"/>
    <x v="7"/>
    <x v="1"/>
    <x v="0"/>
    <x v="70"/>
  </r>
  <r>
    <x v="71"/>
    <x v="69"/>
    <x v="5"/>
    <x v="2"/>
    <x v="3"/>
    <x v="71"/>
    <x v="0"/>
    <x v="4"/>
    <x v="71"/>
    <x v="66"/>
    <x v="2"/>
    <x v="4"/>
    <x v="71"/>
    <x v="4"/>
    <x v="2"/>
    <x v="1"/>
    <x v="71"/>
  </r>
  <r>
    <x v="72"/>
    <x v="70"/>
    <x v="8"/>
    <x v="1"/>
    <x v="2"/>
    <x v="72"/>
    <x v="2"/>
    <x v="3"/>
    <x v="72"/>
    <x v="15"/>
    <x v="3"/>
    <x v="2"/>
    <x v="72"/>
    <x v="3"/>
    <x v="2"/>
    <x v="3"/>
    <x v="72"/>
  </r>
  <r>
    <x v="73"/>
    <x v="71"/>
    <x v="4"/>
    <x v="0"/>
    <x v="3"/>
    <x v="73"/>
    <x v="0"/>
    <x v="3"/>
    <x v="73"/>
    <x v="67"/>
    <x v="3"/>
    <x v="1"/>
    <x v="73"/>
    <x v="4"/>
    <x v="2"/>
    <x v="3"/>
    <x v="73"/>
  </r>
  <r>
    <x v="74"/>
    <x v="72"/>
    <x v="5"/>
    <x v="0"/>
    <x v="3"/>
    <x v="74"/>
    <x v="1"/>
    <x v="0"/>
    <x v="74"/>
    <x v="68"/>
    <x v="4"/>
    <x v="4"/>
    <x v="74"/>
    <x v="3"/>
    <x v="2"/>
    <x v="0"/>
    <x v="74"/>
  </r>
  <r>
    <x v="75"/>
    <x v="73"/>
    <x v="11"/>
    <x v="0"/>
    <x v="1"/>
    <x v="75"/>
    <x v="2"/>
    <x v="4"/>
    <x v="75"/>
    <x v="69"/>
    <x v="0"/>
    <x v="3"/>
    <x v="75"/>
    <x v="3"/>
    <x v="0"/>
    <x v="2"/>
    <x v="75"/>
  </r>
  <r>
    <x v="76"/>
    <x v="74"/>
    <x v="9"/>
    <x v="1"/>
    <x v="0"/>
    <x v="76"/>
    <x v="5"/>
    <x v="3"/>
    <x v="76"/>
    <x v="70"/>
    <x v="4"/>
    <x v="1"/>
    <x v="76"/>
    <x v="5"/>
    <x v="3"/>
    <x v="2"/>
    <x v="76"/>
  </r>
  <r>
    <x v="77"/>
    <x v="75"/>
    <x v="4"/>
    <x v="1"/>
    <x v="3"/>
    <x v="77"/>
    <x v="1"/>
    <x v="2"/>
    <x v="77"/>
    <x v="71"/>
    <x v="2"/>
    <x v="2"/>
    <x v="77"/>
    <x v="3"/>
    <x v="2"/>
    <x v="4"/>
    <x v="77"/>
  </r>
  <r>
    <x v="78"/>
    <x v="76"/>
    <x v="1"/>
    <x v="1"/>
    <x v="1"/>
    <x v="78"/>
    <x v="4"/>
    <x v="3"/>
    <x v="78"/>
    <x v="72"/>
    <x v="0"/>
    <x v="3"/>
    <x v="78"/>
    <x v="4"/>
    <x v="1"/>
    <x v="0"/>
    <x v="78"/>
  </r>
  <r>
    <x v="79"/>
    <x v="77"/>
    <x v="9"/>
    <x v="2"/>
    <x v="0"/>
    <x v="79"/>
    <x v="2"/>
    <x v="1"/>
    <x v="79"/>
    <x v="73"/>
    <x v="1"/>
    <x v="0"/>
    <x v="79"/>
    <x v="7"/>
    <x v="2"/>
    <x v="3"/>
    <x v="79"/>
  </r>
  <r>
    <x v="80"/>
    <x v="78"/>
    <x v="5"/>
    <x v="0"/>
    <x v="3"/>
    <x v="80"/>
    <x v="1"/>
    <x v="4"/>
    <x v="80"/>
    <x v="74"/>
    <x v="1"/>
    <x v="2"/>
    <x v="80"/>
    <x v="5"/>
    <x v="2"/>
    <x v="3"/>
    <x v="80"/>
  </r>
  <r>
    <x v="81"/>
    <x v="79"/>
    <x v="5"/>
    <x v="0"/>
    <x v="3"/>
    <x v="81"/>
    <x v="0"/>
    <x v="1"/>
    <x v="81"/>
    <x v="75"/>
    <x v="4"/>
    <x v="0"/>
    <x v="81"/>
    <x v="5"/>
    <x v="1"/>
    <x v="2"/>
    <x v="81"/>
  </r>
  <r>
    <x v="82"/>
    <x v="80"/>
    <x v="0"/>
    <x v="1"/>
    <x v="0"/>
    <x v="82"/>
    <x v="2"/>
    <x v="3"/>
    <x v="82"/>
    <x v="76"/>
    <x v="0"/>
    <x v="0"/>
    <x v="82"/>
    <x v="6"/>
    <x v="0"/>
    <x v="4"/>
    <x v="82"/>
  </r>
  <r>
    <x v="83"/>
    <x v="60"/>
    <x v="1"/>
    <x v="0"/>
    <x v="1"/>
    <x v="83"/>
    <x v="5"/>
    <x v="3"/>
    <x v="83"/>
    <x v="77"/>
    <x v="2"/>
    <x v="1"/>
    <x v="83"/>
    <x v="5"/>
    <x v="2"/>
    <x v="1"/>
    <x v="83"/>
  </r>
  <r>
    <x v="84"/>
    <x v="81"/>
    <x v="1"/>
    <x v="0"/>
    <x v="1"/>
    <x v="84"/>
    <x v="0"/>
    <x v="1"/>
    <x v="84"/>
    <x v="78"/>
    <x v="1"/>
    <x v="0"/>
    <x v="84"/>
    <x v="4"/>
    <x v="3"/>
    <x v="0"/>
    <x v="84"/>
  </r>
  <r>
    <x v="85"/>
    <x v="82"/>
    <x v="11"/>
    <x v="1"/>
    <x v="1"/>
    <x v="85"/>
    <x v="2"/>
    <x v="4"/>
    <x v="85"/>
    <x v="79"/>
    <x v="4"/>
    <x v="3"/>
    <x v="85"/>
    <x v="2"/>
    <x v="1"/>
    <x v="2"/>
    <x v="85"/>
  </r>
  <r>
    <x v="86"/>
    <x v="83"/>
    <x v="5"/>
    <x v="1"/>
    <x v="3"/>
    <x v="86"/>
    <x v="4"/>
    <x v="0"/>
    <x v="86"/>
    <x v="80"/>
    <x v="1"/>
    <x v="1"/>
    <x v="86"/>
    <x v="3"/>
    <x v="1"/>
    <x v="1"/>
    <x v="86"/>
  </r>
  <r>
    <x v="87"/>
    <x v="84"/>
    <x v="3"/>
    <x v="1"/>
    <x v="2"/>
    <x v="87"/>
    <x v="2"/>
    <x v="4"/>
    <x v="87"/>
    <x v="81"/>
    <x v="4"/>
    <x v="0"/>
    <x v="87"/>
    <x v="4"/>
    <x v="0"/>
    <x v="3"/>
    <x v="87"/>
  </r>
  <r>
    <x v="88"/>
    <x v="85"/>
    <x v="5"/>
    <x v="2"/>
    <x v="3"/>
    <x v="88"/>
    <x v="6"/>
    <x v="4"/>
    <x v="88"/>
    <x v="82"/>
    <x v="3"/>
    <x v="1"/>
    <x v="88"/>
    <x v="0"/>
    <x v="2"/>
    <x v="4"/>
    <x v="88"/>
  </r>
  <r>
    <x v="89"/>
    <x v="86"/>
    <x v="2"/>
    <x v="2"/>
    <x v="0"/>
    <x v="89"/>
    <x v="4"/>
    <x v="0"/>
    <x v="89"/>
    <x v="83"/>
    <x v="2"/>
    <x v="1"/>
    <x v="89"/>
    <x v="2"/>
    <x v="1"/>
    <x v="4"/>
    <x v="89"/>
  </r>
  <r>
    <x v="90"/>
    <x v="87"/>
    <x v="11"/>
    <x v="0"/>
    <x v="1"/>
    <x v="90"/>
    <x v="3"/>
    <x v="3"/>
    <x v="90"/>
    <x v="84"/>
    <x v="3"/>
    <x v="3"/>
    <x v="90"/>
    <x v="4"/>
    <x v="0"/>
    <x v="2"/>
    <x v="90"/>
  </r>
  <r>
    <x v="91"/>
    <x v="88"/>
    <x v="9"/>
    <x v="0"/>
    <x v="0"/>
    <x v="91"/>
    <x v="5"/>
    <x v="0"/>
    <x v="91"/>
    <x v="85"/>
    <x v="4"/>
    <x v="0"/>
    <x v="91"/>
    <x v="5"/>
    <x v="3"/>
    <x v="1"/>
    <x v="91"/>
  </r>
  <r>
    <x v="92"/>
    <x v="89"/>
    <x v="5"/>
    <x v="1"/>
    <x v="3"/>
    <x v="92"/>
    <x v="4"/>
    <x v="3"/>
    <x v="92"/>
    <x v="86"/>
    <x v="1"/>
    <x v="0"/>
    <x v="92"/>
    <x v="0"/>
    <x v="1"/>
    <x v="3"/>
    <x v="92"/>
  </r>
  <r>
    <x v="93"/>
    <x v="90"/>
    <x v="0"/>
    <x v="0"/>
    <x v="0"/>
    <x v="93"/>
    <x v="6"/>
    <x v="3"/>
    <x v="93"/>
    <x v="87"/>
    <x v="2"/>
    <x v="2"/>
    <x v="93"/>
    <x v="0"/>
    <x v="2"/>
    <x v="1"/>
    <x v="93"/>
  </r>
  <r>
    <x v="94"/>
    <x v="91"/>
    <x v="2"/>
    <x v="0"/>
    <x v="0"/>
    <x v="94"/>
    <x v="3"/>
    <x v="2"/>
    <x v="94"/>
    <x v="88"/>
    <x v="3"/>
    <x v="2"/>
    <x v="94"/>
    <x v="5"/>
    <x v="3"/>
    <x v="0"/>
    <x v="94"/>
  </r>
  <r>
    <x v="95"/>
    <x v="92"/>
    <x v="9"/>
    <x v="0"/>
    <x v="0"/>
    <x v="95"/>
    <x v="4"/>
    <x v="3"/>
    <x v="95"/>
    <x v="89"/>
    <x v="0"/>
    <x v="2"/>
    <x v="95"/>
    <x v="0"/>
    <x v="2"/>
    <x v="1"/>
    <x v="95"/>
  </r>
  <r>
    <x v="96"/>
    <x v="93"/>
    <x v="5"/>
    <x v="1"/>
    <x v="3"/>
    <x v="96"/>
    <x v="1"/>
    <x v="1"/>
    <x v="96"/>
    <x v="73"/>
    <x v="3"/>
    <x v="3"/>
    <x v="96"/>
    <x v="0"/>
    <x v="2"/>
    <x v="0"/>
    <x v="96"/>
  </r>
  <r>
    <x v="97"/>
    <x v="94"/>
    <x v="0"/>
    <x v="2"/>
    <x v="0"/>
    <x v="97"/>
    <x v="2"/>
    <x v="0"/>
    <x v="97"/>
    <x v="90"/>
    <x v="0"/>
    <x v="4"/>
    <x v="97"/>
    <x v="6"/>
    <x v="2"/>
    <x v="2"/>
    <x v="97"/>
  </r>
  <r>
    <x v="98"/>
    <x v="90"/>
    <x v="0"/>
    <x v="0"/>
    <x v="0"/>
    <x v="98"/>
    <x v="4"/>
    <x v="1"/>
    <x v="98"/>
    <x v="91"/>
    <x v="0"/>
    <x v="4"/>
    <x v="98"/>
    <x v="1"/>
    <x v="2"/>
    <x v="2"/>
    <x v="98"/>
  </r>
  <r>
    <x v="99"/>
    <x v="95"/>
    <x v="6"/>
    <x v="2"/>
    <x v="3"/>
    <x v="99"/>
    <x v="4"/>
    <x v="2"/>
    <x v="99"/>
    <x v="92"/>
    <x v="0"/>
    <x v="1"/>
    <x v="99"/>
    <x v="7"/>
    <x v="3"/>
    <x v="2"/>
    <x v="99"/>
  </r>
  <r>
    <x v="100"/>
    <x v="96"/>
    <x v="2"/>
    <x v="0"/>
    <x v="0"/>
    <x v="100"/>
    <x v="1"/>
    <x v="4"/>
    <x v="100"/>
    <x v="93"/>
    <x v="1"/>
    <x v="3"/>
    <x v="100"/>
    <x v="5"/>
    <x v="2"/>
    <x v="3"/>
    <x v="100"/>
  </r>
  <r>
    <x v="101"/>
    <x v="97"/>
    <x v="7"/>
    <x v="0"/>
    <x v="2"/>
    <x v="101"/>
    <x v="4"/>
    <x v="2"/>
    <x v="101"/>
    <x v="94"/>
    <x v="4"/>
    <x v="0"/>
    <x v="101"/>
    <x v="5"/>
    <x v="2"/>
    <x v="4"/>
    <x v="101"/>
  </r>
  <r>
    <x v="102"/>
    <x v="98"/>
    <x v="9"/>
    <x v="0"/>
    <x v="0"/>
    <x v="102"/>
    <x v="5"/>
    <x v="1"/>
    <x v="102"/>
    <x v="95"/>
    <x v="3"/>
    <x v="1"/>
    <x v="102"/>
    <x v="1"/>
    <x v="1"/>
    <x v="2"/>
    <x v="102"/>
  </r>
  <r>
    <x v="103"/>
    <x v="99"/>
    <x v="0"/>
    <x v="2"/>
    <x v="0"/>
    <x v="103"/>
    <x v="1"/>
    <x v="3"/>
    <x v="103"/>
    <x v="96"/>
    <x v="2"/>
    <x v="1"/>
    <x v="103"/>
    <x v="6"/>
    <x v="0"/>
    <x v="2"/>
    <x v="103"/>
  </r>
  <r>
    <x v="104"/>
    <x v="100"/>
    <x v="10"/>
    <x v="1"/>
    <x v="1"/>
    <x v="104"/>
    <x v="1"/>
    <x v="2"/>
    <x v="104"/>
    <x v="97"/>
    <x v="3"/>
    <x v="3"/>
    <x v="104"/>
    <x v="9"/>
    <x v="1"/>
    <x v="2"/>
    <x v="104"/>
  </r>
  <r>
    <x v="105"/>
    <x v="101"/>
    <x v="3"/>
    <x v="1"/>
    <x v="2"/>
    <x v="105"/>
    <x v="4"/>
    <x v="4"/>
    <x v="105"/>
    <x v="98"/>
    <x v="3"/>
    <x v="1"/>
    <x v="105"/>
    <x v="0"/>
    <x v="2"/>
    <x v="3"/>
    <x v="105"/>
  </r>
  <r>
    <x v="106"/>
    <x v="102"/>
    <x v="11"/>
    <x v="0"/>
    <x v="1"/>
    <x v="106"/>
    <x v="6"/>
    <x v="4"/>
    <x v="106"/>
    <x v="99"/>
    <x v="2"/>
    <x v="1"/>
    <x v="106"/>
    <x v="1"/>
    <x v="0"/>
    <x v="2"/>
    <x v="106"/>
  </r>
  <r>
    <x v="107"/>
    <x v="14"/>
    <x v="9"/>
    <x v="0"/>
    <x v="0"/>
    <x v="107"/>
    <x v="4"/>
    <x v="0"/>
    <x v="107"/>
    <x v="100"/>
    <x v="3"/>
    <x v="0"/>
    <x v="107"/>
    <x v="2"/>
    <x v="1"/>
    <x v="0"/>
    <x v="107"/>
  </r>
  <r>
    <x v="108"/>
    <x v="103"/>
    <x v="8"/>
    <x v="1"/>
    <x v="2"/>
    <x v="108"/>
    <x v="5"/>
    <x v="0"/>
    <x v="108"/>
    <x v="101"/>
    <x v="3"/>
    <x v="3"/>
    <x v="108"/>
    <x v="6"/>
    <x v="3"/>
    <x v="2"/>
    <x v="108"/>
  </r>
  <r>
    <x v="109"/>
    <x v="104"/>
    <x v="11"/>
    <x v="0"/>
    <x v="1"/>
    <x v="109"/>
    <x v="6"/>
    <x v="4"/>
    <x v="109"/>
    <x v="102"/>
    <x v="3"/>
    <x v="0"/>
    <x v="109"/>
    <x v="1"/>
    <x v="1"/>
    <x v="1"/>
    <x v="109"/>
  </r>
  <r>
    <x v="110"/>
    <x v="105"/>
    <x v="6"/>
    <x v="1"/>
    <x v="3"/>
    <x v="110"/>
    <x v="2"/>
    <x v="2"/>
    <x v="110"/>
    <x v="103"/>
    <x v="3"/>
    <x v="4"/>
    <x v="110"/>
    <x v="3"/>
    <x v="1"/>
    <x v="0"/>
    <x v="110"/>
  </r>
  <r>
    <x v="111"/>
    <x v="106"/>
    <x v="4"/>
    <x v="2"/>
    <x v="3"/>
    <x v="111"/>
    <x v="6"/>
    <x v="4"/>
    <x v="111"/>
    <x v="104"/>
    <x v="1"/>
    <x v="1"/>
    <x v="111"/>
    <x v="0"/>
    <x v="1"/>
    <x v="4"/>
    <x v="111"/>
  </r>
  <r>
    <x v="112"/>
    <x v="107"/>
    <x v="0"/>
    <x v="0"/>
    <x v="0"/>
    <x v="112"/>
    <x v="0"/>
    <x v="2"/>
    <x v="112"/>
    <x v="105"/>
    <x v="1"/>
    <x v="1"/>
    <x v="112"/>
    <x v="7"/>
    <x v="3"/>
    <x v="1"/>
    <x v="112"/>
  </r>
  <r>
    <x v="113"/>
    <x v="108"/>
    <x v="0"/>
    <x v="1"/>
    <x v="0"/>
    <x v="113"/>
    <x v="5"/>
    <x v="0"/>
    <x v="113"/>
    <x v="106"/>
    <x v="4"/>
    <x v="0"/>
    <x v="113"/>
    <x v="6"/>
    <x v="1"/>
    <x v="0"/>
    <x v="113"/>
  </r>
  <r>
    <x v="114"/>
    <x v="109"/>
    <x v="0"/>
    <x v="2"/>
    <x v="0"/>
    <x v="114"/>
    <x v="0"/>
    <x v="0"/>
    <x v="114"/>
    <x v="107"/>
    <x v="1"/>
    <x v="4"/>
    <x v="114"/>
    <x v="2"/>
    <x v="0"/>
    <x v="4"/>
    <x v="114"/>
  </r>
  <r>
    <x v="115"/>
    <x v="110"/>
    <x v="7"/>
    <x v="0"/>
    <x v="2"/>
    <x v="115"/>
    <x v="1"/>
    <x v="0"/>
    <x v="115"/>
    <x v="108"/>
    <x v="1"/>
    <x v="0"/>
    <x v="115"/>
    <x v="6"/>
    <x v="0"/>
    <x v="3"/>
    <x v="115"/>
  </r>
  <r>
    <x v="116"/>
    <x v="111"/>
    <x v="9"/>
    <x v="0"/>
    <x v="0"/>
    <x v="116"/>
    <x v="4"/>
    <x v="3"/>
    <x v="116"/>
    <x v="109"/>
    <x v="2"/>
    <x v="1"/>
    <x v="116"/>
    <x v="5"/>
    <x v="3"/>
    <x v="3"/>
    <x v="116"/>
  </r>
  <r>
    <x v="117"/>
    <x v="98"/>
    <x v="9"/>
    <x v="0"/>
    <x v="0"/>
    <x v="117"/>
    <x v="2"/>
    <x v="2"/>
    <x v="117"/>
    <x v="110"/>
    <x v="3"/>
    <x v="1"/>
    <x v="117"/>
    <x v="3"/>
    <x v="3"/>
    <x v="1"/>
    <x v="117"/>
  </r>
  <r>
    <x v="118"/>
    <x v="112"/>
    <x v="3"/>
    <x v="0"/>
    <x v="2"/>
    <x v="118"/>
    <x v="4"/>
    <x v="0"/>
    <x v="118"/>
    <x v="111"/>
    <x v="3"/>
    <x v="0"/>
    <x v="118"/>
    <x v="0"/>
    <x v="1"/>
    <x v="4"/>
    <x v="118"/>
  </r>
  <r>
    <x v="119"/>
    <x v="113"/>
    <x v="5"/>
    <x v="2"/>
    <x v="3"/>
    <x v="119"/>
    <x v="6"/>
    <x v="1"/>
    <x v="119"/>
    <x v="112"/>
    <x v="0"/>
    <x v="0"/>
    <x v="119"/>
    <x v="0"/>
    <x v="1"/>
    <x v="1"/>
    <x v="119"/>
  </r>
  <r>
    <x v="120"/>
    <x v="114"/>
    <x v="6"/>
    <x v="0"/>
    <x v="3"/>
    <x v="120"/>
    <x v="2"/>
    <x v="3"/>
    <x v="120"/>
    <x v="6"/>
    <x v="4"/>
    <x v="1"/>
    <x v="120"/>
    <x v="4"/>
    <x v="3"/>
    <x v="0"/>
    <x v="120"/>
  </r>
  <r>
    <x v="121"/>
    <x v="115"/>
    <x v="7"/>
    <x v="0"/>
    <x v="2"/>
    <x v="121"/>
    <x v="6"/>
    <x v="2"/>
    <x v="121"/>
    <x v="113"/>
    <x v="4"/>
    <x v="1"/>
    <x v="121"/>
    <x v="9"/>
    <x v="1"/>
    <x v="0"/>
    <x v="121"/>
  </r>
  <r>
    <x v="122"/>
    <x v="116"/>
    <x v="6"/>
    <x v="1"/>
    <x v="3"/>
    <x v="122"/>
    <x v="5"/>
    <x v="1"/>
    <x v="122"/>
    <x v="114"/>
    <x v="3"/>
    <x v="0"/>
    <x v="122"/>
    <x v="7"/>
    <x v="2"/>
    <x v="3"/>
    <x v="122"/>
  </r>
  <r>
    <x v="123"/>
    <x v="117"/>
    <x v="10"/>
    <x v="0"/>
    <x v="1"/>
    <x v="123"/>
    <x v="6"/>
    <x v="4"/>
    <x v="123"/>
    <x v="115"/>
    <x v="1"/>
    <x v="3"/>
    <x v="123"/>
    <x v="3"/>
    <x v="2"/>
    <x v="0"/>
    <x v="123"/>
  </r>
  <r>
    <x v="124"/>
    <x v="118"/>
    <x v="10"/>
    <x v="1"/>
    <x v="1"/>
    <x v="124"/>
    <x v="4"/>
    <x v="3"/>
    <x v="124"/>
    <x v="116"/>
    <x v="1"/>
    <x v="4"/>
    <x v="124"/>
    <x v="2"/>
    <x v="2"/>
    <x v="4"/>
    <x v="124"/>
  </r>
  <r>
    <x v="125"/>
    <x v="119"/>
    <x v="7"/>
    <x v="1"/>
    <x v="2"/>
    <x v="125"/>
    <x v="1"/>
    <x v="1"/>
    <x v="125"/>
    <x v="117"/>
    <x v="2"/>
    <x v="0"/>
    <x v="125"/>
    <x v="3"/>
    <x v="0"/>
    <x v="2"/>
    <x v="125"/>
  </r>
  <r>
    <x v="126"/>
    <x v="120"/>
    <x v="4"/>
    <x v="2"/>
    <x v="3"/>
    <x v="126"/>
    <x v="6"/>
    <x v="3"/>
    <x v="126"/>
    <x v="118"/>
    <x v="3"/>
    <x v="0"/>
    <x v="126"/>
    <x v="2"/>
    <x v="1"/>
    <x v="4"/>
    <x v="126"/>
  </r>
  <r>
    <x v="127"/>
    <x v="121"/>
    <x v="1"/>
    <x v="0"/>
    <x v="1"/>
    <x v="127"/>
    <x v="6"/>
    <x v="4"/>
    <x v="127"/>
    <x v="119"/>
    <x v="0"/>
    <x v="0"/>
    <x v="127"/>
    <x v="1"/>
    <x v="2"/>
    <x v="4"/>
    <x v="127"/>
  </r>
  <r>
    <x v="128"/>
    <x v="96"/>
    <x v="2"/>
    <x v="0"/>
    <x v="0"/>
    <x v="128"/>
    <x v="2"/>
    <x v="3"/>
    <x v="128"/>
    <x v="120"/>
    <x v="3"/>
    <x v="3"/>
    <x v="128"/>
    <x v="4"/>
    <x v="1"/>
    <x v="4"/>
    <x v="128"/>
  </r>
  <r>
    <x v="129"/>
    <x v="122"/>
    <x v="3"/>
    <x v="0"/>
    <x v="2"/>
    <x v="129"/>
    <x v="5"/>
    <x v="3"/>
    <x v="129"/>
    <x v="121"/>
    <x v="0"/>
    <x v="0"/>
    <x v="129"/>
    <x v="4"/>
    <x v="1"/>
    <x v="3"/>
    <x v="129"/>
  </r>
  <r>
    <x v="130"/>
    <x v="123"/>
    <x v="0"/>
    <x v="2"/>
    <x v="0"/>
    <x v="130"/>
    <x v="6"/>
    <x v="4"/>
    <x v="130"/>
    <x v="122"/>
    <x v="1"/>
    <x v="1"/>
    <x v="130"/>
    <x v="1"/>
    <x v="3"/>
    <x v="3"/>
    <x v="130"/>
  </r>
  <r>
    <x v="131"/>
    <x v="124"/>
    <x v="0"/>
    <x v="0"/>
    <x v="0"/>
    <x v="131"/>
    <x v="2"/>
    <x v="2"/>
    <x v="131"/>
    <x v="123"/>
    <x v="3"/>
    <x v="4"/>
    <x v="131"/>
    <x v="3"/>
    <x v="2"/>
    <x v="0"/>
    <x v="131"/>
  </r>
  <r>
    <x v="132"/>
    <x v="125"/>
    <x v="9"/>
    <x v="0"/>
    <x v="0"/>
    <x v="132"/>
    <x v="2"/>
    <x v="3"/>
    <x v="132"/>
    <x v="124"/>
    <x v="2"/>
    <x v="0"/>
    <x v="132"/>
    <x v="5"/>
    <x v="3"/>
    <x v="2"/>
    <x v="132"/>
  </r>
  <r>
    <x v="133"/>
    <x v="126"/>
    <x v="5"/>
    <x v="2"/>
    <x v="3"/>
    <x v="133"/>
    <x v="3"/>
    <x v="3"/>
    <x v="133"/>
    <x v="125"/>
    <x v="0"/>
    <x v="1"/>
    <x v="133"/>
    <x v="5"/>
    <x v="0"/>
    <x v="4"/>
    <x v="133"/>
  </r>
  <r>
    <x v="134"/>
    <x v="127"/>
    <x v="5"/>
    <x v="2"/>
    <x v="3"/>
    <x v="134"/>
    <x v="5"/>
    <x v="1"/>
    <x v="134"/>
    <x v="124"/>
    <x v="4"/>
    <x v="4"/>
    <x v="134"/>
    <x v="4"/>
    <x v="2"/>
    <x v="2"/>
    <x v="134"/>
  </r>
  <r>
    <x v="135"/>
    <x v="128"/>
    <x v="1"/>
    <x v="0"/>
    <x v="1"/>
    <x v="135"/>
    <x v="4"/>
    <x v="1"/>
    <x v="135"/>
    <x v="126"/>
    <x v="3"/>
    <x v="0"/>
    <x v="135"/>
    <x v="3"/>
    <x v="0"/>
    <x v="1"/>
    <x v="135"/>
  </r>
  <r>
    <x v="136"/>
    <x v="129"/>
    <x v="6"/>
    <x v="1"/>
    <x v="3"/>
    <x v="136"/>
    <x v="5"/>
    <x v="2"/>
    <x v="136"/>
    <x v="127"/>
    <x v="3"/>
    <x v="1"/>
    <x v="136"/>
    <x v="9"/>
    <x v="0"/>
    <x v="0"/>
    <x v="136"/>
  </r>
  <r>
    <x v="137"/>
    <x v="130"/>
    <x v="7"/>
    <x v="1"/>
    <x v="2"/>
    <x v="137"/>
    <x v="0"/>
    <x v="1"/>
    <x v="137"/>
    <x v="128"/>
    <x v="2"/>
    <x v="3"/>
    <x v="137"/>
    <x v="3"/>
    <x v="2"/>
    <x v="4"/>
    <x v="137"/>
  </r>
  <r>
    <x v="138"/>
    <x v="131"/>
    <x v="8"/>
    <x v="0"/>
    <x v="2"/>
    <x v="138"/>
    <x v="2"/>
    <x v="2"/>
    <x v="138"/>
    <x v="129"/>
    <x v="0"/>
    <x v="4"/>
    <x v="138"/>
    <x v="1"/>
    <x v="3"/>
    <x v="4"/>
    <x v="138"/>
  </r>
  <r>
    <x v="139"/>
    <x v="132"/>
    <x v="6"/>
    <x v="0"/>
    <x v="3"/>
    <x v="139"/>
    <x v="1"/>
    <x v="2"/>
    <x v="139"/>
    <x v="130"/>
    <x v="4"/>
    <x v="2"/>
    <x v="139"/>
    <x v="9"/>
    <x v="2"/>
    <x v="2"/>
    <x v="139"/>
  </r>
  <r>
    <x v="140"/>
    <x v="133"/>
    <x v="4"/>
    <x v="2"/>
    <x v="3"/>
    <x v="140"/>
    <x v="3"/>
    <x v="4"/>
    <x v="140"/>
    <x v="103"/>
    <x v="1"/>
    <x v="3"/>
    <x v="140"/>
    <x v="1"/>
    <x v="1"/>
    <x v="2"/>
    <x v="140"/>
  </r>
  <r>
    <x v="141"/>
    <x v="134"/>
    <x v="7"/>
    <x v="0"/>
    <x v="2"/>
    <x v="141"/>
    <x v="4"/>
    <x v="4"/>
    <x v="141"/>
    <x v="131"/>
    <x v="4"/>
    <x v="1"/>
    <x v="141"/>
    <x v="1"/>
    <x v="3"/>
    <x v="0"/>
    <x v="141"/>
  </r>
  <r>
    <x v="142"/>
    <x v="135"/>
    <x v="11"/>
    <x v="0"/>
    <x v="1"/>
    <x v="142"/>
    <x v="6"/>
    <x v="0"/>
    <x v="142"/>
    <x v="132"/>
    <x v="4"/>
    <x v="4"/>
    <x v="142"/>
    <x v="0"/>
    <x v="3"/>
    <x v="2"/>
    <x v="142"/>
  </r>
  <r>
    <x v="143"/>
    <x v="136"/>
    <x v="5"/>
    <x v="1"/>
    <x v="3"/>
    <x v="143"/>
    <x v="3"/>
    <x v="3"/>
    <x v="143"/>
    <x v="133"/>
    <x v="1"/>
    <x v="0"/>
    <x v="143"/>
    <x v="3"/>
    <x v="2"/>
    <x v="1"/>
    <x v="143"/>
  </r>
  <r>
    <x v="144"/>
    <x v="128"/>
    <x v="1"/>
    <x v="0"/>
    <x v="1"/>
    <x v="144"/>
    <x v="6"/>
    <x v="0"/>
    <x v="144"/>
    <x v="30"/>
    <x v="2"/>
    <x v="4"/>
    <x v="144"/>
    <x v="2"/>
    <x v="2"/>
    <x v="3"/>
    <x v="144"/>
  </r>
  <r>
    <x v="145"/>
    <x v="17"/>
    <x v="9"/>
    <x v="1"/>
    <x v="0"/>
    <x v="145"/>
    <x v="4"/>
    <x v="4"/>
    <x v="145"/>
    <x v="134"/>
    <x v="2"/>
    <x v="3"/>
    <x v="145"/>
    <x v="5"/>
    <x v="1"/>
    <x v="4"/>
    <x v="145"/>
  </r>
  <r>
    <x v="146"/>
    <x v="137"/>
    <x v="6"/>
    <x v="2"/>
    <x v="3"/>
    <x v="146"/>
    <x v="2"/>
    <x v="1"/>
    <x v="146"/>
    <x v="135"/>
    <x v="2"/>
    <x v="2"/>
    <x v="146"/>
    <x v="4"/>
    <x v="2"/>
    <x v="0"/>
    <x v="146"/>
  </r>
  <r>
    <x v="147"/>
    <x v="138"/>
    <x v="4"/>
    <x v="2"/>
    <x v="3"/>
    <x v="147"/>
    <x v="5"/>
    <x v="1"/>
    <x v="147"/>
    <x v="136"/>
    <x v="2"/>
    <x v="1"/>
    <x v="147"/>
    <x v="7"/>
    <x v="0"/>
    <x v="4"/>
    <x v="147"/>
  </r>
  <r>
    <x v="148"/>
    <x v="139"/>
    <x v="8"/>
    <x v="1"/>
    <x v="2"/>
    <x v="148"/>
    <x v="1"/>
    <x v="1"/>
    <x v="148"/>
    <x v="137"/>
    <x v="2"/>
    <x v="1"/>
    <x v="148"/>
    <x v="1"/>
    <x v="3"/>
    <x v="4"/>
    <x v="148"/>
  </r>
  <r>
    <x v="149"/>
    <x v="140"/>
    <x v="8"/>
    <x v="0"/>
    <x v="2"/>
    <x v="149"/>
    <x v="5"/>
    <x v="2"/>
    <x v="149"/>
    <x v="138"/>
    <x v="0"/>
    <x v="3"/>
    <x v="149"/>
    <x v="1"/>
    <x v="2"/>
    <x v="3"/>
    <x v="149"/>
  </r>
  <r>
    <x v="150"/>
    <x v="141"/>
    <x v="8"/>
    <x v="0"/>
    <x v="2"/>
    <x v="150"/>
    <x v="1"/>
    <x v="1"/>
    <x v="150"/>
    <x v="139"/>
    <x v="0"/>
    <x v="2"/>
    <x v="150"/>
    <x v="3"/>
    <x v="3"/>
    <x v="4"/>
    <x v="150"/>
  </r>
  <r>
    <x v="151"/>
    <x v="142"/>
    <x v="8"/>
    <x v="0"/>
    <x v="2"/>
    <x v="151"/>
    <x v="4"/>
    <x v="0"/>
    <x v="151"/>
    <x v="140"/>
    <x v="0"/>
    <x v="2"/>
    <x v="151"/>
    <x v="0"/>
    <x v="2"/>
    <x v="2"/>
    <x v="151"/>
  </r>
  <r>
    <x v="152"/>
    <x v="143"/>
    <x v="0"/>
    <x v="2"/>
    <x v="0"/>
    <x v="152"/>
    <x v="3"/>
    <x v="1"/>
    <x v="152"/>
    <x v="141"/>
    <x v="4"/>
    <x v="1"/>
    <x v="152"/>
    <x v="1"/>
    <x v="1"/>
    <x v="1"/>
    <x v="152"/>
  </r>
  <r>
    <x v="153"/>
    <x v="144"/>
    <x v="8"/>
    <x v="1"/>
    <x v="2"/>
    <x v="153"/>
    <x v="3"/>
    <x v="3"/>
    <x v="153"/>
    <x v="142"/>
    <x v="1"/>
    <x v="2"/>
    <x v="153"/>
    <x v="6"/>
    <x v="3"/>
    <x v="0"/>
    <x v="153"/>
  </r>
  <r>
    <x v="154"/>
    <x v="145"/>
    <x v="10"/>
    <x v="0"/>
    <x v="1"/>
    <x v="154"/>
    <x v="1"/>
    <x v="3"/>
    <x v="154"/>
    <x v="115"/>
    <x v="2"/>
    <x v="4"/>
    <x v="154"/>
    <x v="6"/>
    <x v="2"/>
    <x v="0"/>
    <x v="154"/>
  </r>
  <r>
    <x v="155"/>
    <x v="146"/>
    <x v="2"/>
    <x v="0"/>
    <x v="0"/>
    <x v="155"/>
    <x v="1"/>
    <x v="2"/>
    <x v="155"/>
    <x v="47"/>
    <x v="1"/>
    <x v="0"/>
    <x v="155"/>
    <x v="5"/>
    <x v="3"/>
    <x v="1"/>
    <x v="155"/>
  </r>
  <r>
    <x v="156"/>
    <x v="147"/>
    <x v="7"/>
    <x v="1"/>
    <x v="2"/>
    <x v="156"/>
    <x v="3"/>
    <x v="1"/>
    <x v="156"/>
    <x v="143"/>
    <x v="1"/>
    <x v="3"/>
    <x v="156"/>
    <x v="4"/>
    <x v="0"/>
    <x v="2"/>
    <x v="156"/>
  </r>
  <r>
    <x v="157"/>
    <x v="148"/>
    <x v="2"/>
    <x v="2"/>
    <x v="0"/>
    <x v="157"/>
    <x v="0"/>
    <x v="1"/>
    <x v="157"/>
    <x v="125"/>
    <x v="1"/>
    <x v="2"/>
    <x v="157"/>
    <x v="4"/>
    <x v="3"/>
    <x v="3"/>
    <x v="157"/>
  </r>
  <r>
    <x v="158"/>
    <x v="149"/>
    <x v="4"/>
    <x v="1"/>
    <x v="3"/>
    <x v="158"/>
    <x v="2"/>
    <x v="2"/>
    <x v="158"/>
    <x v="144"/>
    <x v="2"/>
    <x v="4"/>
    <x v="158"/>
    <x v="3"/>
    <x v="3"/>
    <x v="0"/>
    <x v="158"/>
  </r>
  <r>
    <x v="159"/>
    <x v="150"/>
    <x v="3"/>
    <x v="0"/>
    <x v="2"/>
    <x v="159"/>
    <x v="4"/>
    <x v="2"/>
    <x v="159"/>
    <x v="145"/>
    <x v="2"/>
    <x v="1"/>
    <x v="159"/>
    <x v="3"/>
    <x v="3"/>
    <x v="2"/>
    <x v="159"/>
  </r>
  <r>
    <x v="160"/>
    <x v="96"/>
    <x v="2"/>
    <x v="0"/>
    <x v="0"/>
    <x v="160"/>
    <x v="0"/>
    <x v="3"/>
    <x v="160"/>
    <x v="146"/>
    <x v="4"/>
    <x v="4"/>
    <x v="160"/>
    <x v="0"/>
    <x v="2"/>
    <x v="1"/>
    <x v="160"/>
  </r>
  <r>
    <x v="161"/>
    <x v="151"/>
    <x v="9"/>
    <x v="1"/>
    <x v="0"/>
    <x v="161"/>
    <x v="0"/>
    <x v="2"/>
    <x v="161"/>
    <x v="122"/>
    <x v="2"/>
    <x v="1"/>
    <x v="161"/>
    <x v="9"/>
    <x v="0"/>
    <x v="3"/>
    <x v="150"/>
  </r>
  <r>
    <x v="162"/>
    <x v="152"/>
    <x v="10"/>
    <x v="0"/>
    <x v="1"/>
    <x v="162"/>
    <x v="3"/>
    <x v="4"/>
    <x v="162"/>
    <x v="69"/>
    <x v="1"/>
    <x v="4"/>
    <x v="162"/>
    <x v="2"/>
    <x v="3"/>
    <x v="4"/>
    <x v="161"/>
  </r>
  <r>
    <x v="163"/>
    <x v="53"/>
    <x v="5"/>
    <x v="2"/>
    <x v="3"/>
    <x v="163"/>
    <x v="2"/>
    <x v="2"/>
    <x v="163"/>
    <x v="147"/>
    <x v="1"/>
    <x v="1"/>
    <x v="163"/>
    <x v="9"/>
    <x v="2"/>
    <x v="1"/>
    <x v="162"/>
  </r>
  <r>
    <x v="164"/>
    <x v="153"/>
    <x v="8"/>
    <x v="0"/>
    <x v="2"/>
    <x v="164"/>
    <x v="6"/>
    <x v="0"/>
    <x v="164"/>
    <x v="148"/>
    <x v="3"/>
    <x v="4"/>
    <x v="164"/>
    <x v="3"/>
    <x v="0"/>
    <x v="4"/>
    <x v="163"/>
  </r>
  <r>
    <x v="165"/>
    <x v="154"/>
    <x v="11"/>
    <x v="1"/>
    <x v="1"/>
    <x v="165"/>
    <x v="0"/>
    <x v="1"/>
    <x v="165"/>
    <x v="149"/>
    <x v="1"/>
    <x v="2"/>
    <x v="165"/>
    <x v="0"/>
    <x v="3"/>
    <x v="4"/>
    <x v="164"/>
  </r>
  <r>
    <x v="166"/>
    <x v="155"/>
    <x v="9"/>
    <x v="2"/>
    <x v="0"/>
    <x v="166"/>
    <x v="3"/>
    <x v="4"/>
    <x v="166"/>
    <x v="51"/>
    <x v="4"/>
    <x v="3"/>
    <x v="166"/>
    <x v="5"/>
    <x v="3"/>
    <x v="0"/>
    <x v="165"/>
  </r>
  <r>
    <x v="167"/>
    <x v="156"/>
    <x v="4"/>
    <x v="0"/>
    <x v="3"/>
    <x v="167"/>
    <x v="3"/>
    <x v="1"/>
    <x v="167"/>
    <x v="150"/>
    <x v="1"/>
    <x v="2"/>
    <x v="167"/>
    <x v="7"/>
    <x v="3"/>
    <x v="2"/>
    <x v="166"/>
  </r>
  <r>
    <x v="168"/>
    <x v="157"/>
    <x v="0"/>
    <x v="2"/>
    <x v="0"/>
    <x v="168"/>
    <x v="4"/>
    <x v="2"/>
    <x v="168"/>
    <x v="151"/>
    <x v="4"/>
    <x v="2"/>
    <x v="168"/>
    <x v="5"/>
    <x v="2"/>
    <x v="3"/>
    <x v="167"/>
  </r>
  <r>
    <x v="169"/>
    <x v="158"/>
    <x v="6"/>
    <x v="1"/>
    <x v="3"/>
    <x v="169"/>
    <x v="4"/>
    <x v="2"/>
    <x v="169"/>
    <x v="152"/>
    <x v="1"/>
    <x v="3"/>
    <x v="169"/>
    <x v="7"/>
    <x v="3"/>
    <x v="2"/>
    <x v="168"/>
  </r>
  <r>
    <x v="170"/>
    <x v="159"/>
    <x v="6"/>
    <x v="2"/>
    <x v="3"/>
    <x v="170"/>
    <x v="6"/>
    <x v="3"/>
    <x v="170"/>
    <x v="153"/>
    <x v="4"/>
    <x v="1"/>
    <x v="170"/>
    <x v="2"/>
    <x v="0"/>
    <x v="0"/>
    <x v="169"/>
  </r>
  <r>
    <x v="171"/>
    <x v="160"/>
    <x v="1"/>
    <x v="0"/>
    <x v="1"/>
    <x v="171"/>
    <x v="2"/>
    <x v="1"/>
    <x v="171"/>
    <x v="154"/>
    <x v="2"/>
    <x v="3"/>
    <x v="171"/>
    <x v="0"/>
    <x v="3"/>
    <x v="0"/>
    <x v="170"/>
  </r>
  <r>
    <x v="172"/>
    <x v="161"/>
    <x v="6"/>
    <x v="2"/>
    <x v="3"/>
    <x v="172"/>
    <x v="4"/>
    <x v="2"/>
    <x v="172"/>
    <x v="119"/>
    <x v="1"/>
    <x v="3"/>
    <x v="172"/>
    <x v="9"/>
    <x v="3"/>
    <x v="2"/>
    <x v="171"/>
  </r>
  <r>
    <x v="173"/>
    <x v="59"/>
    <x v="9"/>
    <x v="1"/>
    <x v="0"/>
    <x v="173"/>
    <x v="1"/>
    <x v="4"/>
    <x v="173"/>
    <x v="155"/>
    <x v="1"/>
    <x v="3"/>
    <x v="173"/>
    <x v="4"/>
    <x v="1"/>
    <x v="4"/>
    <x v="172"/>
  </r>
  <r>
    <x v="174"/>
    <x v="162"/>
    <x v="6"/>
    <x v="1"/>
    <x v="3"/>
    <x v="174"/>
    <x v="4"/>
    <x v="3"/>
    <x v="174"/>
    <x v="156"/>
    <x v="0"/>
    <x v="3"/>
    <x v="174"/>
    <x v="6"/>
    <x v="0"/>
    <x v="2"/>
    <x v="173"/>
  </r>
  <r>
    <x v="175"/>
    <x v="163"/>
    <x v="2"/>
    <x v="2"/>
    <x v="0"/>
    <x v="175"/>
    <x v="3"/>
    <x v="0"/>
    <x v="175"/>
    <x v="157"/>
    <x v="0"/>
    <x v="4"/>
    <x v="175"/>
    <x v="5"/>
    <x v="3"/>
    <x v="1"/>
    <x v="174"/>
  </r>
  <r>
    <x v="176"/>
    <x v="164"/>
    <x v="5"/>
    <x v="2"/>
    <x v="3"/>
    <x v="176"/>
    <x v="2"/>
    <x v="3"/>
    <x v="176"/>
    <x v="158"/>
    <x v="3"/>
    <x v="4"/>
    <x v="176"/>
    <x v="2"/>
    <x v="3"/>
    <x v="1"/>
    <x v="175"/>
  </r>
  <r>
    <x v="177"/>
    <x v="165"/>
    <x v="1"/>
    <x v="0"/>
    <x v="1"/>
    <x v="177"/>
    <x v="3"/>
    <x v="0"/>
    <x v="177"/>
    <x v="159"/>
    <x v="2"/>
    <x v="4"/>
    <x v="177"/>
    <x v="8"/>
    <x v="2"/>
    <x v="3"/>
    <x v="176"/>
  </r>
  <r>
    <x v="178"/>
    <x v="166"/>
    <x v="6"/>
    <x v="1"/>
    <x v="3"/>
    <x v="178"/>
    <x v="3"/>
    <x v="3"/>
    <x v="178"/>
    <x v="160"/>
    <x v="1"/>
    <x v="3"/>
    <x v="178"/>
    <x v="3"/>
    <x v="0"/>
    <x v="4"/>
    <x v="177"/>
  </r>
  <r>
    <x v="179"/>
    <x v="167"/>
    <x v="7"/>
    <x v="1"/>
    <x v="2"/>
    <x v="179"/>
    <x v="5"/>
    <x v="4"/>
    <x v="179"/>
    <x v="161"/>
    <x v="2"/>
    <x v="3"/>
    <x v="179"/>
    <x v="2"/>
    <x v="2"/>
    <x v="2"/>
    <x v="178"/>
  </r>
  <r>
    <x v="180"/>
    <x v="168"/>
    <x v="9"/>
    <x v="0"/>
    <x v="0"/>
    <x v="180"/>
    <x v="2"/>
    <x v="0"/>
    <x v="180"/>
    <x v="162"/>
    <x v="4"/>
    <x v="2"/>
    <x v="180"/>
    <x v="8"/>
    <x v="2"/>
    <x v="4"/>
    <x v="179"/>
  </r>
  <r>
    <x v="181"/>
    <x v="169"/>
    <x v="1"/>
    <x v="1"/>
    <x v="1"/>
    <x v="181"/>
    <x v="4"/>
    <x v="0"/>
    <x v="181"/>
    <x v="163"/>
    <x v="1"/>
    <x v="0"/>
    <x v="181"/>
    <x v="8"/>
    <x v="2"/>
    <x v="1"/>
    <x v="180"/>
  </r>
  <r>
    <x v="182"/>
    <x v="170"/>
    <x v="9"/>
    <x v="2"/>
    <x v="0"/>
    <x v="182"/>
    <x v="6"/>
    <x v="2"/>
    <x v="182"/>
    <x v="164"/>
    <x v="0"/>
    <x v="4"/>
    <x v="182"/>
    <x v="4"/>
    <x v="3"/>
    <x v="4"/>
    <x v="181"/>
  </r>
  <r>
    <x v="183"/>
    <x v="171"/>
    <x v="6"/>
    <x v="1"/>
    <x v="3"/>
    <x v="183"/>
    <x v="0"/>
    <x v="0"/>
    <x v="183"/>
    <x v="165"/>
    <x v="0"/>
    <x v="3"/>
    <x v="183"/>
    <x v="2"/>
    <x v="0"/>
    <x v="2"/>
    <x v="182"/>
  </r>
  <r>
    <x v="184"/>
    <x v="172"/>
    <x v="6"/>
    <x v="1"/>
    <x v="3"/>
    <x v="184"/>
    <x v="2"/>
    <x v="3"/>
    <x v="184"/>
    <x v="166"/>
    <x v="3"/>
    <x v="1"/>
    <x v="184"/>
    <x v="0"/>
    <x v="2"/>
    <x v="1"/>
    <x v="183"/>
  </r>
  <r>
    <x v="185"/>
    <x v="61"/>
    <x v="2"/>
    <x v="2"/>
    <x v="0"/>
    <x v="185"/>
    <x v="5"/>
    <x v="2"/>
    <x v="185"/>
    <x v="167"/>
    <x v="1"/>
    <x v="0"/>
    <x v="185"/>
    <x v="7"/>
    <x v="3"/>
    <x v="1"/>
    <x v="184"/>
  </r>
  <r>
    <x v="186"/>
    <x v="173"/>
    <x v="8"/>
    <x v="0"/>
    <x v="2"/>
    <x v="186"/>
    <x v="1"/>
    <x v="1"/>
    <x v="186"/>
    <x v="168"/>
    <x v="4"/>
    <x v="4"/>
    <x v="186"/>
    <x v="0"/>
    <x v="1"/>
    <x v="3"/>
    <x v="185"/>
  </r>
  <r>
    <x v="187"/>
    <x v="174"/>
    <x v="2"/>
    <x v="0"/>
    <x v="0"/>
    <x v="187"/>
    <x v="3"/>
    <x v="2"/>
    <x v="187"/>
    <x v="169"/>
    <x v="3"/>
    <x v="2"/>
    <x v="187"/>
    <x v="5"/>
    <x v="1"/>
    <x v="1"/>
    <x v="186"/>
  </r>
  <r>
    <x v="188"/>
    <x v="175"/>
    <x v="9"/>
    <x v="2"/>
    <x v="0"/>
    <x v="188"/>
    <x v="3"/>
    <x v="1"/>
    <x v="188"/>
    <x v="170"/>
    <x v="3"/>
    <x v="0"/>
    <x v="188"/>
    <x v="7"/>
    <x v="1"/>
    <x v="1"/>
    <x v="187"/>
  </r>
  <r>
    <x v="189"/>
    <x v="176"/>
    <x v="10"/>
    <x v="0"/>
    <x v="1"/>
    <x v="189"/>
    <x v="4"/>
    <x v="0"/>
    <x v="189"/>
    <x v="171"/>
    <x v="3"/>
    <x v="1"/>
    <x v="189"/>
    <x v="3"/>
    <x v="3"/>
    <x v="2"/>
    <x v="188"/>
  </r>
  <r>
    <x v="190"/>
    <x v="169"/>
    <x v="1"/>
    <x v="1"/>
    <x v="1"/>
    <x v="190"/>
    <x v="4"/>
    <x v="4"/>
    <x v="190"/>
    <x v="172"/>
    <x v="4"/>
    <x v="2"/>
    <x v="190"/>
    <x v="1"/>
    <x v="0"/>
    <x v="2"/>
    <x v="189"/>
  </r>
  <r>
    <x v="191"/>
    <x v="177"/>
    <x v="9"/>
    <x v="2"/>
    <x v="0"/>
    <x v="191"/>
    <x v="5"/>
    <x v="1"/>
    <x v="191"/>
    <x v="173"/>
    <x v="1"/>
    <x v="1"/>
    <x v="191"/>
    <x v="4"/>
    <x v="1"/>
    <x v="4"/>
    <x v="190"/>
  </r>
  <r>
    <x v="192"/>
    <x v="178"/>
    <x v="1"/>
    <x v="0"/>
    <x v="1"/>
    <x v="192"/>
    <x v="6"/>
    <x v="2"/>
    <x v="192"/>
    <x v="131"/>
    <x v="3"/>
    <x v="1"/>
    <x v="192"/>
    <x v="3"/>
    <x v="0"/>
    <x v="4"/>
    <x v="191"/>
  </r>
  <r>
    <x v="193"/>
    <x v="179"/>
    <x v="10"/>
    <x v="0"/>
    <x v="1"/>
    <x v="193"/>
    <x v="4"/>
    <x v="2"/>
    <x v="193"/>
    <x v="174"/>
    <x v="4"/>
    <x v="1"/>
    <x v="193"/>
    <x v="5"/>
    <x v="2"/>
    <x v="4"/>
    <x v="192"/>
  </r>
  <r>
    <x v="194"/>
    <x v="180"/>
    <x v="5"/>
    <x v="1"/>
    <x v="3"/>
    <x v="194"/>
    <x v="0"/>
    <x v="2"/>
    <x v="194"/>
    <x v="175"/>
    <x v="4"/>
    <x v="0"/>
    <x v="194"/>
    <x v="1"/>
    <x v="1"/>
    <x v="4"/>
    <x v="193"/>
  </r>
  <r>
    <x v="195"/>
    <x v="181"/>
    <x v="6"/>
    <x v="1"/>
    <x v="3"/>
    <x v="195"/>
    <x v="3"/>
    <x v="4"/>
    <x v="195"/>
    <x v="176"/>
    <x v="0"/>
    <x v="1"/>
    <x v="195"/>
    <x v="5"/>
    <x v="2"/>
    <x v="2"/>
    <x v="194"/>
  </r>
  <r>
    <x v="196"/>
    <x v="182"/>
    <x v="0"/>
    <x v="2"/>
    <x v="0"/>
    <x v="196"/>
    <x v="6"/>
    <x v="3"/>
    <x v="196"/>
    <x v="177"/>
    <x v="4"/>
    <x v="3"/>
    <x v="196"/>
    <x v="2"/>
    <x v="3"/>
    <x v="2"/>
    <x v="195"/>
  </r>
  <r>
    <x v="197"/>
    <x v="183"/>
    <x v="1"/>
    <x v="0"/>
    <x v="1"/>
    <x v="197"/>
    <x v="5"/>
    <x v="0"/>
    <x v="197"/>
    <x v="178"/>
    <x v="4"/>
    <x v="2"/>
    <x v="197"/>
    <x v="3"/>
    <x v="3"/>
    <x v="1"/>
    <x v="196"/>
  </r>
  <r>
    <x v="198"/>
    <x v="184"/>
    <x v="5"/>
    <x v="1"/>
    <x v="3"/>
    <x v="198"/>
    <x v="5"/>
    <x v="3"/>
    <x v="198"/>
    <x v="34"/>
    <x v="4"/>
    <x v="1"/>
    <x v="198"/>
    <x v="2"/>
    <x v="0"/>
    <x v="1"/>
    <x v="197"/>
  </r>
  <r>
    <x v="199"/>
    <x v="185"/>
    <x v="0"/>
    <x v="2"/>
    <x v="0"/>
    <x v="199"/>
    <x v="1"/>
    <x v="2"/>
    <x v="199"/>
    <x v="179"/>
    <x v="1"/>
    <x v="2"/>
    <x v="199"/>
    <x v="3"/>
    <x v="3"/>
    <x v="4"/>
    <x v="198"/>
  </r>
  <r>
    <x v="200"/>
    <x v="186"/>
    <x v="5"/>
    <x v="2"/>
    <x v="3"/>
    <x v="200"/>
    <x v="2"/>
    <x v="0"/>
    <x v="200"/>
    <x v="30"/>
    <x v="2"/>
    <x v="3"/>
    <x v="200"/>
    <x v="6"/>
    <x v="0"/>
    <x v="4"/>
    <x v="199"/>
  </r>
  <r>
    <x v="201"/>
    <x v="187"/>
    <x v="5"/>
    <x v="0"/>
    <x v="3"/>
    <x v="201"/>
    <x v="0"/>
    <x v="1"/>
    <x v="201"/>
    <x v="72"/>
    <x v="1"/>
    <x v="0"/>
    <x v="201"/>
    <x v="4"/>
    <x v="0"/>
    <x v="3"/>
    <x v="200"/>
  </r>
  <r>
    <x v="202"/>
    <x v="188"/>
    <x v="2"/>
    <x v="2"/>
    <x v="0"/>
    <x v="202"/>
    <x v="0"/>
    <x v="4"/>
    <x v="202"/>
    <x v="125"/>
    <x v="2"/>
    <x v="1"/>
    <x v="202"/>
    <x v="1"/>
    <x v="1"/>
    <x v="2"/>
    <x v="201"/>
  </r>
  <r>
    <x v="203"/>
    <x v="94"/>
    <x v="0"/>
    <x v="2"/>
    <x v="0"/>
    <x v="203"/>
    <x v="4"/>
    <x v="4"/>
    <x v="203"/>
    <x v="180"/>
    <x v="1"/>
    <x v="0"/>
    <x v="203"/>
    <x v="3"/>
    <x v="0"/>
    <x v="0"/>
    <x v="202"/>
  </r>
  <r>
    <x v="204"/>
    <x v="189"/>
    <x v="11"/>
    <x v="0"/>
    <x v="1"/>
    <x v="204"/>
    <x v="5"/>
    <x v="3"/>
    <x v="204"/>
    <x v="129"/>
    <x v="3"/>
    <x v="1"/>
    <x v="204"/>
    <x v="6"/>
    <x v="1"/>
    <x v="3"/>
    <x v="203"/>
  </r>
  <r>
    <x v="205"/>
    <x v="190"/>
    <x v="9"/>
    <x v="0"/>
    <x v="0"/>
    <x v="205"/>
    <x v="6"/>
    <x v="4"/>
    <x v="205"/>
    <x v="181"/>
    <x v="0"/>
    <x v="2"/>
    <x v="205"/>
    <x v="1"/>
    <x v="2"/>
    <x v="2"/>
    <x v="204"/>
  </r>
  <r>
    <x v="206"/>
    <x v="162"/>
    <x v="6"/>
    <x v="1"/>
    <x v="3"/>
    <x v="206"/>
    <x v="5"/>
    <x v="3"/>
    <x v="206"/>
    <x v="182"/>
    <x v="3"/>
    <x v="2"/>
    <x v="206"/>
    <x v="2"/>
    <x v="3"/>
    <x v="2"/>
    <x v="205"/>
  </r>
  <r>
    <x v="207"/>
    <x v="191"/>
    <x v="9"/>
    <x v="2"/>
    <x v="0"/>
    <x v="207"/>
    <x v="1"/>
    <x v="2"/>
    <x v="207"/>
    <x v="183"/>
    <x v="0"/>
    <x v="3"/>
    <x v="207"/>
    <x v="1"/>
    <x v="2"/>
    <x v="4"/>
    <x v="206"/>
  </r>
  <r>
    <x v="208"/>
    <x v="192"/>
    <x v="3"/>
    <x v="1"/>
    <x v="2"/>
    <x v="208"/>
    <x v="6"/>
    <x v="1"/>
    <x v="208"/>
    <x v="171"/>
    <x v="1"/>
    <x v="0"/>
    <x v="208"/>
    <x v="1"/>
    <x v="1"/>
    <x v="3"/>
    <x v="207"/>
  </r>
  <r>
    <x v="209"/>
    <x v="193"/>
    <x v="1"/>
    <x v="0"/>
    <x v="1"/>
    <x v="209"/>
    <x v="2"/>
    <x v="0"/>
    <x v="209"/>
    <x v="7"/>
    <x v="4"/>
    <x v="2"/>
    <x v="209"/>
    <x v="6"/>
    <x v="0"/>
    <x v="4"/>
    <x v="208"/>
  </r>
  <r>
    <x v="210"/>
    <x v="194"/>
    <x v="8"/>
    <x v="1"/>
    <x v="2"/>
    <x v="210"/>
    <x v="3"/>
    <x v="4"/>
    <x v="210"/>
    <x v="122"/>
    <x v="3"/>
    <x v="3"/>
    <x v="210"/>
    <x v="0"/>
    <x v="1"/>
    <x v="3"/>
    <x v="209"/>
  </r>
  <r>
    <x v="211"/>
    <x v="195"/>
    <x v="0"/>
    <x v="2"/>
    <x v="0"/>
    <x v="211"/>
    <x v="4"/>
    <x v="4"/>
    <x v="211"/>
    <x v="184"/>
    <x v="3"/>
    <x v="4"/>
    <x v="211"/>
    <x v="0"/>
    <x v="1"/>
    <x v="2"/>
    <x v="210"/>
  </r>
  <r>
    <x v="212"/>
    <x v="196"/>
    <x v="5"/>
    <x v="0"/>
    <x v="3"/>
    <x v="212"/>
    <x v="0"/>
    <x v="2"/>
    <x v="212"/>
    <x v="185"/>
    <x v="2"/>
    <x v="1"/>
    <x v="212"/>
    <x v="5"/>
    <x v="3"/>
    <x v="2"/>
    <x v="211"/>
  </r>
  <r>
    <x v="213"/>
    <x v="197"/>
    <x v="6"/>
    <x v="0"/>
    <x v="3"/>
    <x v="213"/>
    <x v="5"/>
    <x v="2"/>
    <x v="213"/>
    <x v="186"/>
    <x v="4"/>
    <x v="1"/>
    <x v="213"/>
    <x v="5"/>
    <x v="0"/>
    <x v="2"/>
    <x v="212"/>
  </r>
  <r>
    <x v="214"/>
    <x v="58"/>
    <x v="1"/>
    <x v="1"/>
    <x v="1"/>
    <x v="214"/>
    <x v="6"/>
    <x v="3"/>
    <x v="214"/>
    <x v="113"/>
    <x v="1"/>
    <x v="3"/>
    <x v="214"/>
    <x v="3"/>
    <x v="2"/>
    <x v="3"/>
    <x v="213"/>
  </r>
  <r>
    <x v="215"/>
    <x v="121"/>
    <x v="1"/>
    <x v="0"/>
    <x v="1"/>
    <x v="215"/>
    <x v="4"/>
    <x v="2"/>
    <x v="215"/>
    <x v="187"/>
    <x v="4"/>
    <x v="0"/>
    <x v="215"/>
    <x v="3"/>
    <x v="1"/>
    <x v="3"/>
    <x v="214"/>
  </r>
  <r>
    <x v="216"/>
    <x v="198"/>
    <x v="6"/>
    <x v="2"/>
    <x v="3"/>
    <x v="216"/>
    <x v="0"/>
    <x v="3"/>
    <x v="216"/>
    <x v="55"/>
    <x v="1"/>
    <x v="1"/>
    <x v="216"/>
    <x v="2"/>
    <x v="3"/>
    <x v="4"/>
    <x v="215"/>
  </r>
  <r>
    <x v="217"/>
    <x v="199"/>
    <x v="4"/>
    <x v="1"/>
    <x v="3"/>
    <x v="217"/>
    <x v="6"/>
    <x v="3"/>
    <x v="217"/>
    <x v="188"/>
    <x v="4"/>
    <x v="2"/>
    <x v="217"/>
    <x v="6"/>
    <x v="2"/>
    <x v="4"/>
    <x v="216"/>
  </r>
  <r>
    <x v="218"/>
    <x v="200"/>
    <x v="6"/>
    <x v="0"/>
    <x v="3"/>
    <x v="218"/>
    <x v="2"/>
    <x v="4"/>
    <x v="218"/>
    <x v="189"/>
    <x v="3"/>
    <x v="0"/>
    <x v="218"/>
    <x v="5"/>
    <x v="0"/>
    <x v="0"/>
    <x v="217"/>
  </r>
  <r>
    <x v="219"/>
    <x v="201"/>
    <x v="4"/>
    <x v="2"/>
    <x v="3"/>
    <x v="219"/>
    <x v="5"/>
    <x v="0"/>
    <x v="219"/>
    <x v="190"/>
    <x v="4"/>
    <x v="3"/>
    <x v="219"/>
    <x v="5"/>
    <x v="0"/>
    <x v="2"/>
    <x v="218"/>
  </r>
  <r>
    <x v="220"/>
    <x v="202"/>
    <x v="10"/>
    <x v="0"/>
    <x v="1"/>
    <x v="220"/>
    <x v="5"/>
    <x v="1"/>
    <x v="220"/>
    <x v="191"/>
    <x v="2"/>
    <x v="4"/>
    <x v="220"/>
    <x v="5"/>
    <x v="0"/>
    <x v="1"/>
    <x v="219"/>
  </r>
  <r>
    <x v="221"/>
    <x v="203"/>
    <x v="2"/>
    <x v="1"/>
    <x v="0"/>
    <x v="221"/>
    <x v="2"/>
    <x v="0"/>
    <x v="221"/>
    <x v="64"/>
    <x v="0"/>
    <x v="4"/>
    <x v="221"/>
    <x v="5"/>
    <x v="0"/>
    <x v="4"/>
    <x v="220"/>
  </r>
  <r>
    <x v="222"/>
    <x v="204"/>
    <x v="4"/>
    <x v="0"/>
    <x v="3"/>
    <x v="222"/>
    <x v="3"/>
    <x v="3"/>
    <x v="222"/>
    <x v="192"/>
    <x v="1"/>
    <x v="0"/>
    <x v="222"/>
    <x v="2"/>
    <x v="2"/>
    <x v="0"/>
    <x v="221"/>
  </r>
  <r>
    <x v="223"/>
    <x v="57"/>
    <x v="11"/>
    <x v="1"/>
    <x v="1"/>
    <x v="223"/>
    <x v="1"/>
    <x v="3"/>
    <x v="223"/>
    <x v="113"/>
    <x v="2"/>
    <x v="4"/>
    <x v="223"/>
    <x v="6"/>
    <x v="0"/>
    <x v="0"/>
    <x v="222"/>
  </r>
  <r>
    <x v="224"/>
    <x v="205"/>
    <x v="11"/>
    <x v="0"/>
    <x v="1"/>
    <x v="224"/>
    <x v="4"/>
    <x v="3"/>
    <x v="224"/>
    <x v="193"/>
    <x v="4"/>
    <x v="1"/>
    <x v="224"/>
    <x v="6"/>
    <x v="0"/>
    <x v="1"/>
    <x v="223"/>
  </r>
  <r>
    <x v="225"/>
    <x v="206"/>
    <x v="9"/>
    <x v="1"/>
    <x v="0"/>
    <x v="225"/>
    <x v="1"/>
    <x v="4"/>
    <x v="225"/>
    <x v="194"/>
    <x v="0"/>
    <x v="2"/>
    <x v="225"/>
    <x v="2"/>
    <x v="0"/>
    <x v="4"/>
    <x v="224"/>
  </r>
  <r>
    <x v="226"/>
    <x v="207"/>
    <x v="5"/>
    <x v="2"/>
    <x v="3"/>
    <x v="226"/>
    <x v="6"/>
    <x v="4"/>
    <x v="226"/>
    <x v="195"/>
    <x v="3"/>
    <x v="3"/>
    <x v="226"/>
    <x v="2"/>
    <x v="2"/>
    <x v="0"/>
    <x v="225"/>
  </r>
  <r>
    <x v="227"/>
    <x v="208"/>
    <x v="7"/>
    <x v="0"/>
    <x v="2"/>
    <x v="227"/>
    <x v="0"/>
    <x v="1"/>
    <x v="227"/>
    <x v="118"/>
    <x v="1"/>
    <x v="1"/>
    <x v="227"/>
    <x v="4"/>
    <x v="1"/>
    <x v="3"/>
    <x v="226"/>
  </r>
  <r>
    <x v="228"/>
    <x v="209"/>
    <x v="4"/>
    <x v="0"/>
    <x v="3"/>
    <x v="228"/>
    <x v="3"/>
    <x v="3"/>
    <x v="228"/>
    <x v="196"/>
    <x v="2"/>
    <x v="1"/>
    <x v="228"/>
    <x v="2"/>
    <x v="2"/>
    <x v="0"/>
    <x v="227"/>
  </r>
  <r>
    <x v="229"/>
    <x v="210"/>
    <x v="9"/>
    <x v="2"/>
    <x v="0"/>
    <x v="229"/>
    <x v="2"/>
    <x v="2"/>
    <x v="229"/>
    <x v="197"/>
    <x v="2"/>
    <x v="3"/>
    <x v="229"/>
    <x v="1"/>
    <x v="3"/>
    <x v="3"/>
    <x v="228"/>
  </r>
  <r>
    <x v="230"/>
    <x v="211"/>
    <x v="8"/>
    <x v="0"/>
    <x v="2"/>
    <x v="230"/>
    <x v="6"/>
    <x v="3"/>
    <x v="230"/>
    <x v="198"/>
    <x v="3"/>
    <x v="3"/>
    <x v="230"/>
    <x v="5"/>
    <x v="3"/>
    <x v="2"/>
    <x v="229"/>
  </r>
  <r>
    <x v="231"/>
    <x v="212"/>
    <x v="7"/>
    <x v="0"/>
    <x v="2"/>
    <x v="231"/>
    <x v="1"/>
    <x v="3"/>
    <x v="231"/>
    <x v="199"/>
    <x v="3"/>
    <x v="4"/>
    <x v="231"/>
    <x v="6"/>
    <x v="1"/>
    <x v="0"/>
    <x v="230"/>
  </r>
  <r>
    <x v="232"/>
    <x v="213"/>
    <x v="4"/>
    <x v="0"/>
    <x v="3"/>
    <x v="232"/>
    <x v="4"/>
    <x v="3"/>
    <x v="232"/>
    <x v="200"/>
    <x v="0"/>
    <x v="1"/>
    <x v="232"/>
    <x v="2"/>
    <x v="3"/>
    <x v="4"/>
    <x v="231"/>
  </r>
  <r>
    <x v="233"/>
    <x v="214"/>
    <x v="1"/>
    <x v="1"/>
    <x v="1"/>
    <x v="233"/>
    <x v="1"/>
    <x v="4"/>
    <x v="233"/>
    <x v="72"/>
    <x v="4"/>
    <x v="1"/>
    <x v="233"/>
    <x v="1"/>
    <x v="3"/>
    <x v="0"/>
    <x v="232"/>
  </r>
  <r>
    <x v="234"/>
    <x v="130"/>
    <x v="7"/>
    <x v="1"/>
    <x v="2"/>
    <x v="234"/>
    <x v="4"/>
    <x v="3"/>
    <x v="234"/>
    <x v="201"/>
    <x v="0"/>
    <x v="4"/>
    <x v="234"/>
    <x v="0"/>
    <x v="0"/>
    <x v="4"/>
    <x v="233"/>
  </r>
  <r>
    <x v="235"/>
    <x v="215"/>
    <x v="2"/>
    <x v="0"/>
    <x v="0"/>
    <x v="235"/>
    <x v="6"/>
    <x v="2"/>
    <x v="235"/>
    <x v="202"/>
    <x v="4"/>
    <x v="4"/>
    <x v="235"/>
    <x v="7"/>
    <x v="3"/>
    <x v="4"/>
    <x v="234"/>
  </r>
  <r>
    <x v="236"/>
    <x v="107"/>
    <x v="0"/>
    <x v="0"/>
    <x v="0"/>
    <x v="236"/>
    <x v="0"/>
    <x v="2"/>
    <x v="236"/>
    <x v="203"/>
    <x v="0"/>
    <x v="4"/>
    <x v="236"/>
    <x v="1"/>
    <x v="3"/>
    <x v="2"/>
    <x v="235"/>
  </r>
  <r>
    <x v="237"/>
    <x v="216"/>
    <x v="9"/>
    <x v="1"/>
    <x v="0"/>
    <x v="237"/>
    <x v="0"/>
    <x v="4"/>
    <x v="237"/>
    <x v="204"/>
    <x v="2"/>
    <x v="0"/>
    <x v="237"/>
    <x v="3"/>
    <x v="1"/>
    <x v="3"/>
    <x v="236"/>
  </r>
  <r>
    <x v="238"/>
    <x v="217"/>
    <x v="8"/>
    <x v="1"/>
    <x v="2"/>
    <x v="238"/>
    <x v="6"/>
    <x v="3"/>
    <x v="238"/>
    <x v="205"/>
    <x v="2"/>
    <x v="4"/>
    <x v="238"/>
    <x v="5"/>
    <x v="3"/>
    <x v="4"/>
    <x v="237"/>
  </r>
  <r>
    <x v="239"/>
    <x v="218"/>
    <x v="8"/>
    <x v="1"/>
    <x v="2"/>
    <x v="239"/>
    <x v="2"/>
    <x v="4"/>
    <x v="239"/>
    <x v="206"/>
    <x v="1"/>
    <x v="0"/>
    <x v="239"/>
    <x v="5"/>
    <x v="1"/>
    <x v="2"/>
    <x v="238"/>
  </r>
  <r>
    <x v="240"/>
    <x v="219"/>
    <x v="10"/>
    <x v="0"/>
    <x v="1"/>
    <x v="240"/>
    <x v="2"/>
    <x v="2"/>
    <x v="240"/>
    <x v="207"/>
    <x v="1"/>
    <x v="4"/>
    <x v="240"/>
    <x v="7"/>
    <x v="1"/>
    <x v="0"/>
    <x v="239"/>
  </r>
  <r>
    <x v="241"/>
    <x v="220"/>
    <x v="4"/>
    <x v="0"/>
    <x v="3"/>
    <x v="241"/>
    <x v="3"/>
    <x v="0"/>
    <x v="241"/>
    <x v="208"/>
    <x v="1"/>
    <x v="4"/>
    <x v="241"/>
    <x v="5"/>
    <x v="0"/>
    <x v="2"/>
    <x v="240"/>
  </r>
  <r>
    <x v="242"/>
    <x v="221"/>
    <x v="4"/>
    <x v="0"/>
    <x v="3"/>
    <x v="242"/>
    <x v="4"/>
    <x v="1"/>
    <x v="242"/>
    <x v="209"/>
    <x v="1"/>
    <x v="4"/>
    <x v="242"/>
    <x v="4"/>
    <x v="0"/>
    <x v="1"/>
    <x v="241"/>
  </r>
  <r>
    <x v="243"/>
    <x v="222"/>
    <x v="4"/>
    <x v="2"/>
    <x v="3"/>
    <x v="243"/>
    <x v="3"/>
    <x v="1"/>
    <x v="243"/>
    <x v="210"/>
    <x v="1"/>
    <x v="1"/>
    <x v="243"/>
    <x v="0"/>
    <x v="1"/>
    <x v="4"/>
    <x v="242"/>
  </r>
  <r>
    <x v="244"/>
    <x v="223"/>
    <x v="2"/>
    <x v="0"/>
    <x v="0"/>
    <x v="244"/>
    <x v="6"/>
    <x v="1"/>
    <x v="244"/>
    <x v="211"/>
    <x v="0"/>
    <x v="1"/>
    <x v="244"/>
    <x v="4"/>
    <x v="3"/>
    <x v="3"/>
    <x v="243"/>
  </r>
  <r>
    <x v="245"/>
    <x v="224"/>
    <x v="6"/>
    <x v="2"/>
    <x v="3"/>
    <x v="245"/>
    <x v="5"/>
    <x v="2"/>
    <x v="245"/>
    <x v="212"/>
    <x v="1"/>
    <x v="2"/>
    <x v="245"/>
    <x v="9"/>
    <x v="2"/>
    <x v="3"/>
    <x v="244"/>
  </r>
  <r>
    <x v="246"/>
    <x v="225"/>
    <x v="1"/>
    <x v="1"/>
    <x v="1"/>
    <x v="246"/>
    <x v="6"/>
    <x v="1"/>
    <x v="246"/>
    <x v="213"/>
    <x v="3"/>
    <x v="0"/>
    <x v="246"/>
    <x v="7"/>
    <x v="3"/>
    <x v="0"/>
    <x v="245"/>
  </r>
  <r>
    <x v="247"/>
    <x v="145"/>
    <x v="10"/>
    <x v="0"/>
    <x v="1"/>
    <x v="247"/>
    <x v="4"/>
    <x v="1"/>
    <x v="247"/>
    <x v="214"/>
    <x v="3"/>
    <x v="0"/>
    <x v="247"/>
    <x v="4"/>
    <x v="2"/>
    <x v="2"/>
    <x v="246"/>
  </r>
  <r>
    <x v="248"/>
    <x v="226"/>
    <x v="10"/>
    <x v="0"/>
    <x v="1"/>
    <x v="248"/>
    <x v="5"/>
    <x v="2"/>
    <x v="248"/>
    <x v="215"/>
    <x v="4"/>
    <x v="0"/>
    <x v="248"/>
    <x v="5"/>
    <x v="1"/>
    <x v="1"/>
    <x v="247"/>
  </r>
  <r>
    <x v="249"/>
    <x v="227"/>
    <x v="2"/>
    <x v="1"/>
    <x v="0"/>
    <x v="249"/>
    <x v="4"/>
    <x v="2"/>
    <x v="249"/>
    <x v="216"/>
    <x v="4"/>
    <x v="4"/>
    <x v="249"/>
    <x v="3"/>
    <x v="1"/>
    <x v="1"/>
    <x v="248"/>
  </r>
  <r>
    <x v="250"/>
    <x v="228"/>
    <x v="6"/>
    <x v="0"/>
    <x v="3"/>
    <x v="250"/>
    <x v="6"/>
    <x v="4"/>
    <x v="250"/>
    <x v="82"/>
    <x v="3"/>
    <x v="2"/>
    <x v="250"/>
    <x v="2"/>
    <x v="0"/>
    <x v="2"/>
    <x v="249"/>
  </r>
  <r>
    <x v="251"/>
    <x v="229"/>
    <x v="4"/>
    <x v="2"/>
    <x v="3"/>
    <x v="251"/>
    <x v="0"/>
    <x v="3"/>
    <x v="251"/>
    <x v="217"/>
    <x v="4"/>
    <x v="1"/>
    <x v="251"/>
    <x v="6"/>
    <x v="2"/>
    <x v="2"/>
    <x v="250"/>
  </r>
  <r>
    <x v="252"/>
    <x v="28"/>
    <x v="11"/>
    <x v="1"/>
    <x v="1"/>
    <x v="252"/>
    <x v="1"/>
    <x v="3"/>
    <x v="252"/>
    <x v="218"/>
    <x v="3"/>
    <x v="1"/>
    <x v="252"/>
    <x v="3"/>
    <x v="1"/>
    <x v="3"/>
    <x v="251"/>
  </r>
  <r>
    <x v="253"/>
    <x v="230"/>
    <x v="9"/>
    <x v="1"/>
    <x v="0"/>
    <x v="253"/>
    <x v="3"/>
    <x v="3"/>
    <x v="253"/>
    <x v="93"/>
    <x v="3"/>
    <x v="2"/>
    <x v="253"/>
    <x v="0"/>
    <x v="1"/>
    <x v="0"/>
    <x v="252"/>
  </r>
  <r>
    <x v="254"/>
    <x v="231"/>
    <x v="8"/>
    <x v="0"/>
    <x v="2"/>
    <x v="254"/>
    <x v="0"/>
    <x v="4"/>
    <x v="254"/>
    <x v="205"/>
    <x v="1"/>
    <x v="3"/>
    <x v="254"/>
    <x v="3"/>
    <x v="2"/>
    <x v="0"/>
    <x v="253"/>
  </r>
  <r>
    <x v="255"/>
    <x v="232"/>
    <x v="4"/>
    <x v="1"/>
    <x v="3"/>
    <x v="255"/>
    <x v="0"/>
    <x v="2"/>
    <x v="255"/>
    <x v="155"/>
    <x v="3"/>
    <x v="2"/>
    <x v="255"/>
    <x v="7"/>
    <x v="0"/>
    <x v="4"/>
    <x v="254"/>
  </r>
  <r>
    <x v="256"/>
    <x v="233"/>
    <x v="5"/>
    <x v="2"/>
    <x v="3"/>
    <x v="256"/>
    <x v="3"/>
    <x v="0"/>
    <x v="256"/>
    <x v="219"/>
    <x v="3"/>
    <x v="2"/>
    <x v="256"/>
    <x v="8"/>
    <x v="3"/>
    <x v="0"/>
    <x v="255"/>
  </r>
  <r>
    <x v="257"/>
    <x v="234"/>
    <x v="6"/>
    <x v="1"/>
    <x v="3"/>
    <x v="257"/>
    <x v="1"/>
    <x v="2"/>
    <x v="257"/>
    <x v="220"/>
    <x v="2"/>
    <x v="1"/>
    <x v="257"/>
    <x v="3"/>
    <x v="0"/>
    <x v="1"/>
    <x v="256"/>
  </r>
  <r>
    <x v="258"/>
    <x v="235"/>
    <x v="2"/>
    <x v="1"/>
    <x v="0"/>
    <x v="258"/>
    <x v="2"/>
    <x v="1"/>
    <x v="258"/>
    <x v="221"/>
    <x v="1"/>
    <x v="0"/>
    <x v="258"/>
    <x v="7"/>
    <x v="1"/>
    <x v="1"/>
    <x v="257"/>
  </r>
  <r>
    <x v="259"/>
    <x v="236"/>
    <x v="5"/>
    <x v="0"/>
    <x v="3"/>
    <x v="259"/>
    <x v="3"/>
    <x v="3"/>
    <x v="259"/>
    <x v="125"/>
    <x v="2"/>
    <x v="3"/>
    <x v="259"/>
    <x v="6"/>
    <x v="0"/>
    <x v="0"/>
    <x v="258"/>
  </r>
  <r>
    <x v="260"/>
    <x v="209"/>
    <x v="4"/>
    <x v="0"/>
    <x v="3"/>
    <x v="260"/>
    <x v="0"/>
    <x v="1"/>
    <x v="260"/>
    <x v="222"/>
    <x v="0"/>
    <x v="0"/>
    <x v="260"/>
    <x v="1"/>
    <x v="2"/>
    <x v="4"/>
    <x v="259"/>
  </r>
  <r>
    <x v="261"/>
    <x v="237"/>
    <x v="4"/>
    <x v="2"/>
    <x v="3"/>
    <x v="261"/>
    <x v="1"/>
    <x v="0"/>
    <x v="261"/>
    <x v="223"/>
    <x v="3"/>
    <x v="3"/>
    <x v="261"/>
    <x v="6"/>
    <x v="0"/>
    <x v="2"/>
    <x v="260"/>
  </r>
  <r>
    <x v="262"/>
    <x v="238"/>
    <x v="0"/>
    <x v="0"/>
    <x v="0"/>
    <x v="262"/>
    <x v="1"/>
    <x v="3"/>
    <x v="262"/>
    <x v="126"/>
    <x v="2"/>
    <x v="2"/>
    <x v="262"/>
    <x v="3"/>
    <x v="3"/>
    <x v="1"/>
    <x v="261"/>
  </r>
  <r>
    <x v="263"/>
    <x v="239"/>
    <x v="9"/>
    <x v="0"/>
    <x v="0"/>
    <x v="263"/>
    <x v="1"/>
    <x v="3"/>
    <x v="263"/>
    <x v="224"/>
    <x v="2"/>
    <x v="4"/>
    <x v="263"/>
    <x v="4"/>
    <x v="3"/>
    <x v="4"/>
    <x v="262"/>
  </r>
  <r>
    <x v="264"/>
    <x v="240"/>
    <x v="1"/>
    <x v="1"/>
    <x v="1"/>
    <x v="264"/>
    <x v="2"/>
    <x v="2"/>
    <x v="264"/>
    <x v="225"/>
    <x v="4"/>
    <x v="2"/>
    <x v="264"/>
    <x v="3"/>
    <x v="1"/>
    <x v="4"/>
    <x v="263"/>
  </r>
  <r>
    <x v="265"/>
    <x v="241"/>
    <x v="8"/>
    <x v="0"/>
    <x v="2"/>
    <x v="265"/>
    <x v="4"/>
    <x v="2"/>
    <x v="265"/>
    <x v="226"/>
    <x v="0"/>
    <x v="1"/>
    <x v="265"/>
    <x v="4"/>
    <x v="0"/>
    <x v="4"/>
    <x v="264"/>
  </r>
  <r>
    <x v="266"/>
    <x v="180"/>
    <x v="5"/>
    <x v="1"/>
    <x v="3"/>
    <x v="266"/>
    <x v="3"/>
    <x v="3"/>
    <x v="266"/>
    <x v="227"/>
    <x v="2"/>
    <x v="1"/>
    <x v="266"/>
    <x v="5"/>
    <x v="1"/>
    <x v="1"/>
    <x v="265"/>
  </r>
  <r>
    <x v="267"/>
    <x v="242"/>
    <x v="6"/>
    <x v="2"/>
    <x v="3"/>
    <x v="267"/>
    <x v="3"/>
    <x v="0"/>
    <x v="267"/>
    <x v="228"/>
    <x v="0"/>
    <x v="3"/>
    <x v="267"/>
    <x v="6"/>
    <x v="2"/>
    <x v="3"/>
    <x v="266"/>
  </r>
  <r>
    <x v="268"/>
    <x v="178"/>
    <x v="1"/>
    <x v="0"/>
    <x v="1"/>
    <x v="268"/>
    <x v="1"/>
    <x v="1"/>
    <x v="268"/>
    <x v="229"/>
    <x v="0"/>
    <x v="3"/>
    <x v="268"/>
    <x v="0"/>
    <x v="0"/>
    <x v="1"/>
    <x v="267"/>
  </r>
  <r>
    <x v="269"/>
    <x v="97"/>
    <x v="7"/>
    <x v="0"/>
    <x v="2"/>
    <x v="269"/>
    <x v="2"/>
    <x v="3"/>
    <x v="269"/>
    <x v="67"/>
    <x v="2"/>
    <x v="4"/>
    <x v="269"/>
    <x v="0"/>
    <x v="1"/>
    <x v="4"/>
    <x v="268"/>
  </r>
  <r>
    <x v="270"/>
    <x v="243"/>
    <x v="5"/>
    <x v="0"/>
    <x v="3"/>
    <x v="270"/>
    <x v="4"/>
    <x v="3"/>
    <x v="270"/>
    <x v="230"/>
    <x v="0"/>
    <x v="0"/>
    <x v="270"/>
    <x v="3"/>
    <x v="3"/>
    <x v="4"/>
    <x v="269"/>
  </r>
  <r>
    <x v="271"/>
    <x v="125"/>
    <x v="9"/>
    <x v="0"/>
    <x v="0"/>
    <x v="271"/>
    <x v="0"/>
    <x v="2"/>
    <x v="271"/>
    <x v="231"/>
    <x v="4"/>
    <x v="0"/>
    <x v="271"/>
    <x v="5"/>
    <x v="3"/>
    <x v="1"/>
    <x v="270"/>
  </r>
  <r>
    <x v="272"/>
    <x v="244"/>
    <x v="11"/>
    <x v="0"/>
    <x v="1"/>
    <x v="272"/>
    <x v="3"/>
    <x v="1"/>
    <x v="272"/>
    <x v="232"/>
    <x v="1"/>
    <x v="4"/>
    <x v="272"/>
    <x v="5"/>
    <x v="3"/>
    <x v="0"/>
    <x v="271"/>
  </r>
  <r>
    <x v="273"/>
    <x v="245"/>
    <x v="3"/>
    <x v="1"/>
    <x v="2"/>
    <x v="273"/>
    <x v="2"/>
    <x v="1"/>
    <x v="273"/>
    <x v="233"/>
    <x v="1"/>
    <x v="1"/>
    <x v="273"/>
    <x v="0"/>
    <x v="1"/>
    <x v="2"/>
    <x v="272"/>
  </r>
  <r>
    <x v="274"/>
    <x v="246"/>
    <x v="2"/>
    <x v="0"/>
    <x v="0"/>
    <x v="274"/>
    <x v="1"/>
    <x v="1"/>
    <x v="274"/>
    <x v="234"/>
    <x v="3"/>
    <x v="1"/>
    <x v="274"/>
    <x v="3"/>
    <x v="0"/>
    <x v="1"/>
    <x v="273"/>
  </r>
  <r>
    <x v="275"/>
    <x v="247"/>
    <x v="7"/>
    <x v="0"/>
    <x v="2"/>
    <x v="275"/>
    <x v="3"/>
    <x v="1"/>
    <x v="275"/>
    <x v="235"/>
    <x v="2"/>
    <x v="1"/>
    <x v="275"/>
    <x v="4"/>
    <x v="0"/>
    <x v="4"/>
    <x v="274"/>
  </r>
  <r>
    <x v="276"/>
    <x v="248"/>
    <x v="9"/>
    <x v="2"/>
    <x v="0"/>
    <x v="276"/>
    <x v="4"/>
    <x v="1"/>
    <x v="276"/>
    <x v="236"/>
    <x v="0"/>
    <x v="2"/>
    <x v="276"/>
    <x v="1"/>
    <x v="3"/>
    <x v="0"/>
    <x v="275"/>
  </r>
  <r>
    <x v="277"/>
    <x v="82"/>
    <x v="11"/>
    <x v="1"/>
    <x v="1"/>
    <x v="277"/>
    <x v="3"/>
    <x v="0"/>
    <x v="277"/>
    <x v="237"/>
    <x v="2"/>
    <x v="3"/>
    <x v="277"/>
    <x v="6"/>
    <x v="0"/>
    <x v="3"/>
    <x v="276"/>
  </r>
  <r>
    <x v="278"/>
    <x v="249"/>
    <x v="7"/>
    <x v="1"/>
    <x v="2"/>
    <x v="278"/>
    <x v="5"/>
    <x v="0"/>
    <x v="278"/>
    <x v="238"/>
    <x v="4"/>
    <x v="3"/>
    <x v="278"/>
    <x v="5"/>
    <x v="1"/>
    <x v="0"/>
    <x v="277"/>
  </r>
  <r>
    <x v="279"/>
    <x v="250"/>
    <x v="3"/>
    <x v="0"/>
    <x v="2"/>
    <x v="279"/>
    <x v="3"/>
    <x v="4"/>
    <x v="279"/>
    <x v="239"/>
    <x v="1"/>
    <x v="4"/>
    <x v="279"/>
    <x v="0"/>
    <x v="3"/>
    <x v="2"/>
    <x v="278"/>
  </r>
  <r>
    <x v="280"/>
    <x v="14"/>
    <x v="9"/>
    <x v="0"/>
    <x v="0"/>
    <x v="280"/>
    <x v="2"/>
    <x v="4"/>
    <x v="280"/>
    <x v="240"/>
    <x v="3"/>
    <x v="3"/>
    <x v="280"/>
    <x v="5"/>
    <x v="1"/>
    <x v="0"/>
    <x v="279"/>
  </r>
  <r>
    <x v="281"/>
    <x v="152"/>
    <x v="10"/>
    <x v="0"/>
    <x v="1"/>
    <x v="281"/>
    <x v="6"/>
    <x v="3"/>
    <x v="281"/>
    <x v="241"/>
    <x v="4"/>
    <x v="4"/>
    <x v="281"/>
    <x v="6"/>
    <x v="2"/>
    <x v="1"/>
    <x v="280"/>
  </r>
  <r>
    <x v="282"/>
    <x v="251"/>
    <x v="6"/>
    <x v="2"/>
    <x v="3"/>
    <x v="282"/>
    <x v="4"/>
    <x v="3"/>
    <x v="282"/>
    <x v="242"/>
    <x v="3"/>
    <x v="1"/>
    <x v="282"/>
    <x v="6"/>
    <x v="1"/>
    <x v="4"/>
    <x v="281"/>
  </r>
  <r>
    <x v="283"/>
    <x v="252"/>
    <x v="2"/>
    <x v="2"/>
    <x v="0"/>
    <x v="283"/>
    <x v="5"/>
    <x v="3"/>
    <x v="283"/>
    <x v="243"/>
    <x v="4"/>
    <x v="0"/>
    <x v="283"/>
    <x v="5"/>
    <x v="2"/>
    <x v="4"/>
    <x v="282"/>
  </r>
  <r>
    <x v="284"/>
    <x v="223"/>
    <x v="2"/>
    <x v="0"/>
    <x v="0"/>
    <x v="284"/>
    <x v="5"/>
    <x v="0"/>
    <x v="284"/>
    <x v="244"/>
    <x v="2"/>
    <x v="2"/>
    <x v="284"/>
    <x v="5"/>
    <x v="0"/>
    <x v="3"/>
    <x v="283"/>
  </r>
  <r>
    <x v="285"/>
    <x v="69"/>
    <x v="5"/>
    <x v="2"/>
    <x v="3"/>
    <x v="285"/>
    <x v="1"/>
    <x v="2"/>
    <x v="285"/>
    <x v="233"/>
    <x v="1"/>
    <x v="3"/>
    <x v="285"/>
    <x v="1"/>
    <x v="2"/>
    <x v="4"/>
    <x v="284"/>
  </r>
  <r>
    <x v="286"/>
    <x v="253"/>
    <x v="6"/>
    <x v="2"/>
    <x v="3"/>
    <x v="286"/>
    <x v="0"/>
    <x v="4"/>
    <x v="286"/>
    <x v="112"/>
    <x v="3"/>
    <x v="2"/>
    <x v="286"/>
    <x v="2"/>
    <x v="3"/>
    <x v="4"/>
    <x v="285"/>
  </r>
  <r>
    <x v="287"/>
    <x v="254"/>
    <x v="7"/>
    <x v="0"/>
    <x v="2"/>
    <x v="287"/>
    <x v="3"/>
    <x v="3"/>
    <x v="287"/>
    <x v="245"/>
    <x v="1"/>
    <x v="0"/>
    <x v="287"/>
    <x v="3"/>
    <x v="2"/>
    <x v="3"/>
    <x v="286"/>
  </r>
  <r>
    <x v="288"/>
    <x v="255"/>
    <x v="9"/>
    <x v="0"/>
    <x v="0"/>
    <x v="288"/>
    <x v="5"/>
    <x v="3"/>
    <x v="288"/>
    <x v="246"/>
    <x v="0"/>
    <x v="2"/>
    <x v="288"/>
    <x v="2"/>
    <x v="3"/>
    <x v="4"/>
    <x v="287"/>
  </r>
  <r>
    <x v="289"/>
    <x v="256"/>
    <x v="10"/>
    <x v="0"/>
    <x v="1"/>
    <x v="289"/>
    <x v="3"/>
    <x v="3"/>
    <x v="289"/>
    <x v="10"/>
    <x v="2"/>
    <x v="0"/>
    <x v="289"/>
    <x v="2"/>
    <x v="3"/>
    <x v="1"/>
    <x v="288"/>
  </r>
  <r>
    <x v="290"/>
    <x v="257"/>
    <x v="4"/>
    <x v="0"/>
    <x v="3"/>
    <x v="290"/>
    <x v="3"/>
    <x v="4"/>
    <x v="290"/>
    <x v="165"/>
    <x v="4"/>
    <x v="3"/>
    <x v="290"/>
    <x v="2"/>
    <x v="1"/>
    <x v="3"/>
    <x v="289"/>
  </r>
  <r>
    <x v="291"/>
    <x v="258"/>
    <x v="4"/>
    <x v="1"/>
    <x v="3"/>
    <x v="291"/>
    <x v="1"/>
    <x v="1"/>
    <x v="291"/>
    <x v="247"/>
    <x v="2"/>
    <x v="3"/>
    <x v="291"/>
    <x v="5"/>
    <x v="1"/>
    <x v="4"/>
    <x v="290"/>
  </r>
  <r>
    <x v="292"/>
    <x v="259"/>
    <x v="0"/>
    <x v="2"/>
    <x v="0"/>
    <x v="292"/>
    <x v="0"/>
    <x v="2"/>
    <x v="292"/>
    <x v="184"/>
    <x v="2"/>
    <x v="3"/>
    <x v="292"/>
    <x v="3"/>
    <x v="2"/>
    <x v="3"/>
    <x v="291"/>
  </r>
  <r>
    <x v="293"/>
    <x v="223"/>
    <x v="2"/>
    <x v="0"/>
    <x v="0"/>
    <x v="293"/>
    <x v="2"/>
    <x v="3"/>
    <x v="293"/>
    <x v="248"/>
    <x v="3"/>
    <x v="2"/>
    <x v="293"/>
    <x v="6"/>
    <x v="2"/>
    <x v="0"/>
    <x v="292"/>
  </r>
  <r>
    <x v="294"/>
    <x v="260"/>
    <x v="6"/>
    <x v="2"/>
    <x v="3"/>
    <x v="294"/>
    <x v="1"/>
    <x v="1"/>
    <x v="294"/>
    <x v="249"/>
    <x v="1"/>
    <x v="0"/>
    <x v="294"/>
    <x v="0"/>
    <x v="0"/>
    <x v="1"/>
    <x v="293"/>
  </r>
  <r>
    <x v="295"/>
    <x v="261"/>
    <x v="0"/>
    <x v="0"/>
    <x v="0"/>
    <x v="295"/>
    <x v="4"/>
    <x v="0"/>
    <x v="295"/>
    <x v="250"/>
    <x v="0"/>
    <x v="1"/>
    <x v="295"/>
    <x v="6"/>
    <x v="1"/>
    <x v="2"/>
    <x v="294"/>
  </r>
  <r>
    <x v="296"/>
    <x v="83"/>
    <x v="5"/>
    <x v="1"/>
    <x v="3"/>
    <x v="296"/>
    <x v="6"/>
    <x v="0"/>
    <x v="296"/>
    <x v="48"/>
    <x v="0"/>
    <x v="1"/>
    <x v="296"/>
    <x v="8"/>
    <x v="3"/>
    <x v="1"/>
    <x v="295"/>
  </r>
  <r>
    <x v="297"/>
    <x v="262"/>
    <x v="2"/>
    <x v="0"/>
    <x v="0"/>
    <x v="297"/>
    <x v="6"/>
    <x v="1"/>
    <x v="297"/>
    <x v="251"/>
    <x v="2"/>
    <x v="2"/>
    <x v="297"/>
    <x v="0"/>
    <x v="0"/>
    <x v="0"/>
    <x v="296"/>
  </r>
  <r>
    <x v="298"/>
    <x v="263"/>
    <x v="8"/>
    <x v="0"/>
    <x v="2"/>
    <x v="298"/>
    <x v="4"/>
    <x v="3"/>
    <x v="298"/>
    <x v="40"/>
    <x v="1"/>
    <x v="1"/>
    <x v="298"/>
    <x v="5"/>
    <x v="2"/>
    <x v="2"/>
    <x v="297"/>
  </r>
  <r>
    <x v="299"/>
    <x v="264"/>
    <x v="0"/>
    <x v="1"/>
    <x v="0"/>
    <x v="299"/>
    <x v="0"/>
    <x v="2"/>
    <x v="299"/>
    <x v="252"/>
    <x v="3"/>
    <x v="1"/>
    <x v="299"/>
    <x v="7"/>
    <x v="1"/>
    <x v="0"/>
    <x v="298"/>
  </r>
  <r>
    <x v="300"/>
    <x v="265"/>
    <x v="11"/>
    <x v="1"/>
    <x v="1"/>
    <x v="300"/>
    <x v="1"/>
    <x v="2"/>
    <x v="300"/>
    <x v="253"/>
    <x v="0"/>
    <x v="2"/>
    <x v="300"/>
    <x v="1"/>
    <x v="1"/>
    <x v="3"/>
    <x v="299"/>
  </r>
  <r>
    <x v="301"/>
    <x v="67"/>
    <x v="4"/>
    <x v="0"/>
    <x v="3"/>
    <x v="301"/>
    <x v="3"/>
    <x v="2"/>
    <x v="301"/>
    <x v="254"/>
    <x v="4"/>
    <x v="1"/>
    <x v="301"/>
    <x v="7"/>
    <x v="0"/>
    <x v="2"/>
    <x v="300"/>
  </r>
  <r>
    <x v="302"/>
    <x v="220"/>
    <x v="4"/>
    <x v="0"/>
    <x v="3"/>
    <x v="302"/>
    <x v="3"/>
    <x v="4"/>
    <x v="302"/>
    <x v="255"/>
    <x v="4"/>
    <x v="4"/>
    <x v="302"/>
    <x v="4"/>
    <x v="1"/>
    <x v="0"/>
    <x v="301"/>
  </r>
  <r>
    <x v="303"/>
    <x v="34"/>
    <x v="8"/>
    <x v="1"/>
    <x v="2"/>
    <x v="303"/>
    <x v="2"/>
    <x v="2"/>
    <x v="303"/>
    <x v="256"/>
    <x v="0"/>
    <x v="2"/>
    <x v="303"/>
    <x v="9"/>
    <x v="2"/>
    <x v="4"/>
    <x v="302"/>
  </r>
  <r>
    <x v="304"/>
    <x v="266"/>
    <x v="3"/>
    <x v="1"/>
    <x v="2"/>
    <x v="304"/>
    <x v="0"/>
    <x v="0"/>
    <x v="304"/>
    <x v="257"/>
    <x v="3"/>
    <x v="3"/>
    <x v="304"/>
    <x v="8"/>
    <x v="1"/>
    <x v="0"/>
    <x v="303"/>
  </r>
  <r>
    <x v="305"/>
    <x v="97"/>
    <x v="7"/>
    <x v="0"/>
    <x v="2"/>
    <x v="305"/>
    <x v="5"/>
    <x v="3"/>
    <x v="305"/>
    <x v="258"/>
    <x v="4"/>
    <x v="4"/>
    <x v="305"/>
    <x v="6"/>
    <x v="1"/>
    <x v="0"/>
    <x v="304"/>
  </r>
  <r>
    <x v="306"/>
    <x v="267"/>
    <x v="5"/>
    <x v="1"/>
    <x v="3"/>
    <x v="306"/>
    <x v="4"/>
    <x v="1"/>
    <x v="306"/>
    <x v="259"/>
    <x v="0"/>
    <x v="2"/>
    <x v="306"/>
    <x v="1"/>
    <x v="0"/>
    <x v="0"/>
    <x v="305"/>
  </r>
  <r>
    <x v="307"/>
    <x v="268"/>
    <x v="10"/>
    <x v="0"/>
    <x v="1"/>
    <x v="307"/>
    <x v="5"/>
    <x v="4"/>
    <x v="307"/>
    <x v="260"/>
    <x v="1"/>
    <x v="3"/>
    <x v="307"/>
    <x v="4"/>
    <x v="2"/>
    <x v="2"/>
    <x v="306"/>
  </r>
  <r>
    <x v="308"/>
    <x v="66"/>
    <x v="8"/>
    <x v="0"/>
    <x v="2"/>
    <x v="308"/>
    <x v="4"/>
    <x v="4"/>
    <x v="308"/>
    <x v="156"/>
    <x v="0"/>
    <x v="2"/>
    <x v="308"/>
    <x v="0"/>
    <x v="0"/>
    <x v="0"/>
    <x v="307"/>
  </r>
  <r>
    <x v="309"/>
    <x v="269"/>
    <x v="3"/>
    <x v="0"/>
    <x v="2"/>
    <x v="309"/>
    <x v="3"/>
    <x v="3"/>
    <x v="309"/>
    <x v="261"/>
    <x v="0"/>
    <x v="3"/>
    <x v="309"/>
    <x v="4"/>
    <x v="1"/>
    <x v="3"/>
    <x v="308"/>
  </r>
  <r>
    <x v="310"/>
    <x v="270"/>
    <x v="2"/>
    <x v="1"/>
    <x v="0"/>
    <x v="310"/>
    <x v="4"/>
    <x v="4"/>
    <x v="310"/>
    <x v="262"/>
    <x v="1"/>
    <x v="0"/>
    <x v="310"/>
    <x v="4"/>
    <x v="2"/>
    <x v="1"/>
    <x v="309"/>
  </r>
  <r>
    <x v="311"/>
    <x v="271"/>
    <x v="4"/>
    <x v="2"/>
    <x v="3"/>
    <x v="311"/>
    <x v="6"/>
    <x v="0"/>
    <x v="311"/>
    <x v="263"/>
    <x v="1"/>
    <x v="2"/>
    <x v="311"/>
    <x v="2"/>
    <x v="2"/>
    <x v="0"/>
    <x v="310"/>
  </r>
  <r>
    <x v="312"/>
    <x v="272"/>
    <x v="4"/>
    <x v="2"/>
    <x v="3"/>
    <x v="312"/>
    <x v="4"/>
    <x v="0"/>
    <x v="312"/>
    <x v="196"/>
    <x v="3"/>
    <x v="4"/>
    <x v="312"/>
    <x v="0"/>
    <x v="1"/>
    <x v="1"/>
    <x v="311"/>
  </r>
  <r>
    <x v="313"/>
    <x v="273"/>
    <x v="10"/>
    <x v="0"/>
    <x v="1"/>
    <x v="313"/>
    <x v="3"/>
    <x v="1"/>
    <x v="313"/>
    <x v="264"/>
    <x v="4"/>
    <x v="3"/>
    <x v="313"/>
    <x v="0"/>
    <x v="0"/>
    <x v="0"/>
    <x v="312"/>
  </r>
  <r>
    <x v="314"/>
    <x v="274"/>
    <x v="3"/>
    <x v="0"/>
    <x v="2"/>
    <x v="314"/>
    <x v="6"/>
    <x v="3"/>
    <x v="314"/>
    <x v="265"/>
    <x v="1"/>
    <x v="3"/>
    <x v="314"/>
    <x v="4"/>
    <x v="1"/>
    <x v="1"/>
    <x v="313"/>
  </r>
  <r>
    <x v="315"/>
    <x v="275"/>
    <x v="4"/>
    <x v="2"/>
    <x v="3"/>
    <x v="315"/>
    <x v="2"/>
    <x v="0"/>
    <x v="315"/>
    <x v="266"/>
    <x v="1"/>
    <x v="1"/>
    <x v="315"/>
    <x v="6"/>
    <x v="1"/>
    <x v="2"/>
    <x v="314"/>
  </r>
  <r>
    <x v="316"/>
    <x v="276"/>
    <x v="3"/>
    <x v="0"/>
    <x v="2"/>
    <x v="316"/>
    <x v="6"/>
    <x v="3"/>
    <x v="316"/>
    <x v="267"/>
    <x v="3"/>
    <x v="0"/>
    <x v="316"/>
    <x v="6"/>
    <x v="3"/>
    <x v="3"/>
    <x v="315"/>
  </r>
  <r>
    <x v="317"/>
    <x v="132"/>
    <x v="6"/>
    <x v="0"/>
    <x v="3"/>
    <x v="317"/>
    <x v="0"/>
    <x v="1"/>
    <x v="317"/>
    <x v="268"/>
    <x v="1"/>
    <x v="2"/>
    <x v="317"/>
    <x v="3"/>
    <x v="2"/>
    <x v="0"/>
    <x v="316"/>
  </r>
  <r>
    <x v="318"/>
    <x v="277"/>
    <x v="10"/>
    <x v="1"/>
    <x v="1"/>
    <x v="318"/>
    <x v="3"/>
    <x v="4"/>
    <x v="318"/>
    <x v="186"/>
    <x v="0"/>
    <x v="1"/>
    <x v="318"/>
    <x v="0"/>
    <x v="0"/>
    <x v="4"/>
    <x v="317"/>
  </r>
  <r>
    <x v="319"/>
    <x v="278"/>
    <x v="8"/>
    <x v="0"/>
    <x v="2"/>
    <x v="319"/>
    <x v="5"/>
    <x v="1"/>
    <x v="319"/>
    <x v="269"/>
    <x v="4"/>
    <x v="2"/>
    <x v="319"/>
    <x v="5"/>
    <x v="2"/>
    <x v="0"/>
    <x v="318"/>
  </r>
  <r>
    <x v="320"/>
    <x v="36"/>
    <x v="8"/>
    <x v="1"/>
    <x v="2"/>
    <x v="320"/>
    <x v="4"/>
    <x v="2"/>
    <x v="320"/>
    <x v="270"/>
    <x v="2"/>
    <x v="0"/>
    <x v="320"/>
    <x v="9"/>
    <x v="1"/>
    <x v="3"/>
    <x v="319"/>
  </r>
  <r>
    <x v="321"/>
    <x v="279"/>
    <x v="1"/>
    <x v="0"/>
    <x v="1"/>
    <x v="321"/>
    <x v="1"/>
    <x v="3"/>
    <x v="321"/>
    <x v="260"/>
    <x v="0"/>
    <x v="1"/>
    <x v="321"/>
    <x v="5"/>
    <x v="3"/>
    <x v="4"/>
    <x v="320"/>
  </r>
  <r>
    <x v="322"/>
    <x v="280"/>
    <x v="5"/>
    <x v="1"/>
    <x v="3"/>
    <x v="322"/>
    <x v="1"/>
    <x v="0"/>
    <x v="322"/>
    <x v="268"/>
    <x v="0"/>
    <x v="3"/>
    <x v="322"/>
    <x v="5"/>
    <x v="0"/>
    <x v="3"/>
    <x v="321"/>
  </r>
  <r>
    <x v="323"/>
    <x v="281"/>
    <x v="0"/>
    <x v="2"/>
    <x v="0"/>
    <x v="323"/>
    <x v="5"/>
    <x v="2"/>
    <x v="323"/>
    <x v="271"/>
    <x v="0"/>
    <x v="2"/>
    <x v="323"/>
    <x v="9"/>
    <x v="0"/>
    <x v="1"/>
    <x v="322"/>
  </r>
  <r>
    <x v="324"/>
    <x v="136"/>
    <x v="5"/>
    <x v="1"/>
    <x v="3"/>
    <x v="324"/>
    <x v="2"/>
    <x v="4"/>
    <x v="324"/>
    <x v="272"/>
    <x v="0"/>
    <x v="2"/>
    <x v="324"/>
    <x v="3"/>
    <x v="2"/>
    <x v="1"/>
    <x v="323"/>
  </r>
  <r>
    <x v="325"/>
    <x v="282"/>
    <x v="5"/>
    <x v="0"/>
    <x v="3"/>
    <x v="325"/>
    <x v="6"/>
    <x v="4"/>
    <x v="325"/>
    <x v="273"/>
    <x v="2"/>
    <x v="0"/>
    <x v="325"/>
    <x v="2"/>
    <x v="2"/>
    <x v="1"/>
    <x v="324"/>
  </r>
  <r>
    <x v="326"/>
    <x v="283"/>
    <x v="10"/>
    <x v="1"/>
    <x v="1"/>
    <x v="326"/>
    <x v="5"/>
    <x v="0"/>
    <x v="326"/>
    <x v="19"/>
    <x v="3"/>
    <x v="2"/>
    <x v="326"/>
    <x v="3"/>
    <x v="0"/>
    <x v="3"/>
    <x v="325"/>
  </r>
  <r>
    <x v="327"/>
    <x v="284"/>
    <x v="10"/>
    <x v="0"/>
    <x v="1"/>
    <x v="327"/>
    <x v="1"/>
    <x v="2"/>
    <x v="327"/>
    <x v="61"/>
    <x v="3"/>
    <x v="1"/>
    <x v="327"/>
    <x v="3"/>
    <x v="0"/>
    <x v="2"/>
    <x v="326"/>
  </r>
  <r>
    <x v="328"/>
    <x v="285"/>
    <x v="2"/>
    <x v="0"/>
    <x v="0"/>
    <x v="328"/>
    <x v="2"/>
    <x v="0"/>
    <x v="328"/>
    <x v="274"/>
    <x v="1"/>
    <x v="1"/>
    <x v="328"/>
    <x v="0"/>
    <x v="0"/>
    <x v="4"/>
    <x v="327"/>
  </r>
  <r>
    <x v="329"/>
    <x v="286"/>
    <x v="8"/>
    <x v="1"/>
    <x v="2"/>
    <x v="329"/>
    <x v="3"/>
    <x v="3"/>
    <x v="329"/>
    <x v="212"/>
    <x v="2"/>
    <x v="0"/>
    <x v="329"/>
    <x v="5"/>
    <x v="2"/>
    <x v="4"/>
    <x v="328"/>
  </r>
  <r>
    <x v="330"/>
    <x v="287"/>
    <x v="5"/>
    <x v="1"/>
    <x v="3"/>
    <x v="330"/>
    <x v="6"/>
    <x v="0"/>
    <x v="330"/>
    <x v="275"/>
    <x v="3"/>
    <x v="4"/>
    <x v="330"/>
    <x v="3"/>
    <x v="0"/>
    <x v="0"/>
    <x v="329"/>
  </r>
  <r>
    <x v="331"/>
    <x v="288"/>
    <x v="6"/>
    <x v="0"/>
    <x v="3"/>
    <x v="331"/>
    <x v="4"/>
    <x v="4"/>
    <x v="331"/>
    <x v="112"/>
    <x v="1"/>
    <x v="3"/>
    <x v="331"/>
    <x v="0"/>
    <x v="0"/>
    <x v="3"/>
    <x v="330"/>
  </r>
  <r>
    <x v="332"/>
    <x v="289"/>
    <x v="10"/>
    <x v="1"/>
    <x v="1"/>
    <x v="332"/>
    <x v="6"/>
    <x v="0"/>
    <x v="332"/>
    <x v="276"/>
    <x v="0"/>
    <x v="4"/>
    <x v="332"/>
    <x v="6"/>
    <x v="0"/>
    <x v="4"/>
    <x v="331"/>
  </r>
  <r>
    <x v="333"/>
    <x v="162"/>
    <x v="6"/>
    <x v="1"/>
    <x v="3"/>
    <x v="333"/>
    <x v="1"/>
    <x v="2"/>
    <x v="333"/>
    <x v="277"/>
    <x v="2"/>
    <x v="2"/>
    <x v="333"/>
    <x v="3"/>
    <x v="3"/>
    <x v="0"/>
    <x v="332"/>
  </r>
  <r>
    <x v="334"/>
    <x v="290"/>
    <x v="9"/>
    <x v="1"/>
    <x v="0"/>
    <x v="334"/>
    <x v="3"/>
    <x v="3"/>
    <x v="334"/>
    <x v="278"/>
    <x v="1"/>
    <x v="3"/>
    <x v="334"/>
    <x v="0"/>
    <x v="3"/>
    <x v="3"/>
    <x v="333"/>
  </r>
  <r>
    <x v="335"/>
    <x v="291"/>
    <x v="9"/>
    <x v="2"/>
    <x v="0"/>
    <x v="335"/>
    <x v="2"/>
    <x v="4"/>
    <x v="335"/>
    <x v="264"/>
    <x v="3"/>
    <x v="0"/>
    <x v="335"/>
    <x v="4"/>
    <x v="2"/>
    <x v="2"/>
    <x v="334"/>
  </r>
  <r>
    <x v="336"/>
    <x v="10"/>
    <x v="8"/>
    <x v="0"/>
    <x v="2"/>
    <x v="336"/>
    <x v="5"/>
    <x v="2"/>
    <x v="336"/>
    <x v="279"/>
    <x v="0"/>
    <x v="4"/>
    <x v="336"/>
    <x v="4"/>
    <x v="0"/>
    <x v="0"/>
    <x v="335"/>
  </r>
  <r>
    <x v="337"/>
    <x v="292"/>
    <x v="4"/>
    <x v="0"/>
    <x v="3"/>
    <x v="337"/>
    <x v="2"/>
    <x v="4"/>
    <x v="337"/>
    <x v="280"/>
    <x v="0"/>
    <x v="2"/>
    <x v="337"/>
    <x v="2"/>
    <x v="3"/>
    <x v="2"/>
    <x v="336"/>
  </r>
  <r>
    <x v="338"/>
    <x v="293"/>
    <x v="7"/>
    <x v="0"/>
    <x v="2"/>
    <x v="338"/>
    <x v="1"/>
    <x v="0"/>
    <x v="338"/>
    <x v="281"/>
    <x v="0"/>
    <x v="0"/>
    <x v="338"/>
    <x v="8"/>
    <x v="2"/>
    <x v="1"/>
    <x v="337"/>
  </r>
  <r>
    <x v="339"/>
    <x v="294"/>
    <x v="6"/>
    <x v="1"/>
    <x v="3"/>
    <x v="339"/>
    <x v="4"/>
    <x v="1"/>
    <x v="339"/>
    <x v="282"/>
    <x v="1"/>
    <x v="4"/>
    <x v="339"/>
    <x v="1"/>
    <x v="0"/>
    <x v="0"/>
    <x v="338"/>
  </r>
  <r>
    <x v="340"/>
    <x v="295"/>
    <x v="6"/>
    <x v="0"/>
    <x v="3"/>
    <x v="340"/>
    <x v="5"/>
    <x v="0"/>
    <x v="340"/>
    <x v="283"/>
    <x v="4"/>
    <x v="1"/>
    <x v="340"/>
    <x v="2"/>
    <x v="2"/>
    <x v="2"/>
    <x v="339"/>
  </r>
  <r>
    <x v="341"/>
    <x v="296"/>
    <x v="11"/>
    <x v="1"/>
    <x v="1"/>
    <x v="341"/>
    <x v="2"/>
    <x v="2"/>
    <x v="341"/>
    <x v="284"/>
    <x v="3"/>
    <x v="0"/>
    <x v="341"/>
    <x v="3"/>
    <x v="3"/>
    <x v="2"/>
    <x v="340"/>
  </r>
  <r>
    <x v="342"/>
    <x v="53"/>
    <x v="5"/>
    <x v="2"/>
    <x v="3"/>
    <x v="342"/>
    <x v="0"/>
    <x v="0"/>
    <x v="342"/>
    <x v="285"/>
    <x v="3"/>
    <x v="2"/>
    <x v="342"/>
    <x v="3"/>
    <x v="2"/>
    <x v="1"/>
    <x v="341"/>
  </r>
  <r>
    <x v="343"/>
    <x v="297"/>
    <x v="2"/>
    <x v="0"/>
    <x v="0"/>
    <x v="343"/>
    <x v="4"/>
    <x v="2"/>
    <x v="343"/>
    <x v="286"/>
    <x v="0"/>
    <x v="4"/>
    <x v="343"/>
    <x v="1"/>
    <x v="1"/>
    <x v="3"/>
    <x v="342"/>
  </r>
  <r>
    <x v="344"/>
    <x v="298"/>
    <x v="9"/>
    <x v="2"/>
    <x v="0"/>
    <x v="344"/>
    <x v="2"/>
    <x v="4"/>
    <x v="344"/>
    <x v="287"/>
    <x v="1"/>
    <x v="1"/>
    <x v="344"/>
    <x v="1"/>
    <x v="0"/>
    <x v="0"/>
    <x v="343"/>
  </r>
  <r>
    <x v="345"/>
    <x v="173"/>
    <x v="8"/>
    <x v="0"/>
    <x v="2"/>
    <x v="345"/>
    <x v="2"/>
    <x v="0"/>
    <x v="345"/>
    <x v="288"/>
    <x v="3"/>
    <x v="0"/>
    <x v="345"/>
    <x v="8"/>
    <x v="1"/>
    <x v="1"/>
    <x v="344"/>
  </r>
  <r>
    <x v="346"/>
    <x v="299"/>
    <x v="8"/>
    <x v="1"/>
    <x v="2"/>
    <x v="346"/>
    <x v="2"/>
    <x v="2"/>
    <x v="346"/>
    <x v="289"/>
    <x v="4"/>
    <x v="4"/>
    <x v="346"/>
    <x v="5"/>
    <x v="2"/>
    <x v="1"/>
    <x v="345"/>
  </r>
  <r>
    <x v="347"/>
    <x v="300"/>
    <x v="2"/>
    <x v="1"/>
    <x v="0"/>
    <x v="347"/>
    <x v="4"/>
    <x v="3"/>
    <x v="347"/>
    <x v="290"/>
    <x v="2"/>
    <x v="4"/>
    <x v="347"/>
    <x v="3"/>
    <x v="0"/>
    <x v="4"/>
    <x v="346"/>
  </r>
  <r>
    <x v="348"/>
    <x v="206"/>
    <x v="9"/>
    <x v="1"/>
    <x v="0"/>
    <x v="348"/>
    <x v="5"/>
    <x v="4"/>
    <x v="348"/>
    <x v="291"/>
    <x v="0"/>
    <x v="2"/>
    <x v="348"/>
    <x v="0"/>
    <x v="1"/>
    <x v="2"/>
    <x v="347"/>
  </r>
  <r>
    <x v="349"/>
    <x v="115"/>
    <x v="7"/>
    <x v="0"/>
    <x v="2"/>
    <x v="349"/>
    <x v="3"/>
    <x v="2"/>
    <x v="349"/>
    <x v="292"/>
    <x v="3"/>
    <x v="3"/>
    <x v="349"/>
    <x v="7"/>
    <x v="1"/>
    <x v="4"/>
    <x v="348"/>
  </r>
  <r>
    <x v="350"/>
    <x v="301"/>
    <x v="5"/>
    <x v="0"/>
    <x v="3"/>
    <x v="350"/>
    <x v="3"/>
    <x v="1"/>
    <x v="350"/>
    <x v="293"/>
    <x v="1"/>
    <x v="0"/>
    <x v="350"/>
    <x v="5"/>
    <x v="2"/>
    <x v="0"/>
    <x v="349"/>
  </r>
  <r>
    <x v="351"/>
    <x v="302"/>
    <x v="2"/>
    <x v="2"/>
    <x v="0"/>
    <x v="351"/>
    <x v="5"/>
    <x v="2"/>
    <x v="351"/>
    <x v="294"/>
    <x v="0"/>
    <x v="3"/>
    <x v="351"/>
    <x v="4"/>
    <x v="2"/>
    <x v="0"/>
    <x v="350"/>
  </r>
  <r>
    <x v="352"/>
    <x v="303"/>
    <x v="1"/>
    <x v="0"/>
    <x v="1"/>
    <x v="352"/>
    <x v="3"/>
    <x v="0"/>
    <x v="352"/>
    <x v="295"/>
    <x v="0"/>
    <x v="4"/>
    <x v="352"/>
    <x v="2"/>
    <x v="3"/>
    <x v="0"/>
    <x v="351"/>
  </r>
  <r>
    <x v="353"/>
    <x v="210"/>
    <x v="9"/>
    <x v="2"/>
    <x v="0"/>
    <x v="353"/>
    <x v="2"/>
    <x v="2"/>
    <x v="353"/>
    <x v="296"/>
    <x v="1"/>
    <x v="3"/>
    <x v="353"/>
    <x v="3"/>
    <x v="1"/>
    <x v="4"/>
    <x v="352"/>
  </r>
  <r>
    <x v="354"/>
    <x v="304"/>
    <x v="10"/>
    <x v="0"/>
    <x v="1"/>
    <x v="354"/>
    <x v="1"/>
    <x v="2"/>
    <x v="354"/>
    <x v="297"/>
    <x v="0"/>
    <x v="0"/>
    <x v="354"/>
    <x v="4"/>
    <x v="2"/>
    <x v="0"/>
    <x v="353"/>
  </r>
  <r>
    <x v="355"/>
    <x v="305"/>
    <x v="5"/>
    <x v="2"/>
    <x v="3"/>
    <x v="355"/>
    <x v="2"/>
    <x v="4"/>
    <x v="355"/>
    <x v="298"/>
    <x v="2"/>
    <x v="1"/>
    <x v="355"/>
    <x v="4"/>
    <x v="1"/>
    <x v="1"/>
    <x v="354"/>
  </r>
  <r>
    <x v="356"/>
    <x v="306"/>
    <x v="4"/>
    <x v="0"/>
    <x v="3"/>
    <x v="356"/>
    <x v="4"/>
    <x v="0"/>
    <x v="356"/>
    <x v="299"/>
    <x v="3"/>
    <x v="1"/>
    <x v="356"/>
    <x v="8"/>
    <x v="1"/>
    <x v="0"/>
    <x v="355"/>
  </r>
  <r>
    <x v="357"/>
    <x v="307"/>
    <x v="10"/>
    <x v="0"/>
    <x v="1"/>
    <x v="357"/>
    <x v="5"/>
    <x v="0"/>
    <x v="357"/>
    <x v="282"/>
    <x v="0"/>
    <x v="3"/>
    <x v="357"/>
    <x v="2"/>
    <x v="1"/>
    <x v="0"/>
    <x v="356"/>
  </r>
  <r>
    <x v="358"/>
    <x v="158"/>
    <x v="6"/>
    <x v="1"/>
    <x v="3"/>
    <x v="358"/>
    <x v="2"/>
    <x v="1"/>
    <x v="358"/>
    <x v="300"/>
    <x v="1"/>
    <x v="1"/>
    <x v="358"/>
    <x v="1"/>
    <x v="0"/>
    <x v="4"/>
    <x v="357"/>
  </r>
  <r>
    <x v="359"/>
    <x v="308"/>
    <x v="5"/>
    <x v="0"/>
    <x v="3"/>
    <x v="359"/>
    <x v="6"/>
    <x v="3"/>
    <x v="359"/>
    <x v="301"/>
    <x v="0"/>
    <x v="3"/>
    <x v="359"/>
    <x v="3"/>
    <x v="3"/>
    <x v="1"/>
    <x v="358"/>
  </r>
  <r>
    <x v="360"/>
    <x v="309"/>
    <x v="5"/>
    <x v="1"/>
    <x v="3"/>
    <x v="360"/>
    <x v="1"/>
    <x v="3"/>
    <x v="360"/>
    <x v="302"/>
    <x v="4"/>
    <x v="4"/>
    <x v="360"/>
    <x v="2"/>
    <x v="2"/>
    <x v="0"/>
    <x v="359"/>
  </r>
  <r>
    <x v="361"/>
    <x v="310"/>
    <x v="5"/>
    <x v="1"/>
    <x v="3"/>
    <x v="361"/>
    <x v="4"/>
    <x v="0"/>
    <x v="361"/>
    <x v="303"/>
    <x v="2"/>
    <x v="3"/>
    <x v="361"/>
    <x v="6"/>
    <x v="0"/>
    <x v="3"/>
    <x v="360"/>
  </r>
  <r>
    <x v="362"/>
    <x v="78"/>
    <x v="5"/>
    <x v="0"/>
    <x v="3"/>
    <x v="362"/>
    <x v="0"/>
    <x v="3"/>
    <x v="362"/>
    <x v="304"/>
    <x v="4"/>
    <x v="1"/>
    <x v="362"/>
    <x v="3"/>
    <x v="3"/>
    <x v="0"/>
    <x v="361"/>
  </r>
  <r>
    <x v="363"/>
    <x v="75"/>
    <x v="4"/>
    <x v="1"/>
    <x v="3"/>
    <x v="363"/>
    <x v="5"/>
    <x v="0"/>
    <x v="363"/>
    <x v="42"/>
    <x v="2"/>
    <x v="4"/>
    <x v="363"/>
    <x v="5"/>
    <x v="0"/>
    <x v="2"/>
    <x v="362"/>
  </r>
  <r>
    <x v="364"/>
    <x v="254"/>
    <x v="7"/>
    <x v="0"/>
    <x v="2"/>
    <x v="364"/>
    <x v="1"/>
    <x v="0"/>
    <x v="364"/>
    <x v="240"/>
    <x v="4"/>
    <x v="1"/>
    <x v="364"/>
    <x v="6"/>
    <x v="1"/>
    <x v="3"/>
    <x v="363"/>
  </r>
  <r>
    <x v="365"/>
    <x v="311"/>
    <x v="2"/>
    <x v="2"/>
    <x v="0"/>
    <x v="365"/>
    <x v="1"/>
    <x v="2"/>
    <x v="365"/>
    <x v="276"/>
    <x v="2"/>
    <x v="1"/>
    <x v="365"/>
    <x v="4"/>
    <x v="0"/>
    <x v="1"/>
    <x v="364"/>
  </r>
  <r>
    <x v="366"/>
    <x v="312"/>
    <x v="2"/>
    <x v="0"/>
    <x v="0"/>
    <x v="366"/>
    <x v="4"/>
    <x v="4"/>
    <x v="366"/>
    <x v="305"/>
    <x v="0"/>
    <x v="4"/>
    <x v="366"/>
    <x v="2"/>
    <x v="2"/>
    <x v="1"/>
    <x v="365"/>
  </r>
  <r>
    <x v="367"/>
    <x v="313"/>
    <x v="6"/>
    <x v="1"/>
    <x v="3"/>
    <x v="367"/>
    <x v="5"/>
    <x v="0"/>
    <x v="367"/>
    <x v="220"/>
    <x v="3"/>
    <x v="4"/>
    <x v="367"/>
    <x v="8"/>
    <x v="1"/>
    <x v="0"/>
    <x v="366"/>
  </r>
  <r>
    <x v="368"/>
    <x v="31"/>
    <x v="4"/>
    <x v="0"/>
    <x v="3"/>
    <x v="368"/>
    <x v="0"/>
    <x v="4"/>
    <x v="368"/>
    <x v="306"/>
    <x v="2"/>
    <x v="1"/>
    <x v="368"/>
    <x v="5"/>
    <x v="2"/>
    <x v="4"/>
    <x v="367"/>
  </r>
  <r>
    <x v="369"/>
    <x v="70"/>
    <x v="8"/>
    <x v="1"/>
    <x v="2"/>
    <x v="369"/>
    <x v="0"/>
    <x v="0"/>
    <x v="369"/>
    <x v="307"/>
    <x v="3"/>
    <x v="4"/>
    <x v="369"/>
    <x v="6"/>
    <x v="0"/>
    <x v="2"/>
    <x v="368"/>
  </r>
  <r>
    <x v="370"/>
    <x v="120"/>
    <x v="4"/>
    <x v="2"/>
    <x v="3"/>
    <x v="370"/>
    <x v="1"/>
    <x v="2"/>
    <x v="370"/>
    <x v="308"/>
    <x v="1"/>
    <x v="1"/>
    <x v="370"/>
    <x v="4"/>
    <x v="3"/>
    <x v="3"/>
    <x v="369"/>
  </r>
  <r>
    <x v="371"/>
    <x v="314"/>
    <x v="0"/>
    <x v="0"/>
    <x v="0"/>
    <x v="371"/>
    <x v="1"/>
    <x v="0"/>
    <x v="371"/>
    <x v="12"/>
    <x v="3"/>
    <x v="4"/>
    <x v="371"/>
    <x v="6"/>
    <x v="1"/>
    <x v="4"/>
    <x v="370"/>
  </r>
  <r>
    <x v="372"/>
    <x v="311"/>
    <x v="2"/>
    <x v="2"/>
    <x v="0"/>
    <x v="372"/>
    <x v="3"/>
    <x v="4"/>
    <x v="372"/>
    <x v="309"/>
    <x v="4"/>
    <x v="2"/>
    <x v="372"/>
    <x v="4"/>
    <x v="2"/>
    <x v="1"/>
    <x v="371"/>
  </r>
  <r>
    <x v="373"/>
    <x v="315"/>
    <x v="0"/>
    <x v="0"/>
    <x v="0"/>
    <x v="373"/>
    <x v="5"/>
    <x v="4"/>
    <x v="373"/>
    <x v="310"/>
    <x v="4"/>
    <x v="4"/>
    <x v="373"/>
    <x v="4"/>
    <x v="1"/>
    <x v="0"/>
    <x v="372"/>
  </r>
  <r>
    <x v="374"/>
    <x v="316"/>
    <x v="11"/>
    <x v="1"/>
    <x v="1"/>
    <x v="374"/>
    <x v="0"/>
    <x v="2"/>
    <x v="374"/>
    <x v="67"/>
    <x v="3"/>
    <x v="4"/>
    <x v="374"/>
    <x v="9"/>
    <x v="3"/>
    <x v="0"/>
    <x v="373"/>
  </r>
  <r>
    <x v="375"/>
    <x v="317"/>
    <x v="0"/>
    <x v="2"/>
    <x v="0"/>
    <x v="375"/>
    <x v="0"/>
    <x v="3"/>
    <x v="375"/>
    <x v="311"/>
    <x v="1"/>
    <x v="0"/>
    <x v="375"/>
    <x v="2"/>
    <x v="1"/>
    <x v="3"/>
    <x v="374"/>
  </r>
  <r>
    <x v="376"/>
    <x v="318"/>
    <x v="1"/>
    <x v="0"/>
    <x v="1"/>
    <x v="376"/>
    <x v="0"/>
    <x v="0"/>
    <x v="376"/>
    <x v="312"/>
    <x v="0"/>
    <x v="4"/>
    <x v="376"/>
    <x v="5"/>
    <x v="1"/>
    <x v="3"/>
    <x v="375"/>
  </r>
  <r>
    <x v="377"/>
    <x v="319"/>
    <x v="10"/>
    <x v="1"/>
    <x v="1"/>
    <x v="377"/>
    <x v="0"/>
    <x v="2"/>
    <x v="377"/>
    <x v="261"/>
    <x v="1"/>
    <x v="4"/>
    <x v="377"/>
    <x v="3"/>
    <x v="3"/>
    <x v="0"/>
    <x v="376"/>
  </r>
  <r>
    <x v="378"/>
    <x v="320"/>
    <x v="2"/>
    <x v="1"/>
    <x v="0"/>
    <x v="378"/>
    <x v="3"/>
    <x v="0"/>
    <x v="378"/>
    <x v="313"/>
    <x v="2"/>
    <x v="4"/>
    <x v="378"/>
    <x v="2"/>
    <x v="3"/>
    <x v="0"/>
    <x v="377"/>
  </r>
  <r>
    <x v="379"/>
    <x v="321"/>
    <x v="11"/>
    <x v="1"/>
    <x v="1"/>
    <x v="379"/>
    <x v="1"/>
    <x v="4"/>
    <x v="379"/>
    <x v="161"/>
    <x v="1"/>
    <x v="0"/>
    <x v="379"/>
    <x v="5"/>
    <x v="2"/>
    <x v="4"/>
    <x v="378"/>
  </r>
  <r>
    <x v="380"/>
    <x v="322"/>
    <x v="6"/>
    <x v="1"/>
    <x v="3"/>
    <x v="380"/>
    <x v="4"/>
    <x v="3"/>
    <x v="380"/>
    <x v="230"/>
    <x v="4"/>
    <x v="4"/>
    <x v="380"/>
    <x v="3"/>
    <x v="0"/>
    <x v="0"/>
    <x v="379"/>
  </r>
  <r>
    <x v="381"/>
    <x v="323"/>
    <x v="5"/>
    <x v="0"/>
    <x v="3"/>
    <x v="381"/>
    <x v="3"/>
    <x v="2"/>
    <x v="381"/>
    <x v="44"/>
    <x v="2"/>
    <x v="2"/>
    <x v="381"/>
    <x v="9"/>
    <x v="1"/>
    <x v="0"/>
    <x v="380"/>
  </r>
  <r>
    <x v="382"/>
    <x v="324"/>
    <x v="0"/>
    <x v="2"/>
    <x v="0"/>
    <x v="382"/>
    <x v="4"/>
    <x v="3"/>
    <x v="382"/>
    <x v="314"/>
    <x v="0"/>
    <x v="0"/>
    <x v="382"/>
    <x v="2"/>
    <x v="0"/>
    <x v="4"/>
    <x v="381"/>
  </r>
  <r>
    <x v="383"/>
    <x v="325"/>
    <x v="0"/>
    <x v="0"/>
    <x v="0"/>
    <x v="383"/>
    <x v="3"/>
    <x v="3"/>
    <x v="383"/>
    <x v="87"/>
    <x v="2"/>
    <x v="4"/>
    <x v="383"/>
    <x v="0"/>
    <x v="0"/>
    <x v="2"/>
    <x v="382"/>
  </r>
  <r>
    <x v="384"/>
    <x v="167"/>
    <x v="7"/>
    <x v="1"/>
    <x v="2"/>
    <x v="384"/>
    <x v="3"/>
    <x v="4"/>
    <x v="384"/>
    <x v="315"/>
    <x v="2"/>
    <x v="2"/>
    <x v="384"/>
    <x v="4"/>
    <x v="1"/>
    <x v="3"/>
    <x v="383"/>
  </r>
  <r>
    <x v="385"/>
    <x v="150"/>
    <x v="3"/>
    <x v="0"/>
    <x v="2"/>
    <x v="385"/>
    <x v="3"/>
    <x v="0"/>
    <x v="385"/>
    <x v="60"/>
    <x v="3"/>
    <x v="3"/>
    <x v="385"/>
    <x v="5"/>
    <x v="1"/>
    <x v="3"/>
    <x v="384"/>
  </r>
  <r>
    <x v="386"/>
    <x v="200"/>
    <x v="6"/>
    <x v="0"/>
    <x v="3"/>
    <x v="386"/>
    <x v="2"/>
    <x v="2"/>
    <x v="386"/>
    <x v="316"/>
    <x v="1"/>
    <x v="2"/>
    <x v="386"/>
    <x v="4"/>
    <x v="2"/>
    <x v="2"/>
    <x v="385"/>
  </r>
  <r>
    <x v="387"/>
    <x v="326"/>
    <x v="5"/>
    <x v="1"/>
    <x v="3"/>
    <x v="387"/>
    <x v="4"/>
    <x v="1"/>
    <x v="387"/>
    <x v="8"/>
    <x v="2"/>
    <x v="0"/>
    <x v="387"/>
    <x v="1"/>
    <x v="3"/>
    <x v="4"/>
    <x v="386"/>
  </r>
  <r>
    <x v="388"/>
    <x v="153"/>
    <x v="8"/>
    <x v="0"/>
    <x v="2"/>
    <x v="388"/>
    <x v="4"/>
    <x v="4"/>
    <x v="388"/>
    <x v="94"/>
    <x v="4"/>
    <x v="4"/>
    <x v="388"/>
    <x v="0"/>
    <x v="3"/>
    <x v="3"/>
    <x v="387"/>
  </r>
  <r>
    <x v="389"/>
    <x v="327"/>
    <x v="8"/>
    <x v="0"/>
    <x v="2"/>
    <x v="389"/>
    <x v="6"/>
    <x v="3"/>
    <x v="389"/>
    <x v="317"/>
    <x v="4"/>
    <x v="0"/>
    <x v="389"/>
    <x v="0"/>
    <x v="1"/>
    <x v="1"/>
    <x v="388"/>
  </r>
  <r>
    <x v="390"/>
    <x v="328"/>
    <x v="10"/>
    <x v="0"/>
    <x v="1"/>
    <x v="390"/>
    <x v="4"/>
    <x v="0"/>
    <x v="390"/>
    <x v="291"/>
    <x v="4"/>
    <x v="3"/>
    <x v="390"/>
    <x v="8"/>
    <x v="1"/>
    <x v="4"/>
    <x v="389"/>
  </r>
  <r>
    <x v="391"/>
    <x v="317"/>
    <x v="0"/>
    <x v="2"/>
    <x v="0"/>
    <x v="391"/>
    <x v="5"/>
    <x v="1"/>
    <x v="391"/>
    <x v="244"/>
    <x v="0"/>
    <x v="1"/>
    <x v="391"/>
    <x v="1"/>
    <x v="1"/>
    <x v="1"/>
    <x v="390"/>
  </r>
  <r>
    <x v="392"/>
    <x v="329"/>
    <x v="2"/>
    <x v="1"/>
    <x v="0"/>
    <x v="392"/>
    <x v="1"/>
    <x v="2"/>
    <x v="392"/>
    <x v="303"/>
    <x v="1"/>
    <x v="3"/>
    <x v="392"/>
    <x v="9"/>
    <x v="3"/>
    <x v="2"/>
    <x v="391"/>
  </r>
  <r>
    <x v="393"/>
    <x v="330"/>
    <x v="10"/>
    <x v="1"/>
    <x v="1"/>
    <x v="393"/>
    <x v="4"/>
    <x v="2"/>
    <x v="393"/>
    <x v="318"/>
    <x v="2"/>
    <x v="2"/>
    <x v="393"/>
    <x v="1"/>
    <x v="2"/>
    <x v="4"/>
    <x v="392"/>
  </r>
  <r>
    <x v="394"/>
    <x v="176"/>
    <x v="10"/>
    <x v="0"/>
    <x v="1"/>
    <x v="394"/>
    <x v="6"/>
    <x v="0"/>
    <x v="394"/>
    <x v="319"/>
    <x v="3"/>
    <x v="0"/>
    <x v="394"/>
    <x v="8"/>
    <x v="2"/>
    <x v="3"/>
    <x v="393"/>
  </r>
  <r>
    <x v="395"/>
    <x v="331"/>
    <x v="6"/>
    <x v="2"/>
    <x v="3"/>
    <x v="395"/>
    <x v="1"/>
    <x v="4"/>
    <x v="395"/>
    <x v="32"/>
    <x v="3"/>
    <x v="3"/>
    <x v="395"/>
    <x v="0"/>
    <x v="0"/>
    <x v="1"/>
    <x v="394"/>
  </r>
  <r>
    <x v="396"/>
    <x v="142"/>
    <x v="8"/>
    <x v="0"/>
    <x v="2"/>
    <x v="396"/>
    <x v="2"/>
    <x v="0"/>
    <x v="396"/>
    <x v="320"/>
    <x v="1"/>
    <x v="0"/>
    <x v="396"/>
    <x v="8"/>
    <x v="0"/>
    <x v="2"/>
    <x v="395"/>
  </r>
  <r>
    <x v="397"/>
    <x v="332"/>
    <x v="11"/>
    <x v="0"/>
    <x v="1"/>
    <x v="397"/>
    <x v="0"/>
    <x v="2"/>
    <x v="397"/>
    <x v="321"/>
    <x v="1"/>
    <x v="1"/>
    <x v="397"/>
    <x v="9"/>
    <x v="3"/>
    <x v="1"/>
    <x v="396"/>
  </r>
  <r>
    <x v="398"/>
    <x v="333"/>
    <x v="11"/>
    <x v="1"/>
    <x v="1"/>
    <x v="398"/>
    <x v="1"/>
    <x v="0"/>
    <x v="398"/>
    <x v="182"/>
    <x v="3"/>
    <x v="0"/>
    <x v="398"/>
    <x v="0"/>
    <x v="0"/>
    <x v="0"/>
    <x v="397"/>
  </r>
  <r>
    <x v="399"/>
    <x v="334"/>
    <x v="0"/>
    <x v="1"/>
    <x v="0"/>
    <x v="399"/>
    <x v="2"/>
    <x v="0"/>
    <x v="399"/>
    <x v="322"/>
    <x v="0"/>
    <x v="2"/>
    <x v="399"/>
    <x v="3"/>
    <x v="1"/>
    <x v="3"/>
    <x v="398"/>
  </r>
  <r>
    <x v="400"/>
    <x v="335"/>
    <x v="11"/>
    <x v="1"/>
    <x v="1"/>
    <x v="400"/>
    <x v="6"/>
    <x v="3"/>
    <x v="400"/>
    <x v="323"/>
    <x v="0"/>
    <x v="2"/>
    <x v="400"/>
    <x v="6"/>
    <x v="3"/>
    <x v="0"/>
    <x v="399"/>
  </r>
  <r>
    <x v="401"/>
    <x v="23"/>
    <x v="6"/>
    <x v="2"/>
    <x v="3"/>
    <x v="401"/>
    <x v="4"/>
    <x v="2"/>
    <x v="401"/>
    <x v="303"/>
    <x v="0"/>
    <x v="2"/>
    <x v="401"/>
    <x v="5"/>
    <x v="2"/>
    <x v="1"/>
    <x v="400"/>
  </r>
  <r>
    <x v="402"/>
    <x v="336"/>
    <x v="6"/>
    <x v="0"/>
    <x v="3"/>
    <x v="402"/>
    <x v="4"/>
    <x v="0"/>
    <x v="402"/>
    <x v="324"/>
    <x v="3"/>
    <x v="0"/>
    <x v="402"/>
    <x v="3"/>
    <x v="2"/>
    <x v="1"/>
    <x v="401"/>
  </r>
  <r>
    <x v="403"/>
    <x v="337"/>
    <x v="7"/>
    <x v="1"/>
    <x v="2"/>
    <x v="403"/>
    <x v="2"/>
    <x v="2"/>
    <x v="403"/>
    <x v="240"/>
    <x v="1"/>
    <x v="2"/>
    <x v="403"/>
    <x v="9"/>
    <x v="1"/>
    <x v="1"/>
    <x v="402"/>
  </r>
  <r>
    <x v="404"/>
    <x v="338"/>
    <x v="9"/>
    <x v="0"/>
    <x v="0"/>
    <x v="404"/>
    <x v="0"/>
    <x v="1"/>
    <x v="404"/>
    <x v="63"/>
    <x v="4"/>
    <x v="3"/>
    <x v="404"/>
    <x v="5"/>
    <x v="2"/>
    <x v="0"/>
    <x v="403"/>
  </r>
  <r>
    <x v="405"/>
    <x v="281"/>
    <x v="0"/>
    <x v="2"/>
    <x v="0"/>
    <x v="405"/>
    <x v="0"/>
    <x v="3"/>
    <x v="405"/>
    <x v="305"/>
    <x v="1"/>
    <x v="1"/>
    <x v="405"/>
    <x v="0"/>
    <x v="3"/>
    <x v="2"/>
    <x v="404"/>
  </r>
  <r>
    <x v="406"/>
    <x v="339"/>
    <x v="8"/>
    <x v="0"/>
    <x v="2"/>
    <x v="406"/>
    <x v="2"/>
    <x v="3"/>
    <x v="406"/>
    <x v="167"/>
    <x v="4"/>
    <x v="2"/>
    <x v="406"/>
    <x v="6"/>
    <x v="3"/>
    <x v="4"/>
    <x v="405"/>
  </r>
  <r>
    <x v="407"/>
    <x v="340"/>
    <x v="1"/>
    <x v="0"/>
    <x v="1"/>
    <x v="407"/>
    <x v="2"/>
    <x v="3"/>
    <x v="407"/>
    <x v="224"/>
    <x v="4"/>
    <x v="2"/>
    <x v="407"/>
    <x v="2"/>
    <x v="1"/>
    <x v="0"/>
    <x v="406"/>
  </r>
  <r>
    <x v="408"/>
    <x v="341"/>
    <x v="0"/>
    <x v="2"/>
    <x v="0"/>
    <x v="408"/>
    <x v="4"/>
    <x v="4"/>
    <x v="408"/>
    <x v="325"/>
    <x v="1"/>
    <x v="4"/>
    <x v="408"/>
    <x v="5"/>
    <x v="3"/>
    <x v="4"/>
    <x v="407"/>
  </r>
  <r>
    <x v="409"/>
    <x v="342"/>
    <x v="5"/>
    <x v="0"/>
    <x v="3"/>
    <x v="409"/>
    <x v="6"/>
    <x v="0"/>
    <x v="409"/>
    <x v="326"/>
    <x v="1"/>
    <x v="3"/>
    <x v="409"/>
    <x v="6"/>
    <x v="0"/>
    <x v="4"/>
    <x v="408"/>
  </r>
  <r>
    <x v="410"/>
    <x v="343"/>
    <x v="0"/>
    <x v="1"/>
    <x v="0"/>
    <x v="410"/>
    <x v="2"/>
    <x v="1"/>
    <x v="410"/>
    <x v="327"/>
    <x v="0"/>
    <x v="0"/>
    <x v="410"/>
    <x v="3"/>
    <x v="2"/>
    <x v="2"/>
    <x v="409"/>
  </r>
  <r>
    <x v="411"/>
    <x v="83"/>
    <x v="5"/>
    <x v="1"/>
    <x v="3"/>
    <x v="411"/>
    <x v="6"/>
    <x v="1"/>
    <x v="411"/>
    <x v="139"/>
    <x v="1"/>
    <x v="0"/>
    <x v="411"/>
    <x v="3"/>
    <x v="2"/>
    <x v="3"/>
    <x v="410"/>
  </r>
  <r>
    <x v="412"/>
    <x v="344"/>
    <x v="6"/>
    <x v="2"/>
    <x v="3"/>
    <x v="412"/>
    <x v="2"/>
    <x v="0"/>
    <x v="412"/>
    <x v="328"/>
    <x v="2"/>
    <x v="2"/>
    <x v="412"/>
    <x v="8"/>
    <x v="2"/>
    <x v="3"/>
    <x v="411"/>
  </r>
  <r>
    <x v="413"/>
    <x v="345"/>
    <x v="3"/>
    <x v="0"/>
    <x v="2"/>
    <x v="413"/>
    <x v="2"/>
    <x v="2"/>
    <x v="413"/>
    <x v="329"/>
    <x v="1"/>
    <x v="3"/>
    <x v="413"/>
    <x v="5"/>
    <x v="0"/>
    <x v="2"/>
    <x v="412"/>
  </r>
  <r>
    <x v="414"/>
    <x v="346"/>
    <x v="4"/>
    <x v="2"/>
    <x v="3"/>
    <x v="414"/>
    <x v="6"/>
    <x v="1"/>
    <x v="414"/>
    <x v="330"/>
    <x v="4"/>
    <x v="3"/>
    <x v="414"/>
    <x v="4"/>
    <x v="3"/>
    <x v="3"/>
    <x v="413"/>
  </r>
  <r>
    <x v="415"/>
    <x v="161"/>
    <x v="6"/>
    <x v="2"/>
    <x v="3"/>
    <x v="415"/>
    <x v="3"/>
    <x v="2"/>
    <x v="415"/>
    <x v="229"/>
    <x v="3"/>
    <x v="0"/>
    <x v="415"/>
    <x v="3"/>
    <x v="1"/>
    <x v="3"/>
    <x v="414"/>
  </r>
  <r>
    <x v="416"/>
    <x v="202"/>
    <x v="10"/>
    <x v="0"/>
    <x v="1"/>
    <x v="416"/>
    <x v="5"/>
    <x v="1"/>
    <x v="416"/>
    <x v="331"/>
    <x v="3"/>
    <x v="1"/>
    <x v="416"/>
    <x v="3"/>
    <x v="3"/>
    <x v="1"/>
    <x v="415"/>
  </r>
  <r>
    <x v="417"/>
    <x v="347"/>
    <x v="3"/>
    <x v="0"/>
    <x v="2"/>
    <x v="417"/>
    <x v="5"/>
    <x v="0"/>
    <x v="417"/>
    <x v="332"/>
    <x v="1"/>
    <x v="1"/>
    <x v="417"/>
    <x v="3"/>
    <x v="2"/>
    <x v="4"/>
    <x v="416"/>
  </r>
  <r>
    <x v="418"/>
    <x v="348"/>
    <x v="0"/>
    <x v="0"/>
    <x v="0"/>
    <x v="418"/>
    <x v="4"/>
    <x v="2"/>
    <x v="418"/>
    <x v="333"/>
    <x v="1"/>
    <x v="1"/>
    <x v="418"/>
    <x v="1"/>
    <x v="2"/>
    <x v="3"/>
    <x v="417"/>
  </r>
  <r>
    <x v="419"/>
    <x v="349"/>
    <x v="6"/>
    <x v="1"/>
    <x v="3"/>
    <x v="419"/>
    <x v="2"/>
    <x v="1"/>
    <x v="419"/>
    <x v="291"/>
    <x v="0"/>
    <x v="4"/>
    <x v="419"/>
    <x v="5"/>
    <x v="1"/>
    <x v="0"/>
    <x v="418"/>
  </r>
  <r>
    <x v="420"/>
    <x v="350"/>
    <x v="7"/>
    <x v="1"/>
    <x v="2"/>
    <x v="420"/>
    <x v="1"/>
    <x v="2"/>
    <x v="420"/>
    <x v="334"/>
    <x v="0"/>
    <x v="0"/>
    <x v="420"/>
    <x v="3"/>
    <x v="1"/>
    <x v="0"/>
    <x v="419"/>
  </r>
  <r>
    <x v="421"/>
    <x v="3"/>
    <x v="3"/>
    <x v="0"/>
    <x v="2"/>
    <x v="421"/>
    <x v="3"/>
    <x v="1"/>
    <x v="421"/>
    <x v="335"/>
    <x v="0"/>
    <x v="1"/>
    <x v="421"/>
    <x v="3"/>
    <x v="2"/>
    <x v="2"/>
    <x v="420"/>
  </r>
  <r>
    <x v="422"/>
    <x v="32"/>
    <x v="5"/>
    <x v="0"/>
    <x v="3"/>
    <x v="422"/>
    <x v="1"/>
    <x v="3"/>
    <x v="422"/>
    <x v="16"/>
    <x v="3"/>
    <x v="2"/>
    <x v="422"/>
    <x v="5"/>
    <x v="3"/>
    <x v="1"/>
    <x v="421"/>
  </r>
  <r>
    <x v="423"/>
    <x v="351"/>
    <x v="10"/>
    <x v="1"/>
    <x v="1"/>
    <x v="423"/>
    <x v="4"/>
    <x v="3"/>
    <x v="423"/>
    <x v="241"/>
    <x v="3"/>
    <x v="1"/>
    <x v="423"/>
    <x v="5"/>
    <x v="3"/>
    <x v="4"/>
    <x v="422"/>
  </r>
  <r>
    <x v="424"/>
    <x v="352"/>
    <x v="6"/>
    <x v="0"/>
    <x v="3"/>
    <x v="424"/>
    <x v="3"/>
    <x v="0"/>
    <x v="424"/>
    <x v="268"/>
    <x v="4"/>
    <x v="4"/>
    <x v="424"/>
    <x v="8"/>
    <x v="2"/>
    <x v="2"/>
    <x v="423"/>
  </r>
  <r>
    <x v="425"/>
    <x v="338"/>
    <x v="9"/>
    <x v="0"/>
    <x v="0"/>
    <x v="425"/>
    <x v="5"/>
    <x v="1"/>
    <x v="425"/>
    <x v="336"/>
    <x v="3"/>
    <x v="2"/>
    <x v="425"/>
    <x v="3"/>
    <x v="3"/>
    <x v="2"/>
    <x v="424"/>
  </r>
  <r>
    <x v="426"/>
    <x v="353"/>
    <x v="9"/>
    <x v="2"/>
    <x v="0"/>
    <x v="426"/>
    <x v="0"/>
    <x v="0"/>
    <x v="426"/>
    <x v="337"/>
    <x v="4"/>
    <x v="1"/>
    <x v="426"/>
    <x v="8"/>
    <x v="2"/>
    <x v="3"/>
    <x v="425"/>
  </r>
  <r>
    <x v="427"/>
    <x v="144"/>
    <x v="8"/>
    <x v="1"/>
    <x v="2"/>
    <x v="427"/>
    <x v="6"/>
    <x v="2"/>
    <x v="427"/>
    <x v="338"/>
    <x v="2"/>
    <x v="4"/>
    <x v="427"/>
    <x v="1"/>
    <x v="3"/>
    <x v="0"/>
    <x v="426"/>
  </r>
  <r>
    <x v="428"/>
    <x v="130"/>
    <x v="7"/>
    <x v="1"/>
    <x v="2"/>
    <x v="428"/>
    <x v="3"/>
    <x v="3"/>
    <x v="428"/>
    <x v="30"/>
    <x v="1"/>
    <x v="1"/>
    <x v="428"/>
    <x v="2"/>
    <x v="3"/>
    <x v="2"/>
    <x v="427"/>
  </r>
  <r>
    <x v="429"/>
    <x v="36"/>
    <x v="8"/>
    <x v="1"/>
    <x v="2"/>
    <x v="429"/>
    <x v="4"/>
    <x v="3"/>
    <x v="429"/>
    <x v="101"/>
    <x v="2"/>
    <x v="4"/>
    <x v="429"/>
    <x v="6"/>
    <x v="0"/>
    <x v="3"/>
    <x v="428"/>
  </r>
  <r>
    <x v="430"/>
    <x v="323"/>
    <x v="5"/>
    <x v="0"/>
    <x v="3"/>
    <x v="430"/>
    <x v="1"/>
    <x v="2"/>
    <x v="430"/>
    <x v="339"/>
    <x v="3"/>
    <x v="0"/>
    <x v="430"/>
    <x v="5"/>
    <x v="1"/>
    <x v="4"/>
    <x v="429"/>
  </r>
  <r>
    <x v="431"/>
    <x v="354"/>
    <x v="3"/>
    <x v="1"/>
    <x v="2"/>
    <x v="431"/>
    <x v="4"/>
    <x v="2"/>
    <x v="431"/>
    <x v="143"/>
    <x v="0"/>
    <x v="1"/>
    <x v="431"/>
    <x v="5"/>
    <x v="3"/>
    <x v="3"/>
    <x v="430"/>
  </r>
  <r>
    <x v="432"/>
    <x v="355"/>
    <x v="11"/>
    <x v="0"/>
    <x v="1"/>
    <x v="432"/>
    <x v="2"/>
    <x v="1"/>
    <x v="432"/>
    <x v="340"/>
    <x v="2"/>
    <x v="2"/>
    <x v="432"/>
    <x v="5"/>
    <x v="2"/>
    <x v="1"/>
    <x v="431"/>
  </r>
  <r>
    <x v="433"/>
    <x v="46"/>
    <x v="1"/>
    <x v="0"/>
    <x v="1"/>
    <x v="433"/>
    <x v="0"/>
    <x v="4"/>
    <x v="433"/>
    <x v="214"/>
    <x v="2"/>
    <x v="2"/>
    <x v="433"/>
    <x v="1"/>
    <x v="1"/>
    <x v="3"/>
    <x v="432"/>
  </r>
  <r>
    <x v="434"/>
    <x v="356"/>
    <x v="3"/>
    <x v="0"/>
    <x v="2"/>
    <x v="434"/>
    <x v="4"/>
    <x v="0"/>
    <x v="434"/>
    <x v="65"/>
    <x v="2"/>
    <x v="2"/>
    <x v="434"/>
    <x v="5"/>
    <x v="2"/>
    <x v="3"/>
    <x v="433"/>
  </r>
  <r>
    <x v="435"/>
    <x v="156"/>
    <x v="4"/>
    <x v="0"/>
    <x v="3"/>
    <x v="435"/>
    <x v="4"/>
    <x v="2"/>
    <x v="435"/>
    <x v="267"/>
    <x v="0"/>
    <x v="2"/>
    <x v="435"/>
    <x v="1"/>
    <x v="1"/>
    <x v="0"/>
    <x v="434"/>
  </r>
  <r>
    <x v="436"/>
    <x v="91"/>
    <x v="2"/>
    <x v="0"/>
    <x v="0"/>
    <x v="436"/>
    <x v="5"/>
    <x v="3"/>
    <x v="436"/>
    <x v="143"/>
    <x v="1"/>
    <x v="4"/>
    <x v="436"/>
    <x v="3"/>
    <x v="2"/>
    <x v="4"/>
    <x v="435"/>
  </r>
  <r>
    <x v="437"/>
    <x v="171"/>
    <x v="6"/>
    <x v="1"/>
    <x v="3"/>
    <x v="437"/>
    <x v="1"/>
    <x v="2"/>
    <x v="437"/>
    <x v="341"/>
    <x v="1"/>
    <x v="3"/>
    <x v="437"/>
    <x v="7"/>
    <x v="1"/>
    <x v="0"/>
    <x v="436"/>
  </r>
  <r>
    <x v="438"/>
    <x v="195"/>
    <x v="0"/>
    <x v="2"/>
    <x v="0"/>
    <x v="438"/>
    <x v="2"/>
    <x v="4"/>
    <x v="438"/>
    <x v="342"/>
    <x v="3"/>
    <x v="4"/>
    <x v="438"/>
    <x v="1"/>
    <x v="0"/>
    <x v="0"/>
    <x v="437"/>
  </r>
  <r>
    <x v="439"/>
    <x v="50"/>
    <x v="11"/>
    <x v="1"/>
    <x v="1"/>
    <x v="439"/>
    <x v="2"/>
    <x v="2"/>
    <x v="439"/>
    <x v="343"/>
    <x v="1"/>
    <x v="0"/>
    <x v="439"/>
    <x v="4"/>
    <x v="3"/>
    <x v="3"/>
    <x v="438"/>
  </r>
  <r>
    <x v="440"/>
    <x v="357"/>
    <x v="7"/>
    <x v="1"/>
    <x v="2"/>
    <x v="440"/>
    <x v="6"/>
    <x v="3"/>
    <x v="440"/>
    <x v="264"/>
    <x v="0"/>
    <x v="4"/>
    <x v="440"/>
    <x v="4"/>
    <x v="0"/>
    <x v="3"/>
    <x v="439"/>
  </r>
  <r>
    <x v="441"/>
    <x v="141"/>
    <x v="8"/>
    <x v="0"/>
    <x v="2"/>
    <x v="441"/>
    <x v="4"/>
    <x v="1"/>
    <x v="441"/>
    <x v="344"/>
    <x v="3"/>
    <x v="2"/>
    <x v="441"/>
    <x v="5"/>
    <x v="1"/>
    <x v="2"/>
    <x v="440"/>
  </r>
  <r>
    <x v="442"/>
    <x v="40"/>
    <x v="4"/>
    <x v="1"/>
    <x v="3"/>
    <x v="442"/>
    <x v="3"/>
    <x v="0"/>
    <x v="442"/>
    <x v="345"/>
    <x v="4"/>
    <x v="4"/>
    <x v="442"/>
    <x v="2"/>
    <x v="0"/>
    <x v="0"/>
    <x v="441"/>
  </r>
  <r>
    <x v="443"/>
    <x v="358"/>
    <x v="4"/>
    <x v="1"/>
    <x v="3"/>
    <x v="443"/>
    <x v="3"/>
    <x v="1"/>
    <x v="443"/>
    <x v="59"/>
    <x v="4"/>
    <x v="2"/>
    <x v="443"/>
    <x v="5"/>
    <x v="2"/>
    <x v="3"/>
    <x v="442"/>
  </r>
  <r>
    <x v="444"/>
    <x v="180"/>
    <x v="5"/>
    <x v="1"/>
    <x v="3"/>
    <x v="444"/>
    <x v="4"/>
    <x v="2"/>
    <x v="444"/>
    <x v="346"/>
    <x v="1"/>
    <x v="0"/>
    <x v="444"/>
    <x v="5"/>
    <x v="1"/>
    <x v="0"/>
    <x v="443"/>
  </r>
  <r>
    <x v="445"/>
    <x v="230"/>
    <x v="9"/>
    <x v="1"/>
    <x v="0"/>
    <x v="445"/>
    <x v="1"/>
    <x v="2"/>
    <x v="445"/>
    <x v="347"/>
    <x v="4"/>
    <x v="3"/>
    <x v="445"/>
    <x v="1"/>
    <x v="0"/>
    <x v="1"/>
    <x v="444"/>
  </r>
  <r>
    <x v="446"/>
    <x v="359"/>
    <x v="3"/>
    <x v="0"/>
    <x v="2"/>
    <x v="446"/>
    <x v="5"/>
    <x v="0"/>
    <x v="446"/>
    <x v="348"/>
    <x v="1"/>
    <x v="3"/>
    <x v="446"/>
    <x v="5"/>
    <x v="1"/>
    <x v="0"/>
    <x v="445"/>
  </r>
  <r>
    <x v="447"/>
    <x v="158"/>
    <x v="6"/>
    <x v="1"/>
    <x v="3"/>
    <x v="447"/>
    <x v="4"/>
    <x v="1"/>
    <x v="447"/>
    <x v="349"/>
    <x v="4"/>
    <x v="2"/>
    <x v="447"/>
    <x v="7"/>
    <x v="2"/>
    <x v="3"/>
    <x v="446"/>
  </r>
  <r>
    <x v="448"/>
    <x v="355"/>
    <x v="11"/>
    <x v="0"/>
    <x v="1"/>
    <x v="448"/>
    <x v="5"/>
    <x v="1"/>
    <x v="448"/>
    <x v="350"/>
    <x v="4"/>
    <x v="4"/>
    <x v="448"/>
    <x v="4"/>
    <x v="0"/>
    <x v="0"/>
    <x v="447"/>
  </r>
  <r>
    <x v="449"/>
    <x v="360"/>
    <x v="1"/>
    <x v="1"/>
    <x v="1"/>
    <x v="449"/>
    <x v="2"/>
    <x v="4"/>
    <x v="449"/>
    <x v="351"/>
    <x v="1"/>
    <x v="4"/>
    <x v="449"/>
    <x v="1"/>
    <x v="2"/>
    <x v="0"/>
    <x v="448"/>
  </r>
  <r>
    <x v="450"/>
    <x v="361"/>
    <x v="0"/>
    <x v="1"/>
    <x v="0"/>
    <x v="450"/>
    <x v="0"/>
    <x v="0"/>
    <x v="450"/>
    <x v="352"/>
    <x v="3"/>
    <x v="2"/>
    <x v="450"/>
    <x v="8"/>
    <x v="3"/>
    <x v="0"/>
    <x v="449"/>
  </r>
  <r>
    <x v="451"/>
    <x v="362"/>
    <x v="6"/>
    <x v="0"/>
    <x v="3"/>
    <x v="451"/>
    <x v="0"/>
    <x v="2"/>
    <x v="451"/>
    <x v="97"/>
    <x v="0"/>
    <x v="1"/>
    <x v="451"/>
    <x v="5"/>
    <x v="0"/>
    <x v="2"/>
    <x v="450"/>
  </r>
  <r>
    <x v="452"/>
    <x v="363"/>
    <x v="10"/>
    <x v="0"/>
    <x v="1"/>
    <x v="452"/>
    <x v="4"/>
    <x v="2"/>
    <x v="452"/>
    <x v="353"/>
    <x v="4"/>
    <x v="4"/>
    <x v="452"/>
    <x v="3"/>
    <x v="0"/>
    <x v="4"/>
    <x v="451"/>
  </r>
  <r>
    <x v="453"/>
    <x v="201"/>
    <x v="4"/>
    <x v="2"/>
    <x v="3"/>
    <x v="453"/>
    <x v="2"/>
    <x v="2"/>
    <x v="453"/>
    <x v="354"/>
    <x v="4"/>
    <x v="0"/>
    <x v="453"/>
    <x v="9"/>
    <x v="3"/>
    <x v="3"/>
    <x v="452"/>
  </r>
  <r>
    <x v="454"/>
    <x v="364"/>
    <x v="7"/>
    <x v="1"/>
    <x v="2"/>
    <x v="454"/>
    <x v="5"/>
    <x v="2"/>
    <x v="454"/>
    <x v="355"/>
    <x v="0"/>
    <x v="1"/>
    <x v="454"/>
    <x v="3"/>
    <x v="1"/>
    <x v="4"/>
    <x v="453"/>
  </r>
  <r>
    <x v="455"/>
    <x v="290"/>
    <x v="9"/>
    <x v="1"/>
    <x v="0"/>
    <x v="455"/>
    <x v="1"/>
    <x v="2"/>
    <x v="455"/>
    <x v="356"/>
    <x v="0"/>
    <x v="4"/>
    <x v="455"/>
    <x v="7"/>
    <x v="0"/>
    <x v="1"/>
    <x v="454"/>
  </r>
  <r>
    <x v="456"/>
    <x v="365"/>
    <x v="5"/>
    <x v="0"/>
    <x v="3"/>
    <x v="456"/>
    <x v="6"/>
    <x v="0"/>
    <x v="456"/>
    <x v="288"/>
    <x v="2"/>
    <x v="0"/>
    <x v="456"/>
    <x v="6"/>
    <x v="0"/>
    <x v="3"/>
    <x v="455"/>
  </r>
  <r>
    <x v="457"/>
    <x v="366"/>
    <x v="4"/>
    <x v="2"/>
    <x v="3"/>
    <x v="457"/>
    <x v="6"/>
    <x v="3"/>
    <x v="457"/>
    <x v="357"/>
    <x v="1"/>
    <x v="2"/>
    <x v="457"/>
    <x v="4"/>
    <x v="3"/>
    <x v="0"/>
    <x v="456"/>
  </r>
  <r>
    <x v="458"/>
    <x v="367"/>
    <x v="10"/>
    <x v="1"/>
    <x v="1"/>
    <x v="458"/>
    <x v="0"/>
    <x v="3"/>
    <x v="458"/>
    <x v="85"/>
    <x v="2"/>
    <x v="2"/>
    <x v="458"/>
    <x v="0"/>
    <x v="3"/>
    <x v="2"/>
    <x v="457"/>
  </r>
  <r>
    <x v="459"/>
    <x v="25"/>
    <x v="10"/>
    <x v="1"/>
    <x v="1"/>
    <x v="459"/>
    <x v="6"/>
    <x v="2"/>
    <x v="459"/>
    <x v="339"/>
    <x v="2"/>
    <x v="2"/>
    <x v="459"/>
    <x v="7"/>
    <x v="2"/>
    <x v="0"/>
    <x v="458"/>
  </r>
  <r>
    <x v="460"/>
    <x v="354"/>
    <x v="3"/>
    <x v="1"/>
    <x v="2"/>
    <x v="460"/>
    <x v="5"/>
    <x v="2"/>
    <x v="460"/>
    <x v="358"/>
    <x v="4"/>
    <x v="2"/>
    <x v="460"/>
    <x v="7"/>
    <x v="3"/>
    <x v="1"/>
    <x v="459"/>
  </r>
  <r>
    <x v="461"/>
    <x v="180"/>
    <x v="5"/>
    <x v="1"/>
    <x v="3"/>
    <x v="461"/>
    <x v="2"/>
    <x v="2"/>
    <x v="461"/>
    <x v="208"/>
    <x v="2"/>
    <x v="0"/>
    <x v="461"/>
    <x v="3"/>
    <x v="1"/>
    <x v="4"/>
    <x v="460"/>
  </r>
  <r>
    <x v="462"/>
    <x v="368"/>
    <x v="9"/>
    <x v="2"/>
    <x v="0"/>
    <x v="462"/>
    <x v="1"/>
    <x v="2"/>
    <x v="462"/>
    <x v="359"/>
    <x v="1"/>
    <x v="1"/>
    <x v="462"/>
    <x v="9"/>
    <x v="2"/>
    <x v="1"/>
    <x v="461"/>
  </r>
  <r>
    <x v="463"/>
    <x v="68"/>
    <x v="4"/>
    <x v="0"/>
    <x v="3"/>
    <x v="463"/>
    <x v="5"/>
    <x v="0"/>
    <x v="463"/>
    <x v="360"/>
    <x v="0"/>
    <x v="0"/>
    <x v="463"/>
    <x v="6"/>
    <x v="0"/>
    <x v="0"/>
    <x v="462"/>
  </r>
  <r>
    <x v="464"/>
    <x v="369"/>
    <x v="9"/>
    <x v="0"/>
    <x v="0"/>
    <x v="464"/>
    <x v="2"/>
    <x v="3"/>
    <x v="464"/>
    <x v="361"/>
    <x v="1"/>
    <x v="1"/>
    <x v="464"/>
    <x v="5"/>
    <x v="1"/>
    <x v="4"/>
    <x v="463"/>
  </r>
  <r>
    <x v="465"/>
    <x v="235"/>
    <x v="2"/>
    <x v="1"/>
    <x v="0"/>
    <x v="465"/>
    <x v="4"/>
    <x v="0"/>
    <x v="465"/>
    <x v="362"/>
    <x v="3"/>
    <x v="1"/>
    <x v="465"/>
    <x v="2"/>
    <x v="2"/>
    <x v="4"/>
    <x v="464"/>
  </r>
  <r>
    <x v="466"/>
    <x v="202"/>
    <x v="10"/>
    <x v="0"/>
    <x v="1"/>
    <x v="466"/>
    <x v="1"/>
    <x v="2"/>
    <x v="466"/>
    <x v="30"/>
    <x v="4"/>
    <x v="3"/>
    <x v="466"/>
    <x v="4"/>
    <x v="1"/>
    <x v="1"/>
    <x v="465"/>
  </r>
  <r>
    <x v="467"/>
    <x v="225"/>
    <x v="1"/>
    <x v="1"/>
    <x v="1"/>
    <x v="467"/>
    <x v="6"/>
    <x v="2"/>
    <x v="467"/>
    <x v="167"/>
    <x v="4"/>
    <x v="1"/>
    <x v="467"/>
    <x v="7"/>
    <x v="3"/>
    <x v="2"/>
    <x v="466"/>
  </r>
  <r>
    <x v="468"/>
    <x v="370"/>
    <x v="5"/>
    <x v="2"/>
    <x v="3"/>
    <x v="468"/>
    <x v="1"/>
    <x v="2"/>
    <x v="468"/>
    <x v="363"/>
    <x v="2"/>
    <x v="3"/>
    <x v="468"/>
    <x v="3"/>
    <x v="1"/>
    <x v="2"/>
    <x v="467"/>
  </r>
  <r>
    <x v="469"/>
    <x v="371"/>
    <x v="7"/>
    <x v="0"/>
    <x v="2"/>
    <x v="469"/>
    <x v="3"/>
    <x v="0"/>
    <x v="469"/>
    <x v="136"/>
    <x v="4"/>
    <x v="1"/>
    <x v="469"/>
    <x v="3"/>
    <x v="2"/>
    <x v="3"/>
    <x v="468"/>
  </r>
  <r>
    <x v="470"/>
    <x v="372"/>
    <x v="11"/>
    <x v="0"/>
    <x v="1"/>
    <x v="470"/>
    <x v="2"/>
    <x v="3"/>
    <x v="470"/>
    <x v="364"/>
    <x v="4"/>
    <x v="0"/>
    <x v="470"/>
    <x v="3"/>
    <x v="0"/>
    <x v="2"/>
    <x v="469"/>
  </r>
  <r>
    <x v="471"/>
    <x v="373"/>
    <x v="6"/>
    <x v="2"/>
    <x v="3"/>
    <x v="471"/>
    <x v="6"/>
    <x v="0"/>
    <x v="471"/>
    <x v="365"/>
    <x v="1"/>
    <x v="1"/>
    <x v="471"/>
    <x v="0"/>
    <x v="1"/>
    <x v="1"/>
    <x v="470"/>
  </r>
  <r>
    <x v="472"/>
    <x v="374"/>
    <x v="0"/>
    <x v="0"/>
    <x v="0"/>
    <x v="472"/>
    <x v="3"/>
    <x v="4"/>
    <x v="472"/>
    <x v="366"/>
    <x v="2"/>
    <x v="1"/>
    <x v="472"/>
    <x v="2"/>
    <x v="1"/>
    <x v="1"/>
    <x v="471"/>
  </r>
  <r>
    <x v="473"/>
    <x v="86"/>
    <x v="2"/>
    <x v="2"/>
    <x v="0"/>
    <x v="473"/>
    <x v="3"/>
    <x v="1"/>
    <x v="473"/>
    <x v="367"/>
    <x v="1"/>
    <x v="0"/>
    <x v="473"/>
    <x v="4"/>
    <x v="2"/>
    <x v="3"/>
    <x v="472"/>
  </r>
  <r>
    <x v="474"/>
    <x v="375"/>
    <x v="7"/>
    <x v="0"/>
    <x v="2"/>
    <x v="474"/>
    <x v="4"/>
    <x v="4"/>
    <x v="474"/>
    <x v="282"/>
    <x v="2"/>
    <x v="0"/>
    <x v="474"/>
    <x v="5"/>
    <x v="0"/>
    <x v="1"/>
    <x v="473"/>
  </r>
  <r>
    <x v="475"/>
    <x v="373"/>
    <x v="6"/>
    <x v="2"/>
    <x v="3"/>
    <x v="475"/>
    <x v="2"/>
    <x v="1"/>
    <x v="475"/>
    <x v="368"/>
    <x v="4"/>
    <x v="1"/>
    <x v="475"/>
    <x v="1"/>
    <x v="0"/>
    <x v="3"/>
    <x v="474"/>
  </r>
  <r>
    <x v="476"/>
    <x v="361"/>
    <x v="0"/>
    <x v="1"/>
    <x v="0"/>
    <x v="476"/>
    <x v="1"/>
    <x v="1"/>
    <x v="476"/>
    <x v="369"/>
    <x v="1"/>
    <x v="2"/>
    <x v="476"/>
    <x v="4"/>
    <x v="1"/>
    <x v="1"/>
    <x v="475"/>
  </r>
  <r>
    <x v="477"/>
    <x v="376"/>
    <x v="9"/>
    <x v="2"/>
    <x v="0"/>
    <x v="477"/>
    <x v="1"/>
    <x v="1"/>
    <x v="477"/>
    <x v="370"/>
    <x v="1"/>
    <x v="0"/>
    <x v="477"/>
    <x v="3"/>
    <x v="0"/>
    <x v="4"/>
    <x v="476"/>
  </r>
  <r>
    <x v="478"/>
    <x v="377"/>
    <x v="7"/>
    <x v="1"/>
    <x v="2"/>
    <x v="478"/>
    <x v="2"/>
    <x v="4"/>
    <x v="478"/>
    <x v="16"/>
    <x v="3"/>
    <x v="0"/>
    <x v="478"/>
    <x v="5"/>
    <x v="1"/>
    <x v="1"/>
    <x v="477"/>
  </r>
  <r>
    <x v="479"/>
    <x v="378"/>
    <x v="2"/>
    <x v="0"/>
    <x v="0"/>
    <x v="479"/>
    <x v="0"/>
    <x v="3"/>
    <x v="479"/>
    <x v="371"/>
    <x v="2"/>
    <x v="4"/>
    <x v="479"/>
    <x v="2"/>
    <x v="2"/>
    <x v="4"/>
    <x v="478"/>
  </r>
  <r>
    <x v="480"/>
    <x v="379"/>
    <x v="5"/>
    <x v="0"/>
    <x v="3"/>
    <x v="480"/>
    <x v="3"/>
    <x v="2"/>
    <x v="480"/>
    <x v="99"/>
    <x v="0"/>
    <x v="4"/>
    <x v="480"/>
    <x v="5"/>
    <x v="1"/>
    <x v="1"/>
    <x v="479"/>
  </r>
  <r>
    <x v="481"/>
    <x v="295"/>
    <x v="6"/>
    <x v="0"/>
    <x v="3"/>
    <x v="481"/>
    <x v="5"/>
    <x v="3"/>
    <x v="481"/>
    <x v="186"/>
    <x v="0"/>
    <x v="3"/>
    <x v="481"/>
    <x v="3"/>
    <x v="3"/>
    <x v="1"/>
    <x v="480"/>
  </r>
  <r>
    <x v="482"/>
    <x v="380"/>
    <x v="9"/>
    <x v="2"/>
    <x v="0"/>
    <x v="482"/>
    <x v="0"/>
    <x v="4"/>
    <x v="482"/>
    <x v="77"/>
    <x v="1"/>
    <x v="4"/>
    <x v="482"/>
    <x v="5"/>
    <x v="2"/>
    <x v="0"/>
    <x v="481"/>
  </r>
  <r>
    <x v="483"/>
    <x v="381"/>
    <x v="0"/>
    <x v="0"/>
    <x v="0"/>
    <x v="483"/>
    <x v="1"/>
    <x v="0"/>
    <x v="483"/>
    <x v="372"/>
    <x v="4"/>
    <x v="4"/>
    <x v="483"/>
    <x v="5"/>
    <x v="3"/>
    <x v="4"/>
    <x v="482"/>
  </r>
  <r>
    <x v="484"/>
    <x v="382"/>
    <x v="4"/>
    <x v="1"/>
    <x v="3"/>
    <x v="484"/>
    <x v="3"/>
    <x v="3"/>
    <x v="484"/>
    <x v="326"/>
    <x v="4"/>
    <x v="1"/>
    <x v="484"/>
    <x v="5"/>
    <x v="2"/>
    <x v="3"/>
    <x v="483"/>
  </r>
  <r>
    <x v="485"/>
    <x v="383"/>
    <x v="1"/>
    <x v="0"/>
    <x v="1"/>
    <x v="485"/>
    <x v="3"/>
    <x v="4"/>
    <x v="485"/>
    <x v="373"/>
    <x v="4"/>
    <x v="0"/>
    <x v="485"/>
    <x v="5"/>
    <x v="0"/>
    <x v="0"/>
    <x v="484"/>
  </r>
  <r>
    <x v="486"/>
    <x v="384"/>
    <x v="2"/>
    <x v="0"/>
    <x v="0"/>
    <x v="486"/>
    <x v="4"/>
    <x v="3"/>
    <x v="486"/>
    <x v="317"/>
    <x v="4"/>
    <x v="0"/>
    <x v="486"/>
    <x v="3"/>
    <x v="0"/>
    <x v="1"/>
    <x v="485"/>
  </r>
  <r>
    <x v="487"/>
    <x v="338"/>
    <x v="9"/>
    <x v="0"/>
    <x v="0"/>
    <x v="487"/>
    <x v="4"/>
    <x v="4"/>
    <x v="487"/>
    <x v="374"/>
    <x v="2"/>
    <x v="4"/>
    <x v="487"/>
    <x v="1"/>
    <x v="0"/>
    <x v="4"/>
    <x v="486"/>
  </r>
  <r>
    <x v="488"/>
    <x v="194"/>
    <x v="8"/>
    <x v="1"/>
    <x v="2"/>
    <x v="488"/>
    <x v="3"/>
    <x v="2"/>
    <x v="488"/>
    <x v="375"/>
    <x v="1"/>
    <x v="1"/>
    <x v="488"/>
    <x v="9"/>
    <x v="3"/>
    <x v="2"/>
    <x v="487"/>
  </r>
  <r>
    <x v="489"/>
    <x v="189"/>
    <x v="11"/>
    <x v="0"/>
    <x v="1"/>
    <x v="489"/>
    <x v="2"/>
    <x v="4"/>
    <x v="489"/>
    <x v="227"/>
    <x v="3"/>
    <x v="1"/>
    <x v="489"/>
    <x v="0"/>
    <x v="3"/>
    <x v="2"/>
    <x v="488"/>
  </r>
  <r>
    <x v="490"/>
    <x v="319"/>
    <x v="10"/>
    <x v="1"/>
    <x v="1"/>
    <x v="490"/>
    <x v="3"/>
    <x v="0"/>
    <x v="490"/>
    <x v="376"/>
    <x v="1"/>
    <x v="1"/>
    <x v="490"/>
    <x v="8"/>
    <x v="2"/>
    <x v="3"/>
    <x v="489"/>
  </r>
  <r>
    <x v="491"/>
    <x v="314"/>
    <x v="0"/>
    <x v="0"/>
    <x v="0"/>
    <x v="491"/>
    <x v="1"/>
    <x v="0"/>
    <x v="491"/>
    <x v="370"/>
    <x v="4"/>
    <x v="4"/>
    <x v="491"/>
    <x v="3"/>
    <x v="3"/>
    <x v="3"/>
    <x v="490"/>
  </r>
  <r>
    <x v="492"/>
    <x v="385"/>
    <x v="3"/>
    <x v="0"/>
    <x v="2"/>
    <x v="492"/>
    <x v="5"/>
    <x v="0"/>
    <x v="492"/>
    <x v="73"/>
    <x v="0"/>
    <x v="0"/>
    <x v="492"/>
    <x v="5"/>
    <x v="0"/>
    <x v="0"/>
    <x v="491"/>
  </r>
  <r>
    <x v="493"/>
    <x v="386"/>
    <x v="0"/>
    <x v="2"/>
    <x v="0"/>
    <x v="493"/>
    <x v="1"/>
    <x v="2"/>
    <x v="493"/>
    <x v="377"/>
    <x v="2"/>
    <x v="4"/>
    <x v="493"/>
    <x v="4"/>
    <x v="1"/>
    <x v="3"/>
    <x v="492"/>
  </r>
  <r>
    <x v="494"/>
    <x v="45"/>
    <x v="10"/>
    <x v="0"/>
    <x v="1"/>
    <x v="494"/>
    <x v="5"/>
    <x v="4"/>
    <x v="494"/>
    <x v="378"/>
    <x v="0"/>
    <x v="4"/>
    <x v="494"/>
    <x v="1"/>
    <x v="1"/>
    <x v="1"/>
    <x v="493"/>
  </r>
  <r>
    <x v="495"/>
    <x v="85"/>
    <x v="5"/>
    <x v="2"/>
    <x v="3"/>
    <x v="495"/>
    <x v="1"/>
    <x v="3"/>
    <x v="495"/>
    <x v="140"/>
    <x v="0"/>
    <x v="4"/>
    <x v="495"/>
    <x v="5"/>
    <x v="0"/>
    <x v="3"/>
    <x v="494"/>
  </r>
  <r>
    <x v="496"/>
    <x v="387"/>
    <x v="9"/>
    <x v="2"/>
    <x v="0"/>
    <x v="496"/>
    <x v="4"/>
    <x v="4"/>
    <x v="496"/>
    <x v="379"/>
    <x v="1"/>
    <x v="1"/>
    <x v="496"/>
    <x v="1"/>
    <x v="0"/>
    <x v="4"/>
    <x v="495"/>
  </r>
  <r>
    <x v="497"/>
    <x v="101"/>
    <x v="3"/>
    <x v="1"/>
    <x v="2"/>
    <x v="497"/>
    <x v="4"/>
    <x v="4"/>
    <x v="497"/>
    <x v="380"/>
    <x v="3"/>
    <x v="0"/>
    <x v="497"/>
    <x v="5"/>
    <x v="2"/>
    <x v="4"/>
    <x v="496"/>
  </r>
  <r>
    <x v="498"/>
    <x v="219"/>
    <x v="10"/>
    <x v="0"/>
    <x v="1"/>
    <x v="498"/>
    <x v="2"/>
    <x v="3"/>
    <x v="498"/>
    <x v="212"/>
    <x v="4"/>
    <x v="2"/>
    <x v="498"/>
    <x v="2"/>
    <x v="3"/>
    <x v="0"/>
    <x v="497"/>
  </r>
  <r>
    <x v="499"/>
    <x v="388"/>
    <x v="6"/>
    <x v="0"/>
    <x v="3"/>
    <x v="499"/>
    <x v="4"/>
    <x v="4"/>
    <x v="499"/>
    <x v="381"/>
    <x v="2"/>
    <x v="0"/>
    <x v="499"/>
    <x v="4"/>
    <x v="0"/>
    <x v="3"/>
    <x v="498"/>
  </r>
  <r>
    <x v="500"/>
    <x v="158"/>
    <x v="6"/>
    <x v="1"/>
    <x v="3"/>
    <x v="500"/>
    <x v="5"/>
    <x v="0"/>
    <x v="500"/>
    <x v="382"/>
    <x v="4"/>
    <x v="2"/>
    <x v="500"/>
    <x v="2"/>
    <x v="3"/>
    <x v="3"/>
    <x v="499"/>
  </r>
  <r>
    <x v="501"/>
    <x v="389"/>
    <x v="2"/>
    <x v="1"/>
    <x v="0"/>
    <x v="501"/>
    <x v="6"/>
    <x v="3"/>
    <x v="501"/>
    <x v="149"/>
    <x v="2"/>
    <x v="4"/>
    <x v="501"/>
    <x v="0"/>
    <x v="0"/>
    <x v="1"/>
    <x v="500"/>
  </r>
  <r>
    <x v="502"/>
    <x v="390"/>
    <x v="4"/>
    <x v="0"/>
    <x v="3"/>
    <x v="502"/>
    <x v="0"/>
    <x v="4"/>
    <x v="502"/>
    <x v="383"/>
    <x v="0"/>
    <x v="2"/>
    <x v="502"/>
    <x v="0"/>
    <x v="0"/>
    <x v="2"/>
    <x v="501"/>
  </r>
  <r>
    <x v="503"/>
    <x v="303"/>
    <x v="1"/>
    <x v="0"/>
    <x v="1"/>
    <x v="503"/>
    <x v="2"/>
    <x v="4"/>
    <x v="503"/>
    <x v="384"/>
    <x v="1"/>
    <x v="4"/>
    <x v="503"/>
    <x v="4"/>
    <x v="1"/>
    <x v="3"/>
    <x v="502"/>
  </r>
  <r>
    <x v="504"/>
    <x v="113"/>
    <x v="5"/>
    <x v="2"/>
    <x v="3"/>
    <x v="504"/>
    <x v="0"/>
    <x v="1"/>
    <x v="504"/>
    <x v="385"/>
    <x v="1"/>
    <x v="1"/>
    <x v="504"/>
    <x v="7"/>
    <x v="3"/>
    <x v="0"/>
    <x v="503"/>
  </r>
  <r>
    <x v="505"/>
    <x v="236"/>
    <x v="5"/>
    <x v="0"/>
    <x v="3"/>
    <x v="505"/>
    <x v="4"/>
    <x v="1"/>
    <x v="505"/>
    <x v="317"/>
    <x v="1"/>
    <x v="0"/>
    <x v="505"/>
    <x v="0"/>
    <x v="2"/>
    <x v="2"/>
    <x v="504"/>
  </r>
  <r>
    <x v="506"/>
    <x v="284"/>
    <x v="10"/>
    <x v="0"/>
    <x v="1"/>
    <x v="506"/>
    <x v="0"/>
    <x v="1"/>
    <x v="506"/>
    <x v="386"/>
    <x v="4"/>
    <x v="2"/>
    <x v="506"/>
    <x v="4"/>
    <x v="3"/>
    <x v="0"/>
    <x v="505"/>
  </r>
  <r>
    <x v="507"/>
    <x v="176"/>
    <x v="10"/>
    <x v="0"/>
    <x v="1"/>
    <x v="507"/>
    <x v="1"/>
    <x v="2"/>
    <x v="507"/>
    <x v="274"/>
    <x v="2"/>
    <x v="4"/>
    <x v="507"/>
    <x v="3"/>
    <x v="3"/>
    <x v="2"/>
    <x v="506"/>
  </r>
  <r>
    <x v="508"/>
    <x v="391"/>
    <x v="4"/>
    <x v="2"/>
    <x v="3"/>
    <x v="508"/>
    <x v="1"/>
    <x v="2"/>
    <x v="508"/>
    <x v="387"/>
    <x v="1"/>
    <x v="3"/>
    <x v="508"/>
    <x v="9"/>
    <x v="2"/>
    <x v="1"/>
    <x v="507"/>
  </r>
  <r>
    <x v="509"/>
    <x v="392"/>
    <x v="2"/>
    <x v="0"/>
    <x v="0"/>
    <x v="509"/>
    <x v="5"/>
    <x v="1"/>
    <x v="509"/>
    <x v="388"/>
    <x v="4"/>
    <x v="2"/>
    <x v="509"/>
    <x v="7"/>
    <x v="3"/>
    <x v="4"/>
    <x v="508"/>
  </r>
  <r>
    <x v="510"/>
    <x v="393"/>
    <x v="8"/>
    <x v="1"/>
    <x v="2"/>
    <x v="510"/>
    <x v="4"/>
    <x v="2"/>
    <x v="510"/>
    <x v="389"/>
    <x v="0"/>
    <x v="3"/>
    <x v="510"/>
    <x v="3"/>
    <x v="0"/>
    <x v="2"/>
    <x v="509"/>
  </r>
  <r>
    <x v="511"/>
    <x v="394"/>
    <x v="9"/>
    <x v="1"/>
    <x v="0"/>
    <x v="511"/>
    <x v="0"/>
    <x v="0"/>
    <x v="511"/>
    <x v="40"/>
    <x v="4"/>
    <x v="3"/>
    <x v="511"/>
    <x v="0"/>
    <x v="3"/>
    <x v="2"/>
    <x v="510"/>
  </r>
  <r>
    <x v="512"/>
    <x v="395"/>
    <x v="11"/>
    <x v="1"/>
    <x v="1"/>
    <x v="512"/>
    <x v="6"/>
    <x v="4"/>
    <x v="512"/>
    <x v="252"/>
    <x v="1"/>
    <x v="4"/>
    <x v="512"/>
    <x v="1"/>
    <x v="1"/>
    <x v="0"/>
    <x v="511"/>
  </r>
  <r>
    <x v="513"/>
    <x v="396"/>
    <x v="2"/>
    <x v="2"/>
    <x v="0"/>
    <x v="513"/>
    <x v="2"/>
    <x v="4"/>
    <x v="513"/>
    <x v="91"/>
    <x v="3"/>
    <x v="0"/>
    <x v="513"/>
    <x v="2"/>
    <x v="2"/>
    <x v="1"/>
    <x v="512"/>
  </r>
  <r>
    <x v="514"/>
    <x v="397"/>
    <x v="6"/>
    <x v="0"/>
    <x v="3"/>
    <x v="514"/>
    <x v="4"/>
    <x v="4"/>
    <x v="514"/>
    <x v="354"/>
    <x v="3"/>
    <x v="0"/>
    <x v="514"/>
    <x v="1"/>
    <x v="3"/>
    <x v="0"/>
    <x v="513"/>
  </r>
  <r>
    <x v="515"/>
    <x v="369"/>
    <x v="9"/>
    <x v="0"/>
    <x v="0"/>
    <x v="515"/>
    <x v="1"/>
    <x v="4"/>
    <x v="515"/>
    <x v="352"/>
    <x v="3"/>
    <x v="0"/>
    <x v="515"/>
    <x v="4"/>
    <x v="1"/>
    <x v="3"/>
    <x v="514"/>
  </r>
  <r>
    <x v="516"/>
    <x v="158"/>
    <x v="6"/>
    <x v="1"/>
    <x v="3"/>
    <x v="516"/>
    <x v="0"/>
    <x v="4"/>
    <x v="516"/>
    <x v="249"/>
    <x v="4"/>
    <x v="2"/>
    <x v="516"/>
    <x v="2"/>
    <x v="2"/>
    <x v="3"/>
    <x v="515"/>
  </r>
  <r>
    <x v="517"/>
    <x v="398"/>
    <x v="6"/>
    <x v="1"/>
    <x v="3"/>
    <x v="517"/>
    <x v="2"/>
    <x v="3"/>
    <x v="517"/>
    <x v="371"/>
    <x v="4"/>
    <x v="1"/>
    <x v="517"/>
    <x v="0"/>
    <x v="1"/>
    <x v="4"/>
    <x v="516"/>
  </r>
  <r>
    <x v="518"/>
    <x v="399"/>
    <x v="5"/>
    <x v="2"/>
    <x v="3"/>
    <x v="518"/>
    <x v="4"/>
    <x v="3"/>
    <x v="518"/>
    <x v="322"/>
    <x v="1"/>
    <x v="4"/>
    <x v="518"/>
    <x v="6"/>
    <x v="0"/>
    <x v="1"/>
    <x v="517"/>
  </r>
  <r>
    <x v="519"/>
    <x v="400"/>
    <x v="4"/>
    <x v="2"/>
    <x v="3"/>
    <x v="519"/>
    <x v="5"/>
    <x v="3"/>
    <x v="519"/>
    <x v="390"/>
    <x v="0"/>
    <x v="2"/>
    <x v="519"/>
    <x v="3"/>
    <x v="0"/>
    <x v="2"/>
    <x v="518"/>
  </r>
  <r>
    <x v="520"/>
    <x v="401"/>
    <x v="9"/>
    <x v="0"/>
    <x v="0"/>
    <x v="520"/>
    <x v="0"/>
    <x v="4"/>
    <x v="520"/>
    <x v="391"/>
    <x v="4"/>
    <x v="2"/>
    <x v="520"/>
    <x v="3"/>
    <x v="2"/>
    <x v="1"/>
    <x v="519"/>
  </r>
  <r>
    <x v="521"/>
    <x v="402"/>
    <x v="2"/>
    <x v="1"/>
    <x v="0"/>
    <x v="521"/>
    <x v="1"/>
    <x v="2"/>
    <x v="521"/>
    <x v="392"/>
    <x v="2"/>
    <x v="0"/>
    <x v="521"/>
    <x v="7"/>
    <x v="2"/>
    <x v="3"/>
    <x v="520"/>
  </r>
  <r>
    <x v="522"/>
    <x v="322"/>
    <x v="6"/>
    <x v="1"/>
    <x v="3"/>
    <x v="522"/>
    <x v="3"/>
    <x v="2"/>
    <x v="522"/>
    <x v="240"/>
    <x v="3"/>
    <x v="1"/>
    <x v="522"/>
    <x v="9"/>
    <x v="1"/>
    <x v="2"/>
    <x v="521"/>
  </r>
  <r>
    <x v="523"/>
    <x v="403"/>
    <x v="2"/>
    <x v="2"/>
    <x v="0"/>
    <x v="523"/>
    <x v="6"/>
    <x v="3"/>
    <x v="523"/>
    <x v="331"/>
    <x v="2"/>
    <x v="2"/>
    <x v="523"/>
    <x v="5"/>
    <x v="3"/>
    <x v="4"/>
    <x v="522"/>
  </r>
  <r>
    <x v="524"/>
    <x v="385"/>
    <x v="3"/>
    <x v="0"/>
    <x v="2"/>
    <x v="524"/>
    <x v="1"/>
    <x v="2"/>
    <x v="524"/>
    <x v="73"/>
    <x v="2"/>
    <x v="2"/>
    <x v="524"/>
    <x v="4"/>
    <x v="2"/>
    <x v="1"/>
    <x v="523"/>
  </r>
  <r>
    <x v="525"/>
    <x v="404"/>
    <x v="8"/>
    <x v="0"/>
    <x v="2"/>
    <x v="525"/>
    <x v="0"/>
    <x v="2"/>
    <x v="525"/>
    <x v="352"/>
    <x v="0"/>
    <x v="0"/>
    <x v="525"/>
    <x v="9"/>
    <x v="0"/>
    <x v="2"/>
    <x v="524"/>
  </r>
  <r>
    <x v="526"/>
    <x v="405"/>
    <x v="2"/>
    <x v="1"/>
    <x v="0"/>
    <x v="526"/>
    <x v="6"/>
    <x v="1"/>
    <x v="526"/>
    <x v="87"/>
    <x v="4"/>
    <x v="2"/>
    <x v="526"/>
    <x v="0"/>
    <x v="3"/>
    <x v="4"/>
    <x v="525"/>
  </r>
  <r>
    <x v="527"/>
    <x v="406"/>
    <x v="1"/>
    <x v="1"/>
    <x v="1"/>
    <x v="527"/>
    <x v="3"/>
    <x v="0"/>
    <x v="527"/>
    <x v="78"/>
    <x v="2"/>
    <x v="1"/>
    <x v="527"/>
    <x v="8"/>
    <x v="0"/>
    <x v="1"/>
    <x v="526"/>
  </r>
  <r>
    <x v="528"/>
    <x v="407"/>
    <x v="2"/>
    <x v="2"/>
    <x v="0"/>
    <x v="528"/>
    <x v="3"/>
    <x v="2"/>
    <x v="528"/>
    <x v="355"/>
    <x v="2"/>
    <x v="2"/>
    <x v="528"/>
    <x v="7"/>
    <x v="0"/>
    <x v="1"/>
    <x v="527"/>
  </r>
  <r>
    <x v="529"/>
    <x v="158"/>
    <x v="6"/>
    <x v="1"/>
    <x v="3"/>
    <x v="529"/>
    <x v="2"/>
    <x v="1"/>
    <x v="529"/>
    <x v="393"/>
    <x v="4"/>
    <x v="4"/>
    <x v="529"/>
    <x v="4"/>
    <x v="1"/>
    <x v="4"/>
    <x v="528"/>
  </r>
  <r>
    <x v="530"/>
    <x v="408"/>
    <x v="10"/>
    <x v="1"/>
    <x v="1"/>
    <x v="530"/>
    <x v="3"/>
    <x v="3"/>
    <x v="530"/>
    <x v="394"/>
    <x v="1"/>
    <x v="4"/>
    <x v="530"/>
    <x v="6"/>
    <x v="2"/>
    <x v="4"/>
    <x v="529"/>
  </r>
  <r>
    <x v="531"/>
    <x v="367"/>
    <x v="10"/>
    <x v="1"/>
    <x v="1"/>
    <x v="531"/>
    <x v="6"/>
    <x v="0"/>
    <x v="531"/>
    <x v="395"/>
    <x v="3"/>
    <x v="3"/>
    <x v="531"/>
    <x v="5"/>
    <x v="2"/>
    <x v="1"/>
    <x v="530"/>
  </r>
  <r>
    <x v="532"/>
    <x v="120"/>
    <x v="4"/>
    <x v="2"/>
    <x v="3"/>
    <x v="532"/>
    <x v="5"/>
    <x v="1"/>
    <x v="532"/>
    <x v="396"/>
    <x v="1"/>
    <x v="3"/>
    <x v="532"/>
    <x v="0"/>
    <x v="2"/>
    <x v="2"/>
    <x v="531"/>
  </r>
  <r>
    <x v="533"/>
    <x v="409"/>
    <x v="9"/>
    <x v="0"/>
    <x v="0"/>
    <x v="533"/>
    <x v="6"/>
    <x v="2"/>
    <x v="533"/>
    <x v="62"/>
    <x v="3"/>
    <x v="2"/>
    <x v="533"/>
    <x v="9"/>
    <x v="1"/>
    <x v="3"/>
    <x v="532"/>
  </r>
  <r>
    <x v="534"/>
    <x v="309"/>
    <x v="5"/>
    <x v="1"/>
    <x v="3"/>
    <x v="534"/>
    <x v="3"/>
    <x v="4"/>
    <x v="534"/>
    <x v="397"/>
    <x v="0"/>
    <x v="1"/>
    <x v="534"/>
    <x v="4"/>
    <x v="0"/>
    <x v="2"/>
    <x v="533"/>
  </r>
  <r>
    <x v="535"/>
    <x v="25"/>
    <x v="10"/>
    <x v="1"/>
    <x v="1"/>
    <x v="535"/>
    <x v="0"/>
    <x v="4"/>
    <x v="535"/>
    <x v="157"/>
    <x v="1"/>
    <x v="1"/>
    <x v="535"/>
    <x v="1"/>
    <x v="1"/>
    <x v="2"/>
    <x v="534"/>
  </r>
  <r>
    <x v="536"/>
    <x v="410"/>
    <x v="5"/>
    <x v="1"/>
    <x v="3"/>
    <x v="536"/>
    <x v="3"/>
    <x v="2"/>
    <x v="536"/>
    <x v="398"/>
    <x v="4"/>
    <x v="2"/>
    <x v="536"/>
    <x v="5"/>
    <x v="2"/>
    <x v="2"/>
    <x v="535"/>
  </r>
  <r>
    <x v="537"/>
    <x v="411"/>
    <x v="9"/>
    <x v="2"/>
    <x v="0"/>
    <x v="537"/>
    <x v="2"/>
    <x v="4"/>
    <x v="537"/>
    <x v="61"/>
    <x v="1"/>
    <x v="3"/>
    <x v="537"/>
    <x v="4"/>
    <x v="0"/>
    <x v="3"/>
    <x v="536"/>
  </r>
  <r>
    <x v="538"/>
    <x v="75"/>
    <x v="4"/>
    <x v="1"/>
    <x v="3"/>
    <x v="538"/>
    <x v="1"/>
    <x v="4"/>
    <x v="538"/>
    <x v="399"/>
    <x v="4"/>
    <x v="0"/>
    <x v="538"/>
    <x v="1"/>
    <x v="3"/>
    <x v="2"/>
    <x v="537"/>
  </r>
  <r>
    <x v="539"/>
    <x v="403"/>
    <x v="2"/>
    <x v="2"/>
    <x v="0"/>
    <x v="539"/>
    <x v="6"/>
    <x v="4"/>
    <x v="539"/>
    <x v="400"/>
    <x v="3"/>
    <x v="3"/>
    <x v="539"/>
    <x v="0"/>
    <x v="0"/>
    <x v="4"/>
    <x v="538"/>
  </r>
  <r>
    <x v="540"/>
    <x v="412"/>
    <x v="0"/>
    <x v="1"/>
    <x v="0"/>
    <x v="540"/>
    <x v="5"/>
    <x v="0"/>
    <x v="540"/>
    <x v="401"/>
    <x v="1"/>
    <x v="4"/>
    <x v="540"/>
    <x v="0"/>
    <x v="2"/>
    <x v="1"/>
    <x v="539"/>
  </r>
  <r>
    <x v="541"/>
    <x v="413"/>
    <x v="1"/>
    <x v="0"/>
    <x v="1"/>
    <x v="541"/>
    <x v="4"/>
    <x v="0"/>
    <x v="541"/>
    <x v="402"/>
    <x v="4"/>
    <x v="4"/>
    <x v="541"/>
    <x v="8"/>
    <x v="2"/>
    <x v="0"/>
    <x v="540"/>
  </r>
  <r>
    <x v="542"/>
    <x v="414"/>
    <x v="7"/>
    <x v="0"/>
    <x v="2"/>
    <x v="542"/>
    <x v="2"/>
    <x v="2"/>
    <x v="542"/>
    <x v="5"/>
    <x v="4"/>
    <x v="1"/>
    <x v="542"/>
    <x v="5"/>
    <x v="1"/>
    <x v="2"/>
    <x v="541"/>
  </r>
  <r>
    <x v="543"/>
    <x v="415"/>
    <x v="9"/>
    <x v="1"/>
    <x v="0"/>
    <x v="543"/>
    <x v="6"/>
    <x v="0"/>
    <x v="543"/>
    <x v="159"/>
    <x v="4"/>
    <x v="0"/>
    <x v="543"/>
    <x v="5"/>
    <x v="3"/>
    <x v="3"/>
    <x v="542"/>
  </r>
  <r>
    <x v="544"/>
    <x v="416"/>
    <x v="9"/>
    <x v="1"/>
    <x v="0"/>
    <x v="544"/>
    <x v="4"/>
    <x v="0"/>
    <x v="544"/>
    <x v="316"/>
    <x v="2"/>
    <x v="2"/>
    <x v="544"/>
    <x v="3"/>
    <x v="1"/>
    <x v="1"/>
    <x v="543"/>
  </r>
  <r>
    <x v="545"/>
    <x v="263"/>
    <x v="8"/>
    <x v="0"/>
    <x v="2"/>
    <x v="545"/>
    <x v="0"/>
    <x v="1"/>
    <x v="545"/>
    <x v="403"/>
    <x v="4"/>
    <x v="2"/>
    <x v="545"/>
    <x v="1"/>
    <x v="2"/>
    <x v="0"/>
    <x v="544"/>
  </r>
  <r>
    <x v="546"/>
    <x v="417"/>
    <x v="9"/>
    <x v="1"/>
    <x v="0"/>
    <x v="546"/>
    <x v="0"/>
    <x v="2"/>
    <x v="546"/>
    <x v="0"/>
    <x v="2"/>
    <x v="2"/>
    <x v="546"/>
    <x v="5"/>
    <x v="3"/>
    <x v="0"/>
    <x v="545"/>
  </r>
  <r>
    <x v="547"/>
    <x v="38"/>
    <x v="1"/>
    <x v="0"/>
    <x v="1"/>
    <x v="547"/>
    <x v="1"/>
    <x v="2"/>
    <x v="547"/>
    <x v="404"/>
    <x v="1"/>
    <x v="3"/>
    <x v="547"/>
    <x v="4"/>
    <x v="1"/>
    <x v="3"/>
    <x v="546"/>
  </r>
  <r>
    <x v="548"/>
    <x v="80"/>
    <x v="0"/>
    <x v="1"/>
    <x v="0"/>
    <x v="548"/>
    <x v="4"/>
    <x v="4"/>
    <x v="548"/>
    <x v="90"/>
    <x v="1"/>
    <x v="3"/>
    <x v="548"/>
    <x v="3"/>
    <x v="3"/>
    <x v="0"/>
    <x v="547"/>
  </r>
  <r>
    <x v="549"/>
    <x v="86"/>
    <x v="2"/>
    <x v="2"/>
    <x v="0"/>
    <x v="549"/>
    <x v="0"/>
    <x v="3"/>
    <x v="549"/>
    <x v="405"/>
    <x v="0"/>
    <x v="1"/>
    <x v="549"/>
    <x v="2"/>
    <x v="3"/>
    <x v="0"/>
    <x v="548"/>
  </r>
  <r>
    <x v="550"/>
    <x v="418"/>
    <x v="3"/>
    <x v="0"/>
    <x v="2"/>
    <x v="550"/>
    <x v="5"/>
    <x v="3"/>
    <x v="550"/>
    <x v="132"/>
    <x v="4"/>
    <x v="0"/>
    <x v="550"/>
    <x v="4"/>
    <x v="1"/>
    <x v="4"/>
    <x v="549"/>
  </r>
  <r>
    <x v="551"/>
    <x v="419"/>
    <x v="4"/>
    <x v="0"/>
    <x v="3"/>
    <x v="551"/>
    <x v="5"/>
    <x v="2"/>
    <x v="551"/>
    <x v="118"/>
    <x v="0"/>
    <x v="3"/>
    <x v="551"/>
    <x v="5"/>
    <x v="3"/>
    <x v="2"/>
    <x v="550"/>
  </r>
  <r>
    <x v="552"/>
    <x v="420"/>
    <x v="11"/>
    <x v="0"/>
    <x v="1"/>
    <x v="552"/>
    <x v="3"/>
    <x v="3"/>
    <x v="552"/>
    <x v="388"/>
    <x v="1"/>
    <x v="2"/>
    <x v="552"/>
    <x v="2"/>
    <x v="3"/>
    <x v="3"/>
    <x v="551"/>
  </r>
  <r>
    <x v="553"/>
    <x v="421"/>
    <x v="1"/>
    <x v="0"/>
    <x v="1"/>
    <x v="553"/>
    <x v="1"/>
    <x v="1"/>
    <x v="553"/>
    <x v="406"/>
    <x v="3"/>
    <x v="1"/>
    <x v="553"/>
    <x v="4"/>
    <x v="1"/>
    <x v="1"/>
    <x v="552"/>
  </r>
  <r>
    <x v="554"/>
    <x v="422"/>
    <x v="4"/>
    <x v="2"/>
    <x v="3"/>
    <x v="554"/>
    <x v="5"/>
    <x v="1"/>
    <x v="554"/>
    <x v="200"/>
    <x v="4"/>
    <x v="2"/>
    <x v="554"/>
    <x v="3"/>
    <x v="1"/>
    <x v="0"/>
    <x v="553"/>
  </r>
  <r>
    <x v="555"/>
    <x v="33"/>
    <x v="0"/>
    <x v="0"/>
    <x v="0"/>
    <x v="555"/>
    <x v="2"/>
    <x v="2"/>
    <x v="555"/>
    <x v="10"/>
    <x v="4"/>
    <x v="0"/>
    <x v="555"/>
    <x v="7"/>
    <x v="2"/>
    <x v="3"/>
    <x v="554"/>
  </r>
  <r>
    <x v="556"/>
    <x v="423"/>
    <x v="0"/>
    <x v="0"/>
    <x v="0"/>
    <x v="556"/>
    <x v="5"/>
    <x v="2"/>
    <x v="556"/>
    <x v="407"/>
    <x v="3"/>
    <x v="4"/>
    <x v="556"/>
    <x v="7"/>
    <x v="0"/>
    <x v="3"/>
    <x v="555"/>
  </r>
  <r>
    <x v="557"/>
    <x v="282"/>
    <x v="5"/>
    <x v="0"/>
    <x v="3"/>
    <x v="557"/>
    <x v="2"/>
    <x v="2"/>
    <x v="557"/>
    <x v="408"/>
    <x v="0"/>
    <x v="4"/>
    <x v="557"/>
    <x v="9"/>
    <x v="3"/>
    <x v="3"/>
    <x v="556"/>
  </r>
  <r>
    <x v="558"/>
    <x v="424"/>
    <x v="10"/>
    <x v="1"/>
    <x v="1"/>
    <x v="558"/>
    <x v="1"/>
    <x v="3"/>
    <x v="558"/>
    <x v="409"/>
    <x v="1"/>
    <x v="3"/>
    <x v="558"/>
    <x v="5"/>
    <x v="3"/>
    <x v="0"/>
    <x v="557"/>
  </r>
  <r>
    <x v="559"/>
    <x v="116"/>
    <x v="6"/>
    <x v="1"/>
    <x v="3"/>
    <x v="559"/>
    <x v="6"/>
    <x v="4"/>
    <x v="559"/>
    <x v="380"/>
    <x v="0"/>
    <x v="1"/>
    <x v="559"/>
    <x v="0"/>
    <x v="3"/>
    <x v="2"/>
    <x v="558"/>
  </r>
  <r>
    <x v="560"/>
    <x v="425"/>
    <x v="0"/>
    <x v="0"/>
    <x v="0"/>
    <x v="560"/>
    <x v="0"/>
    <x v="3"/>
    <x v="560"/>
    <x v="410"/>
    <x v="3"/>
    <x v="4"/>
    <x v="560"/>
    <x v="0"/>
    <x v="2"/>
    <x v="2"/>
    <x v="559"/>
  </r>
  <r>
    <x v="561"/>
    <x v="425"/>
    <x v="0"/>
    <x v="0"/>
    <x v="0"/>
    <x v="561"/>
    <x v="4"/>
    <x v="1"/>
    <x v="561"/>
    <x v="411"/>
    <x v="1"/>
    <x v="0"/>
    <x v="561"/>
    <x v="7"/>
    <x v="2"/>
    <x v="4"/>
    <x v="560"/>
  </r>
  <r>
    <x v="562"/>
    <x v="426"/>
    <x v="3"/>
    <x v="0"/>
    <x v="2"/>
    <x v="562"/>
    <x v="5"/>
    <x v="4"/>
    <x v="562"/>
    <x v="90"/>
    <x v="3"/>
    <x v="2"/>
    <x v="562"/>
    <x v="5"/>
    <x v="1"/>
    <x v="2"/>
    <x v="561"/>
  </r>
  <r>
    <x v="563"/>
    <x v="427"/>
    <x v="8"/>
    <x v="0"/>
    <x v="2"/>
    <x v="563"/>
    <x v="5"/>
    <x v="2"/>
    <x v="563"/>
    <x v="412"/>
    <x v="0"/>
    <x v="2"/>
    <x v="563"/>
    <x v="9"/>
    <x v="0"/>
    <x v="1"/>
    <x v="562"/>
  </r>
  <r>
    <x v="564"/>
    <x v="428"/>
    <x v="6"/>
    <x v="2"/>
    <x v="3"/>
    <x v="564"/>
    <x v="6"/>
    <x v="0"/>
    <x v="564"/>
    <x v="413"/>
    <x v="2"/>
    <x v="1"/>
    <x v="564"/>
    <x v="3"/>
    <x v="3"/>
    <x v="4"/>
    <x v="563"/>
  </r>
  <r>
    <x v="565"/>
    <x v="429"/>
    <x v="4"/>
    <x v="0"/>
    <x v="3"/>
    <x v="565"/>
    <x v="2"/>
    <x v="0"/>
    <x v="565"/>
    <x v="360"/>
    <x v="1"/>
    <x v="4"/>
    <x v="565"/>
    <x v="8"/>
    <x v="2"/>
    <x v="3"/>
    <x v="564"/>
  </r>
  <r>
    <x v="566"/>
    <x v="171"/>
    <x v="6"/>
    <x v="1"/>
    <x v="3"/>
    <x v="566"/>
    <x v="1"/>
    <x v="3"/>
    <x v="566"/>
    <x v="414"/>
    <x v="4"/>
    <x v="1"/>
    <x v="566"/>
    <x v="0"/>
    <x v="1"/>
    <x v="2"/>
    <x v="565"/>
  </r>
  <r>
    <x v="567"/>
    <x v="430"/>
    <x v="11"/>
    <x v="1"/>
    <x v="1"/>
    <x v="567"/>
    <x v="3"/>
    <x v="0"/>
    <x v="567"/>
    <x v="222"/>
    <x v="4"/>
    <x v="0"/>
    <x v="567"/>
    <x v="8"/>
    <x v="1"/>
    <x v="2"/>
    <x v="566"/>
  </r>
  <r>
    <x v="568"/>
    <x v="401"/>
    <x v="9"/>
    <x v="0"/>
    <x v="0"/>
    <x v="568"/>
    <x v="5"/>
    <x v="1"/>
    <x v="568"/>
    <x v="304"/>
    <x v="1"/>
    <x v="3"/>
    <x v="568"/>
    <x v="4"/>
    <x v="2"/>
    <x v="4"/>
    <x v="567"/>
  </r>
  <r>
    <x v="569"/>
    <x v="29"/>
    <x v="9"/>
    <x v="2"/>
    <x v="0"/>
    <x v="569"/>
    <x v="6"/>
    <x v="0"/>
    <x v="569"/>
    <x v="364"/>
    <x v="4"/>
    <x v="0"/>
    <x v="569"/>
    <x v="2"/>
    <x v="0"/>
    <x v="0"/>
    <x v="568"/>
  </r>
  <r>
    <x v="570"/>
    <x v="431"/>
    <x v="8"/>
    <x v="1"/>
    <x v="2"/>
    <x v="570"/>
    <x v="6"/>
    <x v="1"/>
    <x v="570"/>
    <x v="108"/>
    <x v="0"/>
    <x v="4"/>
    <x v="570"/>
    <x v="7"/>
    <x v="0"/>
    <x v="0"/>
    <x v="569"/>
  </r>
  <r>
    <x v="571"/>
    <x v="432"/>
    <x v="7"/>
    <x v="1"/>
    <x v="2"/>
    <x v="571"/>
    <x v="2"/>
    <x v="2"/>
    <x v="571"/>
    <x v="369"/>
    <x v="3"/>
    <x v="2"/>
    <x v="571"/>
    <x v="7"/>
    <x v="3"/>
    <x v="4"/>
    <x v="570"/>
  </r>
  <r>
    <x v="572"/>
    <x v="433"/>
    <x v="7"/>
    <x v="0"/>
    <x v="2"/>
    <x v="572"/>
    <x v="4"/>
    <x v="2"/>
    <x v="572"/>
    <x v="312"/>
    <x v="4"/>
    <x v="2"/>
    <x v="572"/>
    <x v="4"/>
    <x v="3"/>
    <x v="3"/>
    <x v="571"/>
  </r>
  <r>
    <x v="573"/>
    <x v="261"/>
    <x v="0"/>
    <x v="0"/>
    <x v="0"/>
    <x v="573"/>
    <x v="3"/>
    <x v="0"/>
    <x v="573"/>
    <x v="101"/>
    <x v="0"/>
    <x v="1"/>
    <x v="573"/>
    <x v="0"/>
    <x v="2"/>
    <x v="0"/>
    <x v="572"/>
  </r>
  <r>
    <x v="574"/>
    <x v="434"/>
    <x v="0"/>
    <x v="1"/>
    <x v="0"/>
    <x v="574"/>
    <x v="3"/>
    <x v="0"/>
    <x v="574"/>
    <x v="3"/>
    <x v="2"/>
    <x v="4"/>
    <x v="574"/>
    <x v="5"/>
    <x v="1"/>
    <x v="2"/>
    <x v="573"/>
  </r>
  <r>
    <x v="575"/>
    <x v="323"/>
    <x v="5"/>
    <x v="0"/>
    <x v="3"/>
    <x v="575"/>
    <x v="3"/>
    <x v="0"/>
    <x v="575"/>
    <x v="415"/>
    <x v="3"/>
    <x v="2"/>
    <x v="575"/>
    <x v="0"/>
    <x v="0"/>
    <x v="4"/>
    <x v="574"/>
  </r>
  <r>
    <x v="576"/>
    <x v="382"/>
    <x v="4"/>
    <x v="1"/>
    <x v="3"/>
    <x v="576"/>
    <x v="5"/>
    <x v="0"/>
    <x v="576"/>
    <x v="300"/>
    <x v="4"/>
    <x v="4"/>
    <x v="576"/>
    <x v="2"/>
    <x v="2"/>
    <x v="3"/>
    <x v="575"/>
  </r>
  <r>
    <x v="577"/>
    <x v="55"/>
    <x v="0"/>
    <x v="0"/>
    <x v="0"/>
    <x v="577"/>
    <x v="2"/>
    <x v="3"/>
    <x v="577"/>
    <x v="78"/>
    <x v="1"/>
    <x v="2"/>
    <x v="577"/>
    <x v="6"/>
    <x v="3"/>
    <x v="4"/>
    <x v="576"/>
  </r>
  <r>
    <x v="578"/>
    <x v="84"/>
    <x v="3"/>
    <x v="1"/>
    <x v="2"/>
    <x v="578"/>
    <x v="0"/>
    <x v="0"/>
    <x v="578"/>
    <x v="20"/>
    <x v="2"/>
    <x v="3"/>
    <x v="578"/>
    <x v="5"/>
    <x v="0"/>
    <x v="0"/>
    <x v="577"/>
  </r>
  <r>
    <x v="579"/>
    <x v="243"/>
    <x v="5"/>
    <x v="0"/>
    <x v="3"/>
    <x v="579"/>
    <x v="2"/>
    <x v="1"/>
    <x v="579"/>
    <x v="269"/>
    <x v="1"/>
    <x v="0"/>
    <x v="579"/>
    <x v="4"/>
    <x v="3"/>
    <x v="3"/>
    <x v="578"/>
  </r>
  <r>
    <x v="580"/>
    <x v="414"/>
    <x v="7"/>
    <x v="0"/>
    <x v="2"/>
    <x v="580"/>
    <x v="0"/>
    <x v="1"/>
    <x v="580"/>
    <x v="416"/>
    <x v="2"/>
    <x v="3"/>
    <x v="580"/>
    <x v="4"/>
    <x v="0"/>
    <x v="0"/>
    <x v="579"/>
  </r>
  <r>
    <x v="581"/>
    <x v="435"/>
    <x v="7"/>
    <x v="1"/>
    <x v="2"/>
    <x v="581"/>
    <x v="5"/>
    <x v="2"/>
    <x v="581"/>
    <x v="15"/>
    <x v="1"/>
    <x v="3"/>
    <x v="581"/>
    <x v="9"/>
    <x v="2"/>
    <x v="1"/>
    <x v="580"/>
  </r>
  <r>
    <x v="582"/>
    <x v="436"/>
    <x v="2"/>
    <x v="1"/>
    <x v="0"/>
    <x v="582"/>
    <x v="2"/>
    <x v="4"/>
    <x v="582"/>
    <x v="317"/>
    <x v="3"/>
    <x v="0"/>
    <x v="582"/>
    <x v="2"/>
    <x v="3"/>
    <x v="4"/>
    <x v="581"/>
  </r>
  <r>
    <x v="583"/>
    <x v="437"/>
    <x v="5"/>
    <x v="2"/>
    <x v="3"/>
    <x v="583"/>
    <x v="3"/>
    <x v="4"/>
    <x v="583"/>
    <x v="31"/>
    <x v="3"/>
    <x v="3"/>
    <x v="583"/>
    <x v="4"/>
    <x v="2"/>
    <x v="0"/>
    <x v="582"/>
  </r>
  <r>
    <x v="584"/>
    <x v="438"/>
    <x v="9"/>
    <x v="2"/>
    <x v="0"/>
    <x v="584"/>
    <x v="3"/>
    <x v="3"/>
    <x v="584"/>
    <x v="417"/>
    <x v="1"/>
    <x v="3"/>
    <x v="584"/>
    <x v="5"/>
    <x v="0"/>
    <x v="4"/>
    <x v="583"/>
  </r>
  <r>
    <x v="585"/>
    <x v="38"/>
    <x v="1"/>
    <x v="0"/>
    <x v="1"/>
    <x v="585"/>
    <x v="2"/>
    <x v="3"/>
    <x v="585"/>
    <x v="299"/>
    <x v="4"/>
    <x v="2"/>
    <x v="585"/>
    <x v="2"/>
    <x v="3"/>
    <x v="4"/>
    <x v="584"/>
  </r>
  <r>
    <x v="586"/>
    <x v="337"/>
    <x v="7"/>
    <x v="1"/>
    <x v="2"/>
    <x v="586"/>
    <x v="0"/>
    <x v="2"/>
    <x v="586"/>
    <x v="418"/>
    <x v="3"/>
    <x v="2"/>
    <x v="586"/>
    <x v="3"/>
    <x v="1"/>
    <x v="1"/>
    <x v="585"/>
  </r>
  <r>
    <x v="587"/>
    <x v="439"/>
    <x v="5"/>
    <x v="0"/>
    <x v="3"/>
    <x v="587"/>
    <x v="0"/>
    <x v="0"/>
    <x v="587"/>
    <x v="419"/>
    <x v="3"/>
    <x v="3"/>
    <x v="587"/>
    <x v="8"/>
    <x v="1"/>
    <x v="0"/>
    <x v="586"/>
  </r>
  <r>
    <x v="588"/>
    <x v="440"/>
    <x v="8"/>
    <x v="1"/>
    <x v="2"/>
    <x v="588"/>
    <x v="0"/>
    <x v="3"/>
    <x v="588"/>
    <x v="55"/>
    <x v="2"/>
    <x v="3"/>
    <x v="588"/>
    <x v="6"/>
    <x v="2"/>
    <x v="4"/>
    <x v="587"/>
  </r>
  <r>
    <x v="589"/>
    <x v="441"/>
    <x v="2"/>
    <x v="2"/>
    <x v="0"/>
    <x v="589"/>
    <x v="5"/>
    <x v="1"/>
    <x v="589"/>
    <x v="420"/>
    <x v="4"/>
    <x v="3"/>
    <x v="589"/>
    <x v="1"/>
    <x v="1"/>
    <x v="1"/>
    <x v="588"/>
  </r>
  <r>
    <x v="590"/>
    <x v="442"/>
    <x v="11"/>
    <x v="0"/>
    <x v="1"/>
    <x v="590"/>
    <x v="4"/>
    <x v="1"/>
    <x v="590"/>
    <x v="421"/>
    <x v="3"/>
    <x v="2"/>
    <x v="590"/>
    <x v="4"/>
    <x v="2"/>
    <x v="2"/>
    <x v="589"/>
  </r>
  <r>
    <x v="591"/>
    <x v="249"/>
    <x v="7"/>
    <x v="1"/>
    <x v="2"/>
    <x v="591"/>
    <x v="5"/>
    <x v="2"/>
    <x v="591"/>
    <x v="422"/>
    <x v="3"/>
    <x v="0"/>
    <x v="591"/>
    <x v="1"/>
    <x v="1"/>
    <x v="1"/>
    <x v="590"/>
  </r>
  <r>
    <x v="592"/>
    <x v="234"/>
    <x v="6"/>
    <x v="1"/>
    <x v="3"/>
    <x v="592"/>
    <x v="1"/>
    <x v="4"/>
    <x v="592"/>
    <x v="393"/>
    <x v="1"/>
    <x v="2"/>
    <x v="592"/>
    <x v="4"/>
    <x v="2"/>
    <x v="4"/>
    <x v="591"/>
  </r>
  <r>
    <x v="593"/>
    <x v="443"/>
    <x v="1"/>
    <x v="0"/>
    <x v="1"/>
    <x v="593"/>
    <x v="0"/>
    <x v="2"/>
    <x v="593"/>
    <x v="125"/>
    <x v="3"/>
    <x v="0"/>
    <x v="593"/>
    <x v="4"/>
    <x v="1"/>
    <x v="3"/>
    <x v="592"/>
  </r>
  <r>
    <x v="594"/>
    <x v="444"/>
    <x v="2"/>
    <x v="1"/>
    <x v="0"/>
    <x v="594"/>
    <x v="1"/>
    <x v="0"/>
    <x v="594"/>
    <x v="128"/>
    <x v="2"/>
    <x v="1"/>
    <x v="594"/>
    <x v="0"/>
    <x v="2"/>
    <x v="2"/>
    <x v="593"/>
  </r>
  <r>
    <x v="595"/>
    <x v="445"/>
    <x v="0"/>
    <x v="2"/>
    <x v="0"/>
    <x v="595"/>
    <x v="4"/>
    <x v="1"/>
    <x v="595"/>
    <x v="423"/>
    <x v="1"/>
    <x v="4"/>
    <x v="595"/>
    <x v="0"/>
    <x v="0"/>
    <x v="2"/>
    <x v="594"/>
  </r>
  <r>
    <x v="596"/>
    <x v="439"/>
    <x v="5"/>
    <x v="0"/>
    <x v="3"/>
    <x v="596"/>
    <x v="6"/>
    <x v="4"/>
    <x v="596"/>
    <x v="424"/>
    <x v="0"/>
    <x v="2"/>
    <x v="596"/>
    <x v="0"/>
    <x v="1"/>
    <x v="3"/>
    <x v="595"/>
  </r>
  <r>
    <x v="597"/>
    <x v="446"/>
    <x v="7"/>
    <x v="1"/>
    <x v="2"/>
    <x v="597"/>
    <x v="6"/>
    <x v="1"/>
    <x v="597"/>
    <x v="425"/>
    <x v="3"/>
    <x v="1"/>
    <x v="597"/>
    <x v="4"/>
    <x v="3"/>
    <x v="2"/>
    <x v="596"/>
  </r>
  <r>
    <x v="598"/>
    <x v="447"/>
    <x v="6"/>
    <x v="1"/>
    <x v="3"/>
    <x v="598"/>
    <x v="6"/>
    <x v="0"/>
    <x v="598"/>
    <x v="283"/>
    <x v="2"/>
    <x v="4"/>
    <x v="598"/>
    <x v="3"/>
    <x v="2"/>
    <x v="3"/>
    <x v="597"/>
  </r>
  <r>
    <x v="599"/>
    <x v="30"/>
    <x v="5"/>
    <x v="0"/>
    <x v="3"/>
    <x v="599"/>
    <x v="3"/>
    <x v="4"/>
    <x v="599"/>
    <x v="329"/>
    <x v="1"/>
    <x v="1"/>
    <x v="599"/>
    <x v="4"/>
    <x v="1"/>
    <x v="3"/>
    <x v="598"/>
  </r>
  <r>
    <x v="600"/>
    <x v="68"/>
    <x v="4"/>
    <x v="0"/>
    <x v="3"/>
    <x v="600"/>
    <x v="4"/>
    <x v="2"/>
    <x v="600"/>
    <x v="223"/>
    <x v="3"/>
    <x v="1"/>
    <x v="600"/>
    <x v="9"/>
    <x v="1"/>
    <x v="3"/>
    <x v="599"/>
  </r>
  <r>
    <x v="601"/>
    <x v="276"/>
    <x v="3"/>
    <x v="0"/>
    <x v="2"/>
    <x v="601"/>
    <x v="0"/>
    <x v="0"/>
    <x v="601"/>
    <x v="426"/>
    <x v="2"/>
    <x v="0"/>
    <x v="601"/>
    <x v="8"/>
    <x v="2"/>
    <x v="1"/>
    <x v="600"/>
  </r>
  <r>
    <x v="602"/>
    <x v="448"/>
    <x v="9"/>
    <x v="1"/>
    <x v="0"/>
    <x v="482"/>
    <x v="2"/>
    <x v="3"/>
    <x v="602"/>
    <x v="372"/>
    <x v="1"/>
    <x v="4"/>
    <x v="602"/>
    <x v="3"/>
    <x v="0"/>
    <x v="0"/>
    <x v="601"/>
  </r>
  <r>
    <x v="603"/>
    <x v="449"/>
    <x v="3"/>
    <x v="1"/>
    <x v="2"/>
    <x v="602"/>
    <x v="2"/>
    <x v="2"/>
    <x v="603"/>
    <x v="427"/>
    <x v="4"/>
    <x v="4"/>
    <x v="603"/>
    <x v="4"/>
    <x v="0"/>
    <x v="4"/>
    <x v="602"/>
  </r>
  <r>
    <x v="604"/>
    <x v="450"/>
    <x v="5"/>
    <x v="2"/>
    <x v="3"/>
    <x v="603"/>
    <x v="3"/>
    <x v="4"/>
    <x v="604"/>
    <x v="251"/>
    <x v="0"/>
    <x v="3"/>
    <x v="604"/>
    <x v="5"/>
    <x v="2"/>
    <x v="3"/>
    <x v="603"/>
  </r>
  <r>
    <x v="605"/>
    <x v="451"/>
    <x v="4"/>
    <x v="1"/>
    <x v="3"/>
    <x v="604"/>
    <x v="0"/>
    <x v="1"/>
    <x v="550"/>
    <x v="428"/>
    <x v="0"/>
    <x v="0"/>
    <x v="605"/>
    <x v="4"/>
    <x v="0"/>
    <x v="1"/>
    <x v="604"/>
  </r>
  <r>
    <x v="606"/>
    <x v="119"/>
    <x v="7"/>
    <x v="1"/>
    <x v="2"/>
    <x v="605"/>
    <x v="5"/>
    <x v="4"/>
    <x v="605"/>
    <x v="204"/>
    <x v="4"/>
    <x v="1"/>
    <x v="606"/>
    <x v="1"/>
    <x v="0"/>
    <x v="4"/>
    <x v="605"/>
  </r>
  <r>
    <x v="607"/>
    <x v="133"/>
    <x v="4"/>
    <x v="2"/>
    <x v="3"/>
    <x v="606"/>
    <x v="4"/>
    <x v="3"/>
    <x v="606"/>
    <x v="429"/>
    <x v="4"/>
    <x v="0"/>
    <x v="607"/>
    <x v="5"/>
    <x v="0"/>
    <x v="4"/>
    <x v="606"/>
  </r>
  <r>
    <x v="608"/>
    <x v="25"/>
    <x v="10"/>
    <x v="1"/>
    <x v="1"/>
    <x v="607"/>
    <x v="5"/>
    <x v="0"/>
    <x v="607"/>
    <x v="430"/>
    <x v="1"/>
    <x v="1"/>
    <x v="608"/>
    <x v="5"/>
    <x v="0"/>
    <x v="0"/>
    <x v="607"/>
  </r>
  <r>
    <x v="609"/>
    <x v="109"/>
    <x v="0"/>
    <x v="2"/>
    <x v="0"/>
    <x v="608"/>
    <x v="3"/>
    <x v="4"/>
    <x v="608"/>
    <x v="431"/>
    <x v="4"/>
    <x v="2"/>
    <x v="609"/>
    <x v="3"/>
    <x v="3"/>
    <x v="1"/>
    <x v="608"/>
  </r>
  <r>
    <x v="610"/>
    <x v="452"/>
    <x v="5"/>
    <x v="1"/>
    <x v="3"/>
    <x v="609"/>
    <x v="6"/>
    <x v="0"/>
    <x v="609"/>
    <x v="50"/>
    <x v="4"/>
    <x v="2"/>
    <x v="610"/>
    <x v="0"/>
    <x v="1"/>
    <x v="3"/>
    <x v="609"/>
  </r>
  <r>
    <x v="611"/>
    <x v="453"/>
    <x v="6"/>
    <x v="0"/>
    <x v="3"/>
    <x v="610"/>
    <x v="6"/>
    <x v="2"/>
    <x v="610"/>
    <x v="425"/>
    <x v="3"/>
    <x v="2"/>
    <x v="611"/>
    <x v="1"/>
    <x v="3"/>
    <x v="1"/>
    <x v="610"/>
  </r>
  <r>
    <x v="612"/>
    <x v="454"/>
    <x v="5"/>
    <x v="0"/>
    <x v="3"/>
    <x v="611"/>
    <x v="3"/>
    <x v="4"/>
    <x v="611"/>
    <x v="268"/>
    <x v="3"/>
    <x v="1"/>
    <x v="612"/>
    <x v="2"/>
    <x v="2"/>
    <x v="4"/>
    <x v="611"/>
  </r>
  <r>
    <x v="613"/>
    <x v="36"/>
    <x v="8"/>
    <x v="1"/>
    <x v="2"/>
    <x v="612"/>
    <x v="5"/>
    <x v="1"/>
    <x v="612"/>
    <x v="432"/>
    <x v="1"/>
    <x v="2"/>
    <x v="613"/>
    <x v="4"/>
    <x v="3"/>
    <x v="2"/>
    <x v="612"/>
  </r>
  <r>
    <x v="614"/>
    <x v="455"/>
    <x v="9"/>
    <x v="1"/>
    <x v="0"/>
    <x v="613"/>
    <x v="1"/>
    <x v="2"/>
    <x v="613"/>
    <x v="111"/>
    <x v="3"/>
    <x v="1"/>
    <x v="614"/>
    <x v="1"/>
    <x v="2"/>
    <x v="1"/>
    <x v="613"/>
  </r>
  <r>
    <x v="615"/>
    <x v="456"/>
    <x v="9"/>
    <x v="2"/>
    <x v="0"/>
    <x v="614"/>
    <x v="0"/>
    <x v="0"/>
    <x v="614"/>
    <x v="251"/>
    <x v="2"/>
    <x v="2"/>
    <x v="615"/>
    <x v="8"/>
    <x v="3"/>
    <x v="3"/>
    <x v="614"/>
  </r>
  <r>
    <x v="616"/>
    <x v="457"/>
    <x v="3"/>
    <x v="1"/>
    <x v="2"/>
    <x v="615"/>
    <x v="2"/>
    <x v="4"/>
    <x v="615"/>
    <x v="433"/>
    <x v="2"/>
    <x v="1"/>
    <x v="616"/>
    <x v="0"/>
    <x v="0"/>
    <x v="3"/>
    <x v="615"/>
  </r>
  <r>
    <x v="617"/>
    <x v="458"/>
    <x v="2"/>
    <x v="1"/>
    <x v="0"/>
    <x v="616"/>
    <x v="2"/>
    <x v="4"/>
    <x v="616"/>
    <x v="434"/>
    <x v="1"/>
    <x v="1"/>
    <x v="617"/>
    <x v="4"/>
    <x v="2"/>
    <x v="1"/>
    <x v="616"/>
  </r>
  <r>
    <x v="618"/>
    <x v="459"/>
    <x v="11"/>
    <x v="1"/>
    <x v="1"/>
    <x v="617"/>
    <x v="2"/>
    <x v="2"/>
    <x v="617"/>
    <x v="435"/>
    <x v="0"/>
    <x v="2"/>
    <x v="618"/>
    <x v="3"/>
    <x v="2"/>
    <x v="0"/>
    <x v="617"/>
  </r>
  <r>
    <x v="619"/>
    <x v="424"/>
    <x v="10"/>
    <x v="1"/>
    <x v="1"/>
    <x v="618"/>
    <x v="5"/>
    <x v="2"/>
    <x v="618"/>
    <x v="373"/>
    <x v="3"/>
    <x v="4"/>
    <x v="619"/>
    <x v="7"/>
    <x v="2"/>
    <x v="1"/>
    <x v="618"/>
  </r>
  <r>
    <x v="620"/>
    <x v="460"/>
    <x v="9"/>
    <x v="1"/>
    <x v="0"/>
    <x v="619"/>
    <x v="2"/>
    <x v="4"/>
    <x v="619"/>
    <x v="436"/>
    <x v="0"/>
    <x v="2"/>
    <x v="620"/>
    <x v="2"/>
    <x v="0"/>
    <x v="1"/>
    <x v="619"/>
  </r>
  <r>
    <x v="621"/>
    <x v="356"/>
    <x v="3"/>
    <x v="0"/>
    <x v="2"/>
    <x v="620"/>
    <x v="1"/>
    <x v="0"/>
    <x v="620"/>
    <x v="72"/>
    <x v="2"/>
    <x v="3"/>
    <x v="621"/>
    <x v="0"/>
    <x v="3"/>
    <x v="4"/>
    <x v="620"/>
  </r>
  <r>
    <x v="622"/>
    <x v="461"/>
    <x v="7"/>
    <x v="1"/>
    <x v="2"/>
    <x v="621"/>
    <x v="6"/>
    <x v="0"/>
    <x v="621"/>
    <x v="35"/>
    <x v="2"/>
    <x v="2"/>
    <x v="622"/>
    <x v="0"/>
    <x v="2"/>
    <x v="3"/>
    <x v="621"/>
  </r>
  <r>
    <x v="623"/>
    <x v="379"/>
    <x v="5"/>
    <x v="0"/>
    <x v="3"/>
    <x v="622"/>
    <x v="4"/>
    <x v="4"/>
    <x v="622"/>
    <x v="437"/>
    <x v="3"/>
    <x v="1"/>
    <x v="623"/>
    <x v="4"/>
    <x v="1"/>
    <x v="0"/>
    <x v="622"/>
  </r>
  <r>
    <x v="624"/>
    <x v="462"/>
    <x v="0"/>
    <x v="1"/>
    <x v="0"/>
    <x v="623"/>
    <x v="2"/>
    <x v="0"/>
    <x v="623"/>
    <x v="300"/>
    <x v="0"/>
    <x v="3"/>
    <x v="624"/>
    <x v="5"/>
    <x v="2"/>
    <x v="2"/>
    <x v="623"/>
  </r>
  <r>
    <x v="625"/>
    <x v="463"/>
    <x v="11"/>
    <x v="0"/>
    <x v="1"/>
    <x v="624"/>
    <x v="2"/>
    <x v="2"/>
    <x v="624"/>
    <x v="438"/>
    <x v="2"/>
    <x v="4"/>
    <x v="625"/>
    <x v="9"/>
    <x v="3"/>
    <x v="2"/>
    <x v="624"/>
  </r>
  <r>
    <x v="626"/>
    <x v="417"/>
    <x v="9"/>
    <x v="1"/>
    <x v="0"/>
    <x v="625"/>
    <x v="2"/>
    <x v="1"/>
    <x v="625"/>
    <x v="335"/>
    <x v="1"/>
    <x v="0"/>
    <x v="626"/>
    <x v="3"/>
    <x v="0"/>
    <x v="1"/>
    <x v="625"/>
  </r>
  <r>
    <x v="627"/>
    <x v="464"/>
    <x v="1"/>
    <x v="0"/>
    <x v="1"/>
    <x v="626"/>
    <x v="3"/>
    <x v="4"/>
    <x v="626"/>
    <x v="402"/>
    <x v="1"/>
    <x v="2"/>
    <x v="627"/>
    <x v="4"/>
    <x v="1"/>
    <x v="2"/>
    <x v="626"/>
  </r>
  <r>
    <x v="628"/>
    <x v="465"/>
    <x v="9"/>
    <x v="0"/>
    <x v="0"/>
    <x v="627"/>
    <x v="4"/>
    <x v="0"/>
    <x v="627"/>
    <x v="439"/>
    <x v="4"/>
    <x v="4"/>
    <x v="628"/>
    <x v="2"/>
    <x v="1"/>
    <x v="1"/>
    <x v="627"/>
  </r>
  <r>
    <x v="629"/>
    <x v="466"/>
    <x v="10"/>
    <x v="0"/>
    <x v="1"/>
    <x v="628"/>
    <x v="1"/>
    <x v="4"/>
    <x v="628"/>
    <x v="440"/>
    <x v="1"/>
    <x v="4"/>
    <x v="629"/>
    <x v="1"/>
    <x v="2"/>
    <x v="1"/>
    <x v="628"/>
  </r>
  <r>
    <x v="630"/>
    <x v="467"/>
    <x v="5"/>
    <x v="0"/>
    <x v="3"/>
    <x v="629"/>
    <x v="0"/>
    <x v="0"/>
    <x v="629"/>
    <x v="441"/>
    <x v="0"/>
    <x v="1"/>
    <x v="630"/>
    <x v="8"/>
    <x v="2"/>
    <x v="0"/>
    <x v="629"/>
  </r>
  <r>
    <x v="631"/>
    <x v="169"/>
    <x v="1"/>
    <x v="1"/>
    <x v="1"/>
    <x v="630"/>
    <x v="3"/>
    <x v="4"/>
    <x v="630"/>
    <x v="235"/>
    <x v="3"/>
    <x v="2"/>
    <x v="631"/>
    <x v="3"/>
    <x v="3"/>
    <x v="1"/>
    <x v="630"/>
  </r>
  <r>
    <x v="632"/>
    <x v="468"/>
    <x v="4"/>
    <x v="0"/>
    <x v="3"/>
    <x v="631"/>
    <x v="5"/>
    <x v="0"/>
    <x v="631"/>
    <x v="219"/>
    <x v="3"/>
    <x v="3"/>
    <x v="632"/>
    <x v="0"/>
    <x v="3"/>
    <x v="3"/>
    <x v="631"/>
  </r>
  <r>
    <x v="633"/>
    <x v="294"/>
    <x v="6"/>
    <x v="1"/>
    <x v="3"/>
    <x v="632"/>
    <x v="5"/>
    <x v="0"/>
    <x v="632"/>
    <x v="318"/>
    <x v="3"/>
    <x v="1"/>
    <x v="633"/>
    <x v="3"/>
    <x v="3"/>
    <x v="0"/>
    <x v="632"/>
  </r>
  <r>
    <x v="634"/>
    <x v="313"/>
    <x v="6"/>
    <x v="1"/>
    <x v="3"/>
    <x v="633"/>
    <x v="4"/>
    <x v="1"/>
    <x v="633"/>
    <x v="442"/>
    <x v="3"/>
    <x v="3"/>
    <x v="634"/>
    <x v="7"/>
    <x v="3"/>
    <x v="1"/>
    <x v="633"/>
  </r>
  <r>
    <x v="635"/>
    <x v="141"/>
    <x v="8"/>
    <x v="0"/>
    <x v="2"/>
    <x v="634"/>
    <x v="3"/>
    <x v="4"/>
    <x v="634"/>
    <x v="48"/>
    <x v="4"/>
    <x v="2"/>
    <x v="635"/>
    <x v="5"/>
    <x v="2"/>
    <x v="3"/>
    <x v="634"/>
  </r>
  <r>
    <x v="636"/>
    <x v="469"/>
    <x v="3"/>
    <x v="0"/>
    <x v="2"/>
    <x v="635"/>
    <x v="5"/>
    <x v="3"/>
    <x v="635"/>
    <x v="154"/>
    <x v="4"/>
    <x v="1"/>
    <x v="636"/>
    <x v="0"/>
    <x v="3"/>
    <x v="3"/>
    <x v="635"/>
  </r>
  <r>
    <x v="637"/>
    <x v="470"/>
    <x v="11"/>
    <x v="1"/>
    <x v="1"/>
    <x v="636"/>
    <x v="3"/>
    <x v="3"/>
    <x v="636"/>
    <x v="443"/>
    <x v="3"/>
    <x v="0"/>
    <x v="637"/>
    <x v="0"/>
    <x v="3"/>
    <x v="1"/>
    <x v="636"/>
  </r>
  <r>
    <x v="638"/>
    <x v="3"/>
    <x v="3"/>
    <x v="0"/>
    <x v="2"/>
    <x v="637"/>
    <x v="2"/>
    <x v="3"/>
    <x v="637"/>
    <x v="444"/>
    <x v="1"/>
    <x v="3"/>
    <x v="638"/>
    <x v="6"/>
    <x v="3"/>
    <x v="2"/>
    <x v="637"/>
  </r>
  <r>
    <x v="639"/>
    <x v="325"/>
    <x v="0"/>
    <x v="0"/>
    <x v="0"/>
    <x v="638"/>
    <x v="3"/>
    <x v="2"/>
    <x v="638"/>
    <x v="362"/>
    <x v="4"/>
    <x v="1"/>
    <x v="639"/>
    <x v="3"/>
    <x v="2"/>
    <x v="1"/>
    <x v="638"/>
  </r>
  <r>
    <x v="640"/>
    <x v="2"/>
    <x v="2"/>
    <x v="1"/>
    <x v="0"/>
    <x v="639"/>
    <x v="3"/>
    <x v="1"/>
    <x v="639"/>
    <x v="97"/>
    <x v="3"/>
    <x v="2"/>
    <x v="640"/>
    <x v="5"/>
    <x v="0"/>
    <x v="1"/>
    <x v="639"/>
  </r>
  <r>
    <x v="641"/>
    <x v="471"/>
    <x v="5"/>
    <x v="1"/>
    <x v="3"/>
    <x v="640"/>
    <x v="4"/>
    <x v="3"/>
    <x v="640"/>
    <x v="217"/>
    <x v="0"/>
    <x v="4"/>
    <x v="641"/>
    <x v="6"/>
    <x v="3"/>
    <x v="4"/>
    <x v="640"/>
  </r>
  <r>
    <x v="642"/>
    <x v="472"/>
    <x v="6"/>
    <x v="1"/>
    <x v="3"/>
    <x v="641"/>
    <x v="3"/>
    <x v="0"/>
    <x v="641"/>
    <x v="445"/>
    <x v="2"/>
    <x v="1"/>
    <x v="642"/>
    <x v="0"/>
    <x v="1"/>
    <x v="2"/>
    <x v="641"/>
  </r>
  <r>
    <x v="643"/>
    <x v="360"/>
    <x v="1"/>
    <x v="1"/>
    <x v="1"/>
    <x v="642"/>
    <x v="5"/>
    <x v="2"/>
    <x v="642"/>
    <x v="97"/>
    <x v="4"/>
    <x v="1"/>
    <x v="643"/>
    <x v="4"/>
    <x v="0"/>
    <x v="1"/>
    <x v="642"/>
  </r>
  <r>
    <x v="644"/>
    <x v="375"/>
    <x v="7"/>
    <x v="0"/>
    <x v="2"/>
    <x v="643"/>
    <x v="3"/>
    <x v="1"/>
    <x v="643"/>
    <x v="446"/>
    <x v="4"/>
    <x v="0"/>
    <x v="644"/>
    <x v="7"/>
    <x v="3"/>
    <x v="2"/>
    <x v="643"/>
  </r>
  <r>
    <x v="645"/>
    <x v="315"/>
    <x v="0"/>
    <x v="0"/>
    <x v="0"/>
    <x v="644"/>
    <x v="5"/>
    <x v="1"/>
    <x v="644"/>
    <x v="115"/>
    <x v="2"/>
    <x v="1"/>
    <x v="645"/>
    <x v="4"/>
    <x v="0"/>
    <x v="3"/>
    <x v="644"/>
  </r>
  <r>
    <x v="646"/>
    <x v="122"/>
    <x v="3"/>
    <x v="0"/>
    <x v="2"/>
    <x v="645"/>
    <x v="3"/>
    <x v="3"/>
    <x v="645"/>
    <x v="447"/>
    <x v="0"/>
    <x v="0"/>
    <x v="646"/>
    <x v="4"/>
    <x v="0"/>
    <x v="4"/>
    <x v="645"/>
  </r>
  <r>
    <x v="647"/>
    <x v="473"/>
    <x v="6"/>
    <x v="2"/>
    <x v="3"/>
    <x v="646"/>
    <x v="6"/>
    <x v="4"/>
    <x v="646"/>
    <x v="148"/>
    <x v="4"/>
    <x v="2"/>
    <x v="647"/>
    <x v="0"/>
    <x v="1"/>
    <x v="4"/>
    <x v="646"/>
  </r>
  <r>
    <x v="648"/>
    <x v="474"/>
    <x v="0"/>
    <x v="2"/>
    <x v="0"/>
    <x v="647"/>
    <x v="0"/>
    <x v="1"/>
    <x v="647"/>
    <x v="448"/>
    <x v="1"/>
    <x v="3"/>
    <x v="648"/>
    <x v="1"/>
    <x v="3"/>
    <x v="1"/>
    <x v="647"/>
  </r>
  <r>
    <x v="649"/>
    <x v="475"/>
    <x v="8"/>
    <x v="0"/>
    <x v="2"/>
    <x v="648"/>
    <x v="0"/>
    <x v="1"/>
    <x v="648"/>
    <x v="222"/>
    <x v="0"/>
    <x v="2"/>
    <x v="649"/>
    <x v="0"/>
    <x v="1"/>
    <x v="2"/>
    <x v="648"/>
  </r>
  <r>
    <x v="650"/>
    <x v="419"/>
    <x v="4"/>
    <x v="0"/>
    <x v="3"/>
    <x v="649"/>
    <x v="6"/>
    <x v="1"/>
    <x v="649"/>
    <x v="449"/>
    <x v="3"/>
    <x v="3"/>
    <x v="650"/>
    <x v="0"/>
    <x v="0"/>
    <x v="2"/>
    <x v="649"/>
  </r>
  <r>
    <x v="651"/>
    <x v="476"/>
    <x v="7"/>
    <x v="1"/>
    <x v="2"/>
    <x v="650"/>
    <x v="3"/>
    <x v="4"/>
    <x v="650"/>
    <x v="174"/>
    <x v="0"/>
    <x v="4"/>
    <x v="651"/>
    <x v="3"/>
    <x v="2"/>
    <x v="4"/>
    <x v="650"/>
  </r>
  <r>
    <x v="652"/>
    <x v="477"/>
    <x v="5"/>
    <x v="1"/>
    <x v="3"/>
    <x v="651"/>
    <x v="3"/>
    <x v="0"/>
    <x v="651"/>
    <x v="450"/>
    <x v="1"/>
    <x v="0"/>
    <x v="652"/>
    <x v="2"/>
    <x v="1"/>
    <x v="0"/>
    <x v="651"/>
  </r>
  <r>
    <x v="653"/>
    <x v="402"/>
    <x v="2"/>
    <x v="1"/>
    <x v="0"/>
    <x v="652"/>
    <x v="4"/>
    <x v="4"/>
    <x v="652"/>
    <x v="300"/>
    <x v="2"/>
    <x v="0"/>
    <x v="653"/>
    <x v="5"/>
    <x v="3"/>
    <x v="4"/>
    <x v="652"/>
  </r>
  <r>
    <x v="654"/>
    <x v="439"/>
    <x v="5"/>
    <x v="0"/>
    <x v="3"/>
    <x v="653"/>
    <x v="2"/>
    <x v="4"/>
    <x v="653"/>
    <x v="451"/>
    <x v="0"/>
    <x v="2"/>
    <x v="654"/>
    <x v="2"/>
    <x v="2"/>
    <x v="0"/>
    <x v="653"/>
  </r>
  <r>
    <x v="655"/>
    <x v="369"/>
    <x v="9"/>
    <x v="0"/>
    <x v="0"/>
    <x v="654"/>
    <x v="3"/>
    <x v="1"/>
    <x v="654"/>
    <x v="348"/>
    <x v="0"/>
    <x v="1"/>
    <x v="655"/>
    <x v="4"/>
    <x v="3"/>
    <x v="2"/>
    <x v="654"/>
  </r>
  <r>
    <x v="656"/>
    <x v="343"/>
    <x v="0"/>
    <x v="1"/>
    <x v="0"/>
    <x v="655"/>
    <x v="0"/>
    <x v="1"/>
    <x v="655"/>
    <x v="452"/>
    <x v="3"/>
    <x v="0"/>
    <x v="656"/>
    <x v="0"/>
    <x v="0"/>
    <x v="3"/>
    <x v="655"/>
  </r>
  <r>
    <x v="657"/>
    <x v="478"/>
    <x v="8"/>
    <x v="0"/>
    <x v="2"/>
    <x v="656"/>
    <x v="2"/>
    <x v="3"/>
    <x v="656"/>
    <x v="275"/>
    <x v="4"/>
    <x v="1"/>
    <x v="657"/>
    <x v="5"/>
    <x v="1"/>
    <x v="0"/>
    <x v="656"/>
  </r>
  <r>
    <x v="658"/>
    <x v="479"/>
    <x v="6"/>
    <x v="2"/>
    <x v="3"/>
    <x v="657"/>
    <x v="4"/>
    <x v="1"/>
    <x v="657"/>
    <x v="247"/>
    <x v="3"/>
    <x v="2"/>
    <x v="658"/>
    <x v="4"/>
    <x v="0"/>
    <x v="4"/>
    <x v="657"/>
  </r>
  <r>
    <x v="659"/>
    <x v="480"/>
    <x v="3"/>
    <x v="1"/>
    <x v="2"/>
    <x v="658"/>
    <x v="1"/>
    <x v="1"/>
    <x v="658"/>
    <x v="403"/>
    <x v="3"/>
    <x v="3"/>
    <x v="659"/>
    <x v="4"/>
    <x v="3"/>
    <x v="2"/>
    <x v="658"/>
  </r>
  <r>
    <x v="660"/>
    <x v="481"/>
    <x v="3"/>
    <x v="1"/>
    <x v="2"/>
    <x v="659"/>
    <x v="3"/>
    <x v="1"/>
    <x v="659"/>
    <x v="133"/>
    <x v="0"/>
    <x v="0"/>
    <x v="660"/>
    <x v="0"/>
    <x v="3"/>
    <x v="3"/>
    <x v="659"/>
  </r>
  <r>
    <x v="661"/>
    <x v="252"/>
    <x v="2"/>
    <x v="2"/>
    <x v="0"/>
    <x v="660"/>
    <x v="2"/>
    <x v="4"/>
    <x v="660"/>
    <x v="453"/>
    <x v="0"/>
    <x v="1"/>
    <x v="661"/>
    <x v="5"/>
    <x v="1"/>
    <x v="4"/>
    <x v="660"/>
  </r>
  <r>
    <x v="662"/>
    <x v="423"/>
    <x v="0"/>
    <x v="0"/>
    <x v="0"/>
    <x v="661"/>
    <x v="5"/>
    <x v="4"/>
    <x v="661"/>
    <x v="454"/>
    <x v="4"/>
    <x v="2"/>
    <x v="662"/>
    <x v="1"/>
    <x v="2"/>
    <x v="3"/>
    <x v="661"/>
  </r>
  <r>
    <x v="663"/>
    <x v="116"/>
    <x v="6"/>
    <x v="1"/>
    <x v="3"/>
    <x v="662"/>
    <x v="0"/>
    <x v="2"/>
    <x v="662"/>
    <x v="390"/>
    <x v="0"/>
    <x v="1"/>
    <x v="663"/>
    <x v="5"/>
    <x v="1"/>
    <x v="0"/>
    <x v="662"/>
  </r>
  <r>
    <x v="664"/>
    <x v="36"/>
    <x v="8"/>
    <x v="1"/>
    <x v="2"/>
    <x v="236"/>
    <x v="5"/>
    <x v="3"/>
    <x v="663"/>
    <x v="455"/>
    <x v="4"/>
    <x v="0"/>
    <x v="664"/>
    <x v="3"/>
    <x v="2"/>
    <x v="3"/>
    <x v="663"/>
  </r>
  <r>
    <x v="665"/>
    <x v="468"/>
    <x v="4"/>
    <x v="0"/>
    <x v="3"/>
    <x v="663"/>
    <x v="2"/>
    <x v="3"/>
    <x v="664"/>
    <x v="456"/>
    <x v="1"/>
    <x v="0"/>
    <x v="665"/>
    <x v="5"/>
    <x v="3"/>
    <x v="4"/>
    <x v="664"/>
  </r>
  <r>
    <x v="666"/>
    <x v="169"/>
    <x v="1"/>
    <x v="1"/>
    <x v="1"/>
    <x v="664"/>
    <x v="0"/>
    <x v="3"/>
    <x v="665"/>
    <x v="430"/>
    <x v="2"/>
    <x v="1"/>
    <x v="666"/>
    <x v="4"/>
    <x v="2"/>
    <x v="2"/>
    <x v="665"/>
  </r>
  <r>
    <x v="667"/>
    <x v="71"/>
    <x v="4"/>
    <x v="0"/>
    <x v="3"/>
    <x v="665"/>
    <x v="5"/>
    <x v="2"/>
    <x v="342"/>
    <x v="180"/>
    <x v="3"/>
    <x v="4"/>
    <x v="667"/>
    <x v="3"/>
    <x v="0"/>
    <x v="2"/>
    <x v="666"/>
  </r>
  <r>
    <x v="668"/>
    <x v="482"/>
    <x v="10"/>
    <x v="1"/>
    <x v="1"/>
    <x v="666"/>
    <x v="0"/>
    <x v="1"/>
    <x v="666"/>
    <x v="139"/>
    <x v="4"/>
    <x v="2"/>
    <x v="668"/>
    <x v="1"/>
    <x v="3"/>
    <x v="3"/>
    <x v="667"/>
  </r>
  <r>
    <x v="669"/>
    <x v="483"/>
    <x v="2"/>
    <x v="0"/>
    <x v="0"/>
    <x v="667"/>
    <x v="6"/>
    <x v="2"/>
    <x v="667"/>
    <x v="457"/>
    <x v="0"/>
    <x v="1"/>
    <x v="669"/>
    <x v="3"/>
    <x v="2"/>
    <x v="1"/>
    <x v="668"/>
  </r>
  <r>
    <x v="670"/>
    <x v="171"/>
    <x v="6"/>
    <x v="1"/>
    <x v="3"/>
    <x v="668"/>
    <x v="6"/>
    <x v="3"/>
    <x v="668"/>
    <x v="300"/>
    <x v="2"/>
    <x v="4"/>
    <x v="670"/>
    <x v="2"/>
    <x v="1"/>
    <x v="4"/>
    <x v="669"/>
  </r>
  <r>
    <x v="671"/>
    <x v="484"/>
    <x v="5"/>
    <x v="0"/>
    <x v="3"/>
    <x v="669"/>
    <x v="3"/>
    <x v="0"/>
    <x v="669"/>
    <x v="144"/>
    <x v="3"/>
    <x v="1"/>
    <x v="671"/>
    <x v="0"/>
    <x v="3"/>
    <x v="4"/>
    <x v="670"/>
  </r>
  <r>
    <x v="672"/>
    <x v="221"/>
    <x v="4"/>
    <x v="0"/>
    <x v="3"/>
    <x v="670"/>
    <x v="1"/>
    <x v="1"/>
    <x v="670"/>
    <x v="433"/>
    <x v="0"/>
    <x v="0"/>
    <x v="672"/>
    <x v="7"/>
    <x v="0"/>
    <x v="0"/>
    <x v="671"/>
  </r>
  <r>
    <x v="673"/>
    <x v="485"/>
    <x v="2"/>
    <x v="0"/>
    <x v="0"/>
    <x v="671"/>
    <x v="2"/>
    <x v="1"/>
    <x v="671"/>
    <x v="102"/>
    <x v="2"/>
    <x v="3"/>
    <x v="673"/>
    <x v="0"/>
    <x v="0"/>
    <x v="2"/>
    <x v="672"/>
  </r>
  <r>
    <x v="674"/>
    <x v="486"/>
    <x v="0"/>
    <x v="1"/>
    <x v="0"/>
    <x v="672"/>
    <x v="5"/>
    <x v="3"/>
    <x v="672"/>
    <x v="458"/>
    <x v="3"/>
    <x v="3"/>
    <x v="674"/>
    <x v="6"/>
    <x v="0"/>
    <x v="3"/>
    <x v="673"/>
  </r>
  <r>
    <x v="675"/>
    <x v="76"/>
    <x v="1"/>
    <x v="1"/>
    <x v="1"/>
    <x v="673"/>
    <x v="6"/>
    <x v="4"/>
    <x v="673"/>
    <x v="397"/>
    <x v="0"/>
    <x v="4"/>
    <x v="675"/>
    <x v="3"/>
    <x v="2"/>
    <x v="2"/>
    <x v="674"/>
  </r>
  <r>
    <x v="676"/>
    <x v="127"/>
    <x v="5"/>
    <x v="2"/>
    <x v="3"/>
    <x v="674"/>
    <x v="5"/>
    <x v="1"/>
    <x v="674"/>
    <x v="454"/>
    <x v="2"/>
    <x v="1"/>
    <x v="676"/>
    <x v="4"/>
    <x v="1"/>
    <x v="0"/>
    <x v="675"/>
  </r>
  <r>
    <x v="677"/>
    <x v="487"/>
    <x v="6"/>
    <x v="2"/>
    <x v="3"/>
    <x v="675"/>
    <x v="2"/>
    <x v="0"/>
    <x v="675"/>
    <x v="12"/>
    <x v="1"/>
    <x v="1"/>
    <x v="677"/>
    <x v="0"/>
    <x v="1"/>
    <x v="0"/>
    <x v="676"/>
  </r>
  <r>
    <x v="678"/>
    <x v="167"/>
    <x v="7"/>
    <x v="1"/>
    <x v="2"/>
    <x v="676"/>
    <x v="3"/>
    <x v="4"/>
    <x v="676"/>
    <x v="190"/>
    <x v="3"/>
    <x v="0"/>
    <x v="678"/>
    <x v="3"/>
    <x v="3"/>
    <x v="3"/>
    <x v="677"/>
  </r>
  <r>
    <x v="679"/>
    <x v="488"/>
    <x v="2"/>
    <x v="0"/>
    <x v="0"/>
    <x v="677"/>
    <x v="2"/>
    <x v="4"/>
    <x v="677"/>
    <x v="323"/>
    <x v="1"/>
    <x v="2"/>
    <x v="679"/>
    <x v="3"/>
    <x v="1"/>
    <x v="0"/>
    <x v="678"/>
  </r>
  <r>
    <x v="680"/>
    <x v="183"/>
    <x v="1"/>
    <x v="0"/>
    <x v="1"/>
    <x v="678"/>
    <x v="0"/>
    <x v="4"/>
    <x v="678"/>
    <x v="459"/>
    <x v="2"/>
    <x v="2"/>
    <x v="680"/>
    <x v="1"/>
    <x v="2"/>
    <x v="3"/>
    <x v="679"/>
  </r>
  <r>
    <x v="681"/>
    <x v="489"/>
    <x v="0"/>
    <x v="1"/>
    <x v="0"/>
    <x v="679"/>
    <x v="2"/>
    <x v="2"/>
    <x v="679"/>
    <x v="460"/>
    <x v="0"/>
    <x v="0"/>
    <x v="681"/>
    <x v="5"/>
    <x v="2"/>
    <x v="2"/>
    <x v="680"/>
  </r>
  <r>
    <x v="682"/>
    <x v="363"/>
    <x v="10"/>
    <x v="0"/>
    <x v="1"/>
    <x v="680"/>
    <x v="0"/>
    <x v="4"/>
    <x v="680"/>
    <x v="367"/>
    <x v="2"/>
    <x v="1"/>
    <x v="682"/>
    <x v="3"/>
    <x v="1"/>
    <x v="4"/>
    <x v="681"/>
  </r>
  <r>
    <x v="683"/>
    <x v="490"/>
    <x v="4"/>
    <x v="2"/>
    <x v="3"/>
    <x v="681"/>
    <x v="6"/>
    <x v="3"/>
    <x v="681"/>
    <x v="461"/>
    <x v="4"/>
    <x v="4"/>
    <x v="683"/>
    <x v="3"/>
    <x v="1"/>
    <x v="0"/>
    <x v="682"/>
  </r>
  <r>
    <x v="684"/>
    <x v="491"/>
    <x v="11"/>
    <x v="1"/>
    <x v="1"/>
    <x v="682"/>
    <x v="4"/>
    <x v="3"/>
    <x v="682"/>
    <x v="462"/>
    <x v="2"/>
    <x v="0"/>
    <x v="684"/>
    <x v="2"/>
    <x v="2"/>
    <x v="2"/>
    <x v="683"/>
  </r>
  <r>
    <x v="685"/>
    <x v="492"/>
    <x v="2"/>
    <x v="2"/>
    <x v="0"/>
    <x v="683"/>
    <x v="6"/>
    <x v="2"/>
    <x v="683"/>
    <x v="463"/>
    <x v="0"/>
    <x v="0"/>
    <x v="685"/>
    <x v="3"/>
    <x v="1"/>
    <x v="2"/>
    <x v="684"/>
  </r>
  <r>
    <x v="686"/>
    <x v="112"/>
    <x v="3"/>
    <x v="0"/>
    <x v="2"/>
    <x v="684"/>
    <x v="6"/>
    <x v="4"/>
    <x v="684"/>
    <x v="464"/>
    <x v="4"/>
    <x v="4"/>
    <x v="686"/>
    <x v="4"/>
    <x v="3"/>
    <x v="3"/>
    <x v="685"/>
  </r>
  <r>
    <x v="687"/>
    <x v="493"/>
    <x v="11"/>
    <x v="0"/>
    <x v="1"/>
    <x v="685"/>
    <x v="2"/>
    <x v="2"/>
    <x v="685"/>
    <x v="465"/>
    <x v="3"/>
    <x v="2"/>
    <x v="687"/>
    <x v="3"/>
    <x v="1"/>
    <x v="0"/>
    <x v="686"/>
  </r>
  <r>
    <x v="688"/>
    <x v="26"/>
    <x v="9"/>
    <x v="1"/>
    <x v="0"/>
    <x v="686"/>
    <x v="0"/>
    <x v="3"/>
    <x v="686"/>
    <x v="432"/>
    <x v="2"/>
    <x v="1"/>
    <x v="688"/>
    <x v="2"/>
    <x v="3"/>
    <x v="3"/>
    <x v="687"/>
  </r>
  <r>
    <x v="689"/>
    <x v="193"/>
    <x v="1"/>
    <x v="0"/>
    <x v="1"/>
    <x v="687"/>
    <x v="2"/>
    <x v="1"/>
    <x v="687"/>
    <x v="466"/>
    <x v="1"/>
    <x v="0"/>
    <x v="689"/>
    <x v="0"/>
    <x v="2"/>
    <x v="3"/>
    <x v="688"/>
  </r>
  <r>
    <x v="690"/>
    <x v="494"/>
    <x v="10"/>
    <x v="1"/>
    <x v="1"/>
    <x v="688"/>
    <x v="0"/>
    <x v="2"/>
    <x v="688"/>
    <x v="35"/>
    <x v="3"/>
    <x v="2"/>
    <x v="690"/>
    <x v="9"/>
    <x v="2"/>
    <x v="0"/>
    <x v="689"/>
  </r>
  <r>
    <x v="691"/>
    <x v="167"/>
    <x v="7"/>
    <x v="1"/>
    <x v="2"/>
    <x v="689"/>
    <x v="5"/>
    <x v="4"/>
    <x v="689"/>
    <x v="467"/>
    <x v="4"/>
    <x v="0"/>
    <x v="691"/>
    <x v="2"/>
    <x v="2"/>
    <x v="4"/>
    <x v="690"/>
  </r>
  <r>
    <x v="692"/>
    <x v="19"/>
    <x v="0"/>
    <x v="0"/>
    <x v="0"/>
    <x v="690"/>
    <x v="6"/>
    <x v="0"/>
    <x v="690"/>
    <x v="322"/>
    <x v="2"/>
    <x v="3"/>
    <x v="692"/>
    <x v="3"/>
    <x v="3"/>
    <x v="0"/>
    <x v="691"/>
  </r>
  <r>
    <x v="693"/>
    <x v="495"/>
    <x v="9"/>
    <x v="2"/>
    <x v="0"/>
    <x v="691"/>
    <x v="0"/>
    <x v="2"/>
    <x v="691"/>
    <x v="468"/>
    <x v="0"/>
    <x v="2"/>
    <x v="693"/>
    <x v="4"/>
    <x v="2"/>
    <x v="1"/>
    <x v="692"/>
  </r>
  <r>
    <x v="694"/>
    <x v="276"/>
    <x v="3"/>
    <x v="0"/>
    <x v="2"/>
    <x v="692"/>
    <x v="4"/>
    <x v="3"/>
    <x v="692"/>
    <x v="285"/>
    <x v="4"/>
    <x v="0"/>
    <x v="694"/>
    <x v="2"/>
    <x v="1"/>
    <x v="2"/>
    <x v="693"/>
  </r>
  <r>
    <x v="695"/>
    <x v="432"/>
    <x v="7"/>
    <x v="1"/>
    <x v="2"/>
    <x v="693"/>
    <x v="4"/>
    <x v="0"/>
    <x v="693"/>
    <x v="158"/>
    <x v="1"/>
    <x v="0"/>
    <x v="695"/>
    <x v="0"/>
    <x v="1"/>
    <x v="2"/>
    <x v="694"/>
  </r>
  <r>
    <x v="696"/>
    <x v="226"/>
    <x v="10"/>
    <x v="0"/>
    <x v="1"/>
    <x v="694"/>
    <x v="3"/>
    <x v="3"/>
    <x v="694"/>
    <x v="469"/>
    <x v="3"/>
    <x v="4"/>
    <x v="696"/>
    <x v="6"/>
    <x v="3"/>
    <x v="3"/>
    <x v="695"/>
  </r>
  <r>
    <x v="697"/>
    <x v="496"/>
    <x v="2"/>
    <x v="2"/>
    <x v="0"/>
    <x v="695"/>
    <x v="4"/>
    <x v="0"/>
    <x v="695"/>
    <x v="430"/>
    <x v="4"/>
    <x v="0"/>
    <x v="697"/>
    <x v="5"/>
    <x v="3"/>
    <x v="2"/>
    <x v="696"/>
  </r>
  <r>
    <x v="698"/>
    <x v="0"/>
    <x v="0"/>
    <x v="0"/>
    <x v="0"/>
    <x v="696"/>
    <x v="5"/>
    <x v="1"/>
    <x v="696"/>
    <x v="382"/>
    <x v="4"/>
    <x v="3"/>
    <x v="698"/>
    <x v="7"/>
    <x v="3"/>
    <x v="0"/>
    <x v="697"/>
  </r>
  <r>
    <x v="699"/>
    <x v="497"/>
    <x v="7"/>
    <x v="0"/>
    <x v="2"/>
    <x v="697"/>
    <x v="5"/>
    <x v="4"/>
    <x v="697"/>
    <x v="470"/>
    <x v="3"/>
    <x v="1"/>
    <x v="699"/>
    <x v="1"/>
    <x v="2"/>
    <x v="3"/>
    <x v="698"/>
  </r>
  <r>
    <x v="700"/>
    <x v="498"/>
    <x v="11"/>
    <x v="1"/>
    <x v="1"/>
    <x v="698"/>
    <x v="5"/>
    <x v="1"/>
    <x v="698"/>
    <x v="471"/>
    <x v="4"/>
    <x v="2"/>
    <x v="700"/>
    <x v="1"/>
    <x v="3"/>
    <x v="0"/>
    <x v="699"/>
  </r>
  <r>
    <x v="701"/>
    <x v="499"/>
    <x v="5"/>
    <x v="1"/>
    <x v="3"/>
    <x v="699"/>
    <x v="0"/>
    <x v="4"/>
    <x v="699"/>
    <x v="107"/>
    <x v="2"/>
    <x v="3"/>
    <x v="701"/>
    <x v="3"/>
    <x v="1"/>
    <x v="2"/>
    <x v="700"/>
  </r>
  <r>
    <x v="702"/>
    <x v="410"/>
    <x v="5"/>
    <x v="1"/>
    <x v="3"/>
    <x v="700"/>
    <x v="4"/>
    <x v="4"/>
    <x v="700"/>
    <x v="432"/>
    <x v="0"/>
    <x v="2"/>
    <x v="702"/>
    <x v="5"/>
    <x v="2"/>
    <x v="2"/>
    <x v="701"/>
  </r>
  <r>
    <x v="703"/>
    <x v="500"/>
    <x v="9"/>
    <x v="0"/>
    <x v="0"/>
    <x v="701"/>
    <x v="6"/>
    <x v="2"/>
    <x v="701"/>
    <x v="472"/>
    <x v="4"/>
    <x v="4"/>
    <x v="703"/>
    <x v="1"/>
    <x v="3"/>
    <x v="2"/>
    <x v="702"/>
  </r>
  <r>
    <x v="704"/>
    <x v="301"/>
    <x v="5"/>
    <x v="0"/>
    <x v="3"/>
    <x v="702"/>
    <x v="6"/>
    <x v="3"/>
    <x v="702"/>
    <x v="145"/>
    <x v="1"/>
    <x v="3"/>
    <x v="704"/>
    <x v="6"/>
    <x v="1"/>
    <x v="4"/>
    <x v="703"/>
  </r>
  <r>
    <x v="705"/>
    <x v="501"/>
    <x v="9"/>
    <x v="2"/>
    <x v="0"/>
    <x v="703"/>
    <x v="0"/>
    <x v="1"/>
    <x v="703"/>
    <x v="473"/>
    <x v="0"/>
    <x v="2"/>
    <x v="705"/>
    <x v="0"/>
    <x v="1"/>
    <x v="0"/>
    <x v="704"/>
  </r>
  <r>
    <x v="706"/>
    <x v="380"/>
    <x v="9"/>
    <x v="2"/>
    <x v="0"/>
    <x v="704"/>
    <x v="6"/>
    <x v="0"/>
    <x v="704"/>
    <x v="310"/>
    <x v="3"/>
    <x v="2"/>
    <x v="706"/>
    <x v="6"/>
    <x v="1"/>
    <x v="3"/>
    <x v="705"/>
  </r>
  <r>
    <x v="707"/>
    <x v="377"/>
    <x v="7"/>
    <x v="1"/>
    <x v="2"/>
    <x v="705"/>
    <x v="3"/>
    <x v="3"/>
    <x v="705"/>
    <x v="77"/>
    <x v="3"/>
    <x v="1"/>
    <x v="707"/>
    <x v="5"/>
    <x v="0"/>
    <x v="3"/>
    <x v="706"/>
  </r>
  <r>
    <x v="708"/>
    <x v="155"/>
    <x v="9"/>
    <x v="2"/>
    <x v="0"/>
    <x v="706"/>
    <x v="4"/>
    <x v="2"/>
    <x v="706"/>
    <x v="430"/>
    <x v="4"/>
    <x v="4"/>
    <x v="708"/>
    <x v="1"/>
    <x v="1"/>
    <x v="0"/>
    <x v="707"/>
  </r>
  <r>
    <x v="709"/>
    <x v="34"/>
    <x v="8"/>
    <x v="1"/>
    <x v="2"/>
    <x v="707"/>
    <x v="6"/>
    <x v="2"/>
    <x v="707"/>
    <x v="474"/>
    <x v="1"/>
    <x v="4"/>
    <x v="709"/>
    <x v="4"/>
    <x v="1"/>
    <x v="4"/>
    <x v="708"/>
  </r>
  <r>
    <x v="710"/>
    <x v="319"/>
    <x v="10"/>
    <x v="1"/>
    <x v="1"/>
    <x v="708"/>
    <x v="5"/>
    <x v="0"/>
    <x v="708"/>
    <x v="475"/>
    <x v="3"/>
    <x v="2"/>
    <x v="710"/>
    <x v="8"/>
    <x v="2"/>
    <x v="4"/>
    <x v="709"/>
  </r>
  <r>
    <x v="711"/>
    <x v="502"/>
    <x v="10"/>
    <x v="1"/>
    <x v="1"/>
    <x v="709"/>
    <x v="2"/>
    <x v="1"/>
    <x v="709"/>
    <x v="476"/>
    <x v="1"/>
    <x v="0"/>
    <x v="711"/>
    <x v="7"/>
    <x v="3"/>
    <x v="4"/>
    <x v="710"/>
  </r>
  <r>
    <x v="712"/>
    <x v="486"/>
    <x v="0"/>
    <x v="1"/>
    <x v="0"/>
    <x v="557"/>
    <x v="2"/>
    <x v="1"/>
    <x v="710"/>
    <x v="477"/>
    <x v="3"/>
    <x v="4"/>
    <x v="712"/>
    <x v="0"/>
    <x v="1"/>
    <x v="2"/>
    <x v="711"/>
  </r>
  <r>
    <x v="713"/>
    <x v="370"/>
    <x v="5"/>
    <x v="2"/>
    <x v="3"/>
    <x v="710"/>
    <x v="2"/>
    <x v="3"/>
    <x v="711"/>
    <x v="463"/>
    <x v="1"/>
    <x v="1"/>
    <x v="713"/>
    <x v="5"/>
    <x v="0"/>
    <x v="3"/>
    <x v="712"/>
  </r>
  <r>
    <x v="714"/>
    <x v="453"/>
    <x v="6"/>
    <x v="0"/>
    <x v="3"/>
    <x v="711"/>
    <x v="5"/>
    <x v="2"/>
    <x v="712"/>
    <x v="250"/>
    <x v="0"/>
    <x v="4"/>
    <x v="714"/>
    <x v="9"/>
    <x v="1"/>
    <x v="3"/>
    <x v="713"/>
  </r>
  <r>
    <x v="715"/>
    <x v="503"/>
    <x v="10"/>
    <x v="1"/>
    <x v="1"/>
    <x v="712"/>
    <x v="4"/>
    <x v="4"/>
    <x v="713"/>
    <x v="478"/>
    <x v="1"/>
    <x v="3"/>
    <x v="715"/>
    <x v="0"/>
    <x v="1"/>
    <x v="2"/>
    <x v="714"/>
  </r>
  <r>
    <x v="716"/>
    <x v="136"/>
    <x v="5"/>
    <x v="1"/>
    <x v="3"/>
    <x v="713"/>
    <x v="3"/>
    <x v="4"/>
    <x v="714"/>
    <x v="18"/>
    <x v="2"/>
    <x v="4"/>
    <x v="716"/>
    <x v="4"/>
    <x v="3"/>
    <x v="4"/>
    <x v="715"/>
  </r>
  <r>
    <x v="717"/>
    <x v="504"/>
    <x v="3"/>
    <x v="0"/>
    <x v="2"/>
    <x v="714"/>
    <x v="3"/>
    <x v="4"/>
    <x v="715"/>
    <x v="479"/>
    <x v="1"/>
    <x v="3"/>
    <x v="717"/>
    <x v="4"/>
    <x v="3"/>
    <x v="2"/>
    <x v="716"/>
  </r>
  <r>
    <x v="718"/>
    <x v="505"/>
    <x v="6"/>
    <x v="0"/>
    <x v="3"/>
    <x v="715"/>
    <x v="5"/>
    <x v="3"/>
    <x v="716"/>
    <x v="480"/>
    <x v="3"/>
    <x v="1"/>
    <x v="718"/>
    <x v="2"/>
    <x v="0"/>
    <x v="4"/>
    <x v="717"/>
  </r>
  <r>
    <x v="719"/>
    <x v="506"/>
    <x v="0"/>
    <x v="1"/>
    <x v="0"/>
    <x v="716"/>
    <x v="5"/>
    <x v="1"/>
    <x v="717"/>
    <x v="481"/>
    <x v="0"/>
    <x v="0"/>
    <x v="719"/>
    <x v="1"/>
    <x v="1"/>
    <x v="3"/>
    <x v="718"/>
  </r>
  <r>
    <x v="720"/>
    <x v="507"/>
    <x v="11"/>
    <x v="0"/>
    <x v="1"/>
    <x v="717"/>
    <x v="6"/>
    <x v="0"/>
    <x v="718"/>
    <x v="482"/>
    <x v="4"/>
    <x v="4"/>
    <x v="720"/>
    <x v="8"/>
    <x v="1"/>
    <x v="0"/>
    <x v="719"/>
  </r>
  <r>
    <x v="721"/>
    <x v="508"/>
    <x v="9"/>
    <x v="1"/>
    <x v="0"/>
    <x v="718"/>
    <x v="6"/>
    <x v="1"/>
    <x v="719"/>
    <x v="483"/>
    <x v="2"/>
    <x v="3"/>
    <x v="721"/>
    <x v="7"/>
    <x v="2"/>
    <x v="2"/>
    <x v="720"/>
  </r>
  <r>
    <x v="722"/>
    <x v="64"/>
    <x v="7"/>
    <x v="1"/>
    <x v="2"/>
    <x v="719"/>
    <x v="4"/>
    <x v="2"/>
    <x v="720"/>
    <x v="244"/>
    <x v="3"/>
    <x v="4"/>
    <x v="722"/>
    <x v="9"/>
    <x v="3"/>
    <x v="0"/>
    <x v="721"/>
  </r>
  <r>
    <x v="723"/>
    <x v="509"/>
    <x v="8"/>
    <x v="0"/>
    <x v="2"/>
    <x v="720"/>
    <x v="6"/>
    <x v="4"/>
    <x v="721"/>
    <x v="61"/>
    <x v="4"/>
    <x v="2"/>
    <x v="723"/>
    <x v="2"/>
    <x v="0"/>
    <x v="1"/>
    <x v="722"/>
  </r>
  <r>
    <x v="724"/>
    <x v="266"/>
    <x v="3"/>
    <x v="1"/>
    <x v="2"/>
    <x v="721"/>
    <x v="4"/>
    <x v="4"/>
    <x v="722"/>
    <x v="257"/>
    <x v="2"/>
    <x v="2"/>
    <x v="724"/>
    <x v="4"/>
    <x v="1"/>
    <x v="1"/>
    <x v="723"/>
  </r>
  <r>
    <x v="725"/>
    <x v="255"/>
    <x v="9"/>
    <x v="0"/>
    <x v="0"/>
    <x v="722"/>
    <x v="3"/>
    <x v="1"/>
    <x v="723"/>
    <x v="377"/>
    <x v="3"/>
    <x v="2"/>
    <x v="725"/>
    <x v="3"/>
    <x v="2"/>
    <x v="1"/>
    <x v="724"/>
  </r>
  <r>
    <x v="726"/>
    <x v="510"/>
    <x v="3"/>
    <x v="1"/>
    <x v="2"/>
    <x v="723"/>
    <x v="5"/>
    <x v="3"/>
    <x v="724"/>
    <x v="484"/>
    <x v="1"/>
    <x v="3"/>
    <x v="726"/>
    <x v="4"/>
    <x v="1"/>
    <x v="3"/>
    <x v="725"/>
  </r>
  <r>
    <x v="727"/>
    <x v="470"/>
    <x v="11"/>
    <x v="1"/>
    <x v="1"/>
    <x v="724"/>
    <x v="3"/>
    <x v="0"/>
    <x v="725"/>
    <x v="338"/>
    <x v="1"/>
    <x v="0"/>
    <x v="727"/>
    <x v="2"/>
    <x v="0"/>
    <x v="0"/>
    <x v="726"/>
  </r>
  <r>
    <x v="728"/>
    <x v="511"/>
    <x v="10"/>
    <x v="1"/>
    <x v="1"/>
    <x v="725"/>
    <x v="6"/>
    <x v="3"/>
    <x v="726"/>
    <x v="485"/>
    <x v="3"/>
    <x v="0"/>
    <x v="728"/>
    <x v="2"/>
    <x v="3"/>
    <x v="2"/>
    <x v="727"/>
  </r>
  <r>
    <x v="729"/>
    <x v="102"/>
    <x v="11"/>
    <x v="0"/>
    <x v="1"/>
    <x v="726"/>
    <x v="1"/>
    <x v="3"/>
    <x v="727"/>
    <x v="145"/>
    <x v="3"/>
    <x v="4"/>
    <x v="729"/>
    <x v="5"/>
    <x v="0"/>
    <x v="4"/>
    <x v="728"/>
  </r>
  <r>
    <x v="730"/>
    <x v="512"/>
    <x v="2"/>
    <x v="2"/>
    <x v="0"/>
    <x v="727"/>
    <x v="1"/>
    <x v="2"/>
    <x v="728"/>
    <x v="208"/>
    <x v="0"/>
    <x v="3"/>
    <x v="730"/>
    <x v="4"/>
    <x v="0"/>
    <x v="2"/>
    <x v="729"/>
  </r>
  <r>
    <x v="731"/>
    <x v="267"/>
    <x v="5"/>
    <x v="1"/>
    <x v="3"/>
    <x v="728"/>
    <x v="4"/>
    <x v="0"/>
    <x v="729"/>
    <x v="486"/>
    <x v="2"/>
    <x v="2"/>
    <x v="731"/>
    <x v="2"/>
    <x v="2"/>
    <x v="2"/>
    <x v="730"/>
  </r>
  <r>
    <x v="732"/>
    <x v="456"/>
    <x v="9"/>
    <x v="2"/>
    <x v="0"/>
    <x v="729"/>
    <x v="5"/>
    <x v="2"/>
    <x v="730"/>
    <x v="466"/>
    <x v="1"/>
    <x v="3"/>
    <x v="732"/>
    <x v="7"/>
    <x v="2"/>
    <x v="4"/>
    <x v="731"/>
  </r>
  <r>
    <x v="733"/>
    <x v="513"/>
    <x v="8"/>
    <x v="0"/>
    <x v="2"/>
    <x v="730"/>
    <x v="2"/>
    <x v="3"/>
    <x v="731"/>
    <x v="459"/>
    <x v="4"/>
    <x v="2"/>
    <x v="733"/>
    <x v="2"/>
    <x v="0"/>
    <x v="2"/>
    <x v="732"/>
  </r>
  <r>
    <x v="734"/>
    <x v="514"/>
    <x v="0"/>
    <x v="1"/>
    <x v="0"/>
    <x v="731"/>
    <x v="4"/>
    <x v="3"/>
    <x v="732"/>
    <x v="245"/>
    <x v="2"/>
    <x v="2"/>
    <x v="734"/>
    <x v="5"/>
    <x v="3"/>
    <x v="3"/>
    <x v="733"/>
  </r>
  <r>
    <x v="735"/>
    <x v="515"/>
    <x v="5"/>
    <x v="1"/>
    <x v="3"/>
    <x v="732"/>
    <x v="0"/>
    <x v="3"/>
    <x v="733"/>
    <x v="319"/>
    <x v="0"/>
    <x v="4"/>
    <x v="735"/>
    <x v="5"/>
    <x v="2"/>
    <x v="2"/>
    <x v="734"/>
  </r>
  <r>
    <x v="736"/>
    <x v="516"/>
    <x v="2"/>
    <x v="1"/>
    <x v="0"/>
    <x v="733"/>
    <x v="0"/>
    <x v="0"/>
    <x v="734"/>
    <x v="386"/>
    <x v="2"/>
    <x v="4"/>
    <x v="736"/>
    <x v="5"/>
    <x v="1"/>
    <x v="4"/>
    <x v="735"/>
  </r>
  <r>
    <x v="737"/>
    <x v="517"/>
    <x v="0"/>
    <x v="1"/>
    <x v="0"/>
    <x v="734"/>
    <x v="1"/>
    <x v="3"/>
    <x v="735"/>
    <x v="487"/>
    <x v="4"/>
    <x v="4"/>
    <x v="737"/>
    <x v="6"/>
    <x v="1"/>
    <x v="0"/>
    <x v="736"/>
  </r>
  <r>
    <x v="738"/>
    <x v="518"/>
    <x v="5"/>
    <x v="2"/>
    <x v="3"/>
    <x v="735"/>
    <x v="1"/>
    <x v="1"/>
    <x v="736"/>
    <x v="488"/>
    <x v="2"/>
    <x v="0"/>
    <x v="738"/>
    <x v="3"/>
    <x v="0"/>
    <x v="2"/>
    <x v="737"/>
  </r>
  <r>
    <x v="739"/>
    <x v="136"/>
    <x v="5"/>
    <x v="1"/>
    <x v="3"/>
    <x v="736"/>
    <x v="1"/>
    <x v="3"/>
    <x v="737"/>
    <x v="122"/>
    <x v="4"/>
    <x v="3"/>
    <x v="739"/>
    <x v="4"/>
    <x v="0"/>
    <x v="3"/>
    <x v="738"/>
  </r>
  <r>
    <x v="740"/>
    <x v="351"/>
    <x v="10"/>
    <x v="1"/>
    <x v="1"/>
    <x v="737"/>
    <x v="6"/>
    <x v="1"/>
    <x v="738"/>
    <x v="339"/>
    <x v="4"/>
    <x v="4"/>
    <x v="740"/>
    <x v="0"/>
    <x v="2"/>
    <x v="4"/>
    <x v="739"/>
  </r>
  <r>
    <x v="741"/>
    <x v="185"/>
    <x v="0"/>
    <x v="2"/>
    <x v="0"/>
    <x v="738"/>
    <x v="0"/>
    <x v="0"/>
    <x v="739"/>
    <x v="489"/>
    <x v="3"/>
    <x v="3"/>
    <x v="741"/>
    <x v="8"/>
    <x v="2"/>
    <x v="1"/>
    <x v="740"/>
  </r>
  <r>
    <x v="742"/>
    <x v="519"/>
    <x v="7"/>
    <x v="1"/>
    <x v="2"/>
    <x v="739"/>
    <x v="5"/>
    <x v="4"/>
    <x v="740"/>
    <x v="254"/>
    <x v="4"/>
    <x v="2"/>
    <x v="742"/>
    <x v="0"/>
    <x v="0"/>
    <x v="4"/>
    <x v="741"/>
  </r>
  <r>
    <x v="743"/>
    <x v="430"/>
    <x v="11"/>
    <x v="1"/>
    <x v="1"/>
    <x v="740"/>
    <x v="0"/>
    <x v="2"/>
    <x v="741"/>
    <x v="38"/>
    <x v="3"/>
    <x v="2"/>
    <x v="743"/>
    <x v="9"/>
    <x v="3"/>
    <x v="0"/>
    <x v="742"/>
  </r>
  <r>
    <x v="744"/>
    <x v="520"/>
    <x v="5"/>
    <x v="1"/>
    <x v="3"/>
    <x v="741"/>
    <x v="2"/>
    <x v="1"/>
    <x v="742"/>
    <x v="490"/>
    <x v="4"/>
    <x v="3"/>
    <x v="744"/>
    <x v="3"/>
    <x v="0"/>
    <x v="4"/>
    <x v="743"/>
  </r>
  <r>
    <x v="745"/>
    <x v="521"/>
    <x v="9"/>
    <x v="0"/>
    <x v="0"/>
    <x v="742"/>
    <x v="4"/>
    <x v="3"/>
    <x v="743"/>
    <x v="491"/>
    <x v="0"/>
    <x v="4"/>
    <x v="745"/>
    <x v="0"/>
    <x v="1"/>
    <x v="2"/>
    <x v="744"/>
  </r>
  <r>
    <x v="746"/>
    <x v="522"/>
    <x v="2"/>
    <x v="2"/>
    <x v="0"/>
    <x v="743"/>
    <x v="6"/>
    <x v="4"/>
    <x v="744"/>
    <x v="492"/>
    <x v="1"/>
    <x v="1"/>
    <x v="746"/>
    <x v="5"/>
    <x v="3"/>
    <x v="1"/>
    <x v="745"/>
  </r>
  <r>
    <x v="747"/>
    <x v="495"/>
    <x v="9"/>
    <x v="2"/>
    <x v="0"/>
    <x v="744"/>
    <x v="2"/>
    <x v="1"/>
    <x v="745"/>
    <x v="493"/>
    <x v="0"/>
    <x v="3"/>
    <x v="747"/>
    <x v="0"/>
    <x v="1"/>
    <x v="0"/>
    <x v="746"/>
  </r>
  <r>
    <x v="748"/>
    <x v="523"/>
    <x v="10"/>
    <x v="1"/>
    <x v="1"/>
    <x v="745"/>
    <x v="2"/>
    <x v="4"/>
    <x v="746"/>
    <x v="379"/>
    <x v="2"/>
    <x v="0"/>
    <x v="748"/>
    <x v="2"/>
    <x v="1"/>
    <x v="1"/>
    <x v="747"/>
  </r>
  <r>
    <x v="749"/>
    <x v="524"/>
    <x v="6"/>
    <x v="2"/>
    <x v="3"/>
    <x v="746"/>
    <x v="5"/>
    <x v="2"/>
    <x v="747"/>
    <x v="494"/>
    <x v="0"/>
    <x v="4"/>
    <x v="749"/>
    <x v="4"/>
    <x v="1"/>
    <x v="0"/>
    <x v="748"/>
  </r>
  <r>
    <x v="750"/>
    <x v="90"/>
    <x v="0"/>
    <x v="0"/>
    <x v="0"/>
    <x v="747"/>
    <x v="2"/>
    <x v="3"/>
    <x v="748"/>
    <x v="495"/>
    <x v="2"/>
    <x v="2"/>
    <x v="750"/>
    <x v="0"/>
    <x v="1"/>
    <x v="2"/>
    <x v="749"/>
  </r>
  <r>
    <x v="751"/>
    <x v="16"/>
    <x v="0"/>
    <x v="0"/>
    <x v="0"/>
    <x v="748"/>
    <x v="2"/>
    <x v="1"/>
    <x v="749"/>
    <x v="496"/>
    <x v="3"/>
    <x v="4"/>
    <x v="751"/>
    <x v="0"/>
    <x v="1"/>
    <x v="3"/>
    <x v="750"/>
  </r>
  <r>
    <x v="752"/>
    <x v="525"/>
    <x v="3"/>
    <x v="1"/>
    <x v="2"/>
    <x v="749"/>
    <x v="1"/>
    <x v="3"/>
    <x v="750"/>
    <x v="238"/>
    <x v="2"/>
    <x v="3"/>
    <x v="752"/>
    <x v="2"/>
    <x v="1"/>
    <x v="4"/>
    <x v="751"/>
  </r>
  <r>
    <x v="753"/>
    <x v="526"/>
    <x v="6"/>
    <x v="1"/>
    <x v="3"/>
    <x v="750"/>
    <x v="1"/>
    <x v="1"/>
    <x v="751"/>
    <x v="497"/>
    <x v="0"/>
    <x v="2"/>
    <x v="753"/>
    <x v="0"/>
    <x v="1"/>
    <x v="0"/>
    <x v="752"/>
  </r>
  <r>
    <x v="754"/>
    <x v="133"/>
    <x v="4"/>
    <x v="2"/>
    <x v="3"/>
    <x v="751"/>
    <x v="4"/>
    <x v="1"/>
    <x v="752"/>
    <x v="498"/>
    <x v="2"/>
    <x v="2"/>
    <x v="754"/>
    <x v="1"/>
    <x v="3"/>
    <x v="2"/>
    <x v="753"/>
  </r>
  <r>
    <x v="755"/>
    <x v="527"/>
    <x v="5"/>
    <x v="0"/>
    <x v="3"/>
    <x v="752"/>
    <x v="6"/>
    <x v="4"/>
    <x v="753"/>
    <x v="499"/>
    <x v="2"/>
    <x v="4"/>
    <x v="755"/>
    <x v="4"/>
    <x v="2"/>
    <x v="2"/>
    <x v="754"/>
  </r>
  <r>
    <x v="756"/>
    <x v="326"/>
    <x v="5"/>
    <x v="1"/>
    <x v="3"/>
    <x v="753"/>
    <x v="1"/>
    <x v="2"/>
    <x v="754"/>
    <x v="54"/>
    <x v="3"/>
    <x v="0"/>
    <x v="756"/>
    <x v="5"/>
    <x v="2"/>
    <x v="4"/>
    <x v="755"/>
  </r>
  <r>
    <x v="757"/>
    <x v="27"/>
    <x v="2"/>
    <x v="1"/>
    <x v="0"/>
    <x v="754"/>
    <x v="6"/>
    <x v="2"/>
    <x v="755"/>
    <x v="171"/>
    <x v="0"/>
    <x v="3"/>
    <x v="757"/>
    <x v="7"/>
    <x v="1"/>
    <x v="4"/>
    <x v="756"/>
  </r>
  <r>
    <x v="758"/>
    <x v="465"/>
    <x v="9"/>
    <x v="0"/>
    <x v="0"/>
    <x v="755"/>
    <x v="2"/>
    <x v="4"/>
    <x v="756"/>
    <x v="69"/>
    <x v="2"/>
    <x v="1"/>
    <x v="758"/>
    <x v="2"/>
    <x v="3"/>
    <x v="3"/>
    <x v="757"/>
  </r>
  <r>
    <x v="759"/>
    <x v="528"/>
    <x v="10"/>
    <x v="0"/>
    <x v="1"/>
    <x v="756"/>
    <x v="6"/>
    <x v="4"/>
    <x v="757"/>
    <x v="500"/>
    <x v="4"/>
    <x v="4"/>
    <x v="759"/>
    <x v="1"/>
    <x v="1"/>
    <x v="3"/>
    <x v="758"/>
  </r>
  <r>
    <x v="760"/>
    <x v="403"/>
    <x v="2"/>
    <x v="2"/>
    <x v="0"/>
    <x v="757"/>
    <x v="6"/>
    <x v="2"/>
    <x v="758"/>
    <x v="160"/>
    <x v="0"/>
    <x v="1"/>
    <x v="760"/>
    <x v="3"/>
    <x v="2"/>
    <x v="4"/>
    <x v="759"/>
  </r>
  <r>
    <x v="761"/>
    <x v="454"/>
    <x v="5"/>
    <x v="0"/>
    <x v="3"/>
    <x v="758"/>
    <x v="6"/>
    <x v="3"/>
    <x v="759"/>
    <x v="501"/>
    <x v="0"/>
    <x v="3"/>
    <x v="761"/>
    <x v="0"/>
    <x v="2"/>
    <x v="4"/>
    <x v="760"/>
  </r>
  <r>
    <x v="762"/>
    <x v="529"/>
    <x v="11"/>
    <x v="1"/>
    <x v="1"/>
    <x v="759"/>
    <x v="1"/>
    <x v="4"/>
    <x v="760"/>
    <x v="84"/>
    <x v="4"/>
    <x v="2"/>
    <x v="762"/>
    <x v="2"/>
    <x v="1"/>
    <x v="2"/>
    <x v="761"/>
  </r>
  <r>
    <x v="763"/>
    <x v="388"/>
    <x v="6"/>
    <x v="0"/>
    <x v="3"/>
    <x v="760"/>
    <x v="5"/>
    <x v="2"/>
    <x v="761"/>
    <x v="91"/>
    <x v="1"/>
    <x v="3"/>
    <x v="763"/>
    <x v="4"/>
    <x v="1"/>
    <x v="2"/>
    <x v="762"/>
  </r>
  <r>
    <x v="764"/>
    <x v="416"/>
    <x v="9"/>
    <x v="1"/>
    <x v="0"/>
    <x v="761"/>
    <x v="5"/>
    <x v="0"/>
    <x v="762"/>
    <x v="155"/>
    <x v="2"/>
    <x v="1"/>
    <x v="764"/>
    <x v="8"/>
    <x v="1"/>
    <x v="2"/>
    <x v="763"/>
  </r>
  <r>
    <x v="765"/>
    <x v="426"/>
    <x v="3"/>
    <x v="0"/>
    <x v="2"/>
    <x v="762"/>
    <x v="5"/>
    <x v="1"/>
    <x v="763"/>
    <x v="478"/>
    <x v="0"/>
    <x v="2"/>
    <x v="765"/>
    <x v="3"/>
    <x v="0"/>
    <x v="4"/>
    <x v="764"/>
  </r>
  <r>
    <x v="766"/>
    <x v="55"/>
    <x v="0"/>
    <x v="0"/>
    <x v="0"/>
    <x v="763"/>
    <x v="4"/>
    <x v="1"/>
    <x v="764"/>
    <x v="294"/>
    <x v="0"/>
    <x v="4"/>
    <x v="766"/>
    <x v="1"/>
    <x v="1"/>
    <x v="1"/>
    <x v="765"/>
  </r>
  <r>
    <x v="767"/>
    <x v="479"/>
    <x v="6"/>
    <x v="2"/>
    <x v="3"/>
    <x v="764"/>
    <x v="2"/>
    <x v="1"/>
    <x v="765"/>
    <x v="502"/>
    <x v="2"/>
    <x v="3"/>
    <x v="767"/>
    <x v="0"/>
    <x v="2"/>
    <x v="0"/>
    <x v="766"/>
  </r>
  <r>
    <x v="768"/>
    <x v="355"/>
    <x v="11"/>
    <x v="0"/>
    <x v="1"/>
    <x v="765"/>
    <x v="2"/>
    <x v="0"/>
    <x v="766"/>
    <x v="503"/>
    <x v="4"/>
    <x v="1"/>
    <x v="768"/>
    <x v="6"/>
    <x v="3"/>
    <x v="2"/>
    <x v="767"/>
  </r>
  <r>
    <x v="769"/>
    <x v="117"/>
    <x v="10"/>
    <x v="0"/>
    <x v="1"/>
    <x v="766"/>
    <x v="4"/>
    <x v="3"/>
    <x v="767"/>
    <x v="28"/>
    <x v="4"/>
    <x v="3"/>
    <x v="769"/>
    <x v="3"/>
    <x v="2"/>
    <x v="2"/>
    <x v="768"/>
  </r>
  <r>
    <x v="770"/>
    <x v="530"/>
    <x v="2"/>
    <x v="1"/>
    <x v="0"/>
    <x v="767"/>
    <x v="6"/>
    <x v="2"/>
    <x v="768"/>
    <x v="347"/>
    <x v="1"/>
    <x v="2"/>
    <x v="770"/>
    <x v="5"/>
    <x v="2"/>
    <x v="4"/>
    <x v="769"/>
  </r>
  <r>
    <x v="771"/>
    <x v="520"/>
    <x v="5"/>
    <x v="1"/>
    <x v="3"/>
    <x v="768"/>
    <x v="1"/>
    <x v="4"/>
    <x v="769"/>
    <x v="314"/>
    <x v="0"/>
    <x v="1"/>
    <x v="771"/>
    <x v="2"/>
    <x v="1"/>
    <x v="4"/>
    <x v="770"/>
  </r>
  <r>
    <x v="772"/>
    <x v="118"/>
    <x v="10"/>
    <x v="1"/>
    <x v="1"/>
    <x v="769"/>
    <x v="0"/>
    <x v="2"/>
    <x v="770"/>
    <x v="504"/>
    <x v="1"/>
    <x v="3"/>
    <x v="772"/>
    <x v="4"/>
    <x v="2"/>
    <x v="0"/>
    <x v="771"/>
  </r>
  <r>
    <x v="773"/>
    <x v="164"/>
    <x v="5"/>
    <x v="2"/>
    <x v="3"/>
    <x v="770"/>
    <x v="1"/>
    <x v="1"/>
    <x v="771"/>
    <x v="505"/>
    <x v="4"/>
    <x v="1"/>
    <x v="773"/>
    <x v="0"/>
    <x v="2"/>
    <x v="3"/>
    <x v="772"/>
  </r>
  <r>
    <x v="774"/>
    <x v="198"/>
    <x v="6"/>
    <x v="2"/>
    <x v="3"/>
    <x v="771"/>
    <x v="3"/>
    <x v="4"/>
    <x v="772"/>
    <x v="506"/>
    <x v="2"/>
    <x v="1"/>
    <x v="774"/>
    <x v="1"/>
    <x v="1"/>
    <x v="0"/>
    <x v="773"/>
  </r>
  <r>
    <x v="775"/>
    <x v="190"/>
    <x v="9"/>
    <x v="0"/>
    <x v="0"/>
    <x v="772"/>
    <x v="1"/>
    <x v="1"/>
    <x v="773"/>
    <x v="21"/>
    <x v="1"/>
    <x v="1"/>
    <x v="775"/>
    <x v="3"/>
    <x v="2"/>
    <x v="4"/>
    <x v="774"/>
  </r>
  <r>
    <x v="776"/>
    <x v="531"/>
    <x v="1"/>
    <x v="0"/>
    <x v="1"/>
    <x v="773"/>
    <x v="2"/>
    <x v="2"/>
    <x v="774"/>
    <x v="507"/>
    <x v="4"/>
    <x v="2"/>
    <x v="776"/>
    <x v="3"/>
    <x v="3"/>
    <x v="4"/>
    <x v="775"/>
  </r>
  <r>
    <x v="777"/>
    <x v="438"/>
    <x v="9"/>
    <x v="2"/>
    <x v="0"/>
    <x v="774"/>
    <x v="3"/>
    <x v="0"/>
    <x v="775"/>
    <x v="22"/>
    <x v="1"/>
    <x v="1"/>
    <x v="777"/>
    <x v="0"/>
    <x v="2"/>
    <x v="3"/>
    <x v="776"/>
  </r>
  <r>
    <x v="778"/>
    <x v="200"/>
    <x v="6"/>
    <x v="0"/>
    <x v="3"/>
    <x v="775"/>
    <x v="5"/>
    <x v="3"/>
    <x v="776"/>
    <x v="508"/>
    <x v="2"/>
    <x v="0"/>
    <x v="778"/>
    <x v="2"/>
    <x v="3"/>
    <x v="4"/>
    <x v="777"/>
  </r>
  <r>
    <x v="779"/>
    <x v="142"/>
    <x v="8"/>
    <x v="0"/>
    <x v="2"/>
    <x v="776"/>
    <x v="1"/>
    <x v="4"/>
    <x v="777"/>
    <x v="509"/>
    <x v="0"/>
    <x v="4"/>
    <x v="779"/>
    <x v="2"/>
    <x v="1"/>
    <x v="2"/>
    <x v="778"/>
  </r>
  <r>
    <x v="780"/>
    <x v="74"/>
    <x v="9"/>
    <x v="1"/>
    <x v="0"/>
    <x v="777"/>
    <x v="5"/>
    <x v="3"/>
    <x v="778"/>
    <x v="345"/>
    <x v="1"/>
    <x v="1"/>
    <x v="780"/>
    <x v="4"/>
    <x v="3"/>
    <x v="4"/>
    <x v="779"/>
  </r>
  <r>
    <x v="781"/>
    <x v="532"/>
    <x v="0"/>
    <x v="1"/>
    <x v="0"/>
    <x v="778"/>
    <x v="1"/>
    <x v="0"/>
    <x v="779"/>
    <x v="5"/>
    <x v="3"/>
    <x v="3"/>
    <x v="781"/>
    <x v="3"/>
    <x v="1"/>
    <x v="1"/>
    <x v="780"/>
  </r>
  <r>
    <x v="782"/>
    <x v="533"/>
    <x v="1"/>
    <x v="1"/>
    <x v="1"/>
    <x v="779"/>
    <x v="0"/>
    <x v="1"/>
    <x v="780"/>
    <x v="414"/>
    <x v="1"/>
    <x v="2"/>
    <x v="782"/>
    <x v="5"/>
    <x v="0"/>
    <x v="1"/>
    <x v="781"/>
  </r>
  <r>
    <x v="783"/>
    <x v="534"/>
    <x v="4"/>
    <x v="2"/>
    <x v="3"/>
    <x v="780"/>
    <x v="4"/>
    <x v="2"/>
    <x v="781"/>
    <x v="478"/>
    <x v="3"/>
    <x v="2"/>
    <x v="783"/>
    <x v="3"/>
    <x v="1"/>
    <x v="3"/>
    <x v="782"/>
  </r>
  <r>
    <x v="784"/>
    <x v="535"/>
    <x v="4"/>
    <x v="2"/>
    <x v="3"/>
    <x v="781"/>
    <x v="5"/>
    <x v="2"/>
    <x v="782"/>
    <x v="49"/>
    <x v="2"/>
    <x v="4"/>
    <x v="784"/>
    <x v="9"/>
    <x v="3"/>
    <x v="1"/>
    <x v="783"/>
  </r>
  <r>
    <x v="785"/>
    <x v="536"/>
    <x v="10"/>
    <x v="0"/>
    <x v="1"/>
    <x v="782"/>
    <x v="3"/>
    <x v="2"/>
    <x v="783"/>
    <x v="510"/>
    <x v="2"/>
    <x v="4"/>
    <x v="785"/>
    <x v="9"/>
    <x v="0"/>
    <x v="0"/>
    <x v="784"/>
  </r>
  <r>
    <x v="786"/>
    <x v="421"/>
    <x v="1"/>
    <x v="0"/>
    <x v="1"/>
    <x v="783"/>
    <x v="3"/>
    <x v="0"/>
    <x v="784"/>
    <x v="511"/>
    <x v="1"/>
    <x v="1"/>
    <x v="786"/>
    <x v="2"/>
    <x v="2"/>
    <x v="1"/>
    <x v="785"/>
  </r>
  <r>
    <x v="787"/>
    <x v="537"/>
    <x v="9"/>
    <x v="1"/>
    <x v="0"/>
    <x v="784"/>
    <x v="6"/>
    <x v="3"/>
    <x v="785"/>
    <x v="512"/>
    <x v="4"/>
    <x v="3"/>
    <x v="787"/>
    <x v="0"/>
    <x v="2"/>
    <x v="4"/>
    <x v="786"/>
  </r>
  <r>
    <x v="788"/>
    <x v="208"/>
    <x v="7"/>
    <x v="0"/>
    <x v="2"/>
    <x v="785"/>
    <x v="3"/>
    <x v="1"/>
    <x v="786"/>
    <x v="513"/>
    <x v="1"/>
    <x v="4"/>
    <x v="788"/>
    <x v="3"/>
    <x v="1"/>
    <x v="0"/>
    <x v="787"/>
  </r>
  <r>
    <x v="789"/>
    <x v="538"/>
    <x v="1"/>
    <x v="0"/>
    <x v="1"/>
    <x v="786"/>
    <x v="2"/>
    <x v="0"/>
    <x v="787"/>
    <x v="514"/>
    <x v="1"/>
    <x v="3"/>
    <x v="789"/>
    <x v="8"/>
    <x v="0"/>
    <x v="2"/>
    <x v="788"/>
  </r>
  <r>
    <x v="790"/>
    <x v="154"/>
    <x v="11"/>
    <x v="1"/>
    <x v="1"/>
    <x v="787"/>
    <x v="5"/>
    <x v="3"/>
    <x v="788"/>
    <x v="515"/>
    <x v="3"/>
    <x v="4"/>
    <x v="790"/>
    <x v="4"/>
    <x v="2"/>
    <x v="4"/>
    <x v="789"/>
  </r>
  <r>
    <x v="791"/>
    <x v="539"/>
    <x v="0"/>
    <x v="1"/>
    <x v="0"/>
    <x v="788"/>
    <x v="3"/>
    <x v="3"/>
    <x v="789"/>
    <x v="24"/>
    <x v="4"/>
    <x v="4"/>
    <x v="791"/>
    <x v="2"/>
    <x v="2"/>
    <x v="2"/>
    <x v="790"/>
  </r>
  <r>
    <x v="792"/>
    <x v="379"/>
    <x v="5"/>
    <x v="0"/>
    <x v="3"/>
    <x v="789"/>
    <x v="6"/>
    <x v="1"/>
    <x v="790"/>
    <x v="516"/>
    <x v="0"/>
    <x v="2"/>
    <x v="792"/>
    <x v="5"/>
    <x v="3"/>
    <x v="3"/>
    <x v="791"/>
  </r>
  <r>
    <x v="793"/>
    <x v="116"/>
    <x v="6"/>
    <x v="1"/>
    <x v="3"/>
    <x v="790"/>
    <x v="3"/>
    <x v="0"/>
    <x v="791"/>
    <x v="335"/>
    <x v="0"/>
    <x v="3"/>
    <x v="793"/>
    <x v="2"/>
    <x v="2"/>
    <x v="1"/>
    <x v="792"/>
  </r>
  <r>
    <x v="794"/>
    <x v="338"/>
    <x v="9"/>
    <x v="0"/>
    <x v="0"/>
    <x v="791"/>
    <x v="4"/>
    <x v="3"/>
    <x v="792"/>
    <x v="517"/>
    <x v="1"/>
    <x v="3"/>
    <x v="794"/>
    <x v="6"/>
    <x v="1"/>
    <x v="0"/>
    <x v="793"/>
  </r>
  <r>
    <x v="795"/>
    <x v="540"/>
    <x v="7"/>
    <x v="1"/>
    <x v="2"/>
    <x v="792"/>
    <x v="5"/>
    <x v="3"/>
    <x v="793"/>
    <x v="518"/>
    <x v="1"/>
    <x v="4"/>
    <x v="795"/>
    <x v="0"/>
    <x v="0"/>
    <x v="0"/>
    <x v="794"/>
  </r>
  <r>
    <x v="796"/>
    <x v="541"/>
    <x v="6"/>
    <x v="2"/>
    <x v="3"/>
    <x v="793"/>
    <x v="1"/>
    <x v="4"/>
    <x v="794"/>
    <x v="189"/>
    <x v="3"/>
    <x v="2"/>
    <x v="796"/>
    <x v="2"/>
    <x v="3"/>
    <x v="3"/>
    <x v="795"/>
  </r>
  <r>
    <x v="797"/>
    <x v="146"/>
    <x v="2"/>
    <x v="0"/>
    <x v="0"/>
    <x v="794"/>
    <x v="5"/>
    <x v="1"/>
    <x v="795"/>
    <x v="519"/>
    <x v="0"/>
    <x v="2"/>
    <x v="797"/>
    <x v="7"/>
    <x v="2"/>
    <x v="3"/>
    <x v="796"/>
  </r>
  <r>
    <x v="798"/>
    <x v="542"/>
    <x v="4"/>
    <x v="2"/>
    <x v="3"/>
    <x v="795"/>
    <x v="1"/>
    <x v="0"/>
    <x v="796"/>
    <x v="262"/>
    <x v="0"/>
    <x v="2"/>
    <x v="798"/>
    <x v="6"/>
    <x v="1"/>
    <x v="2"/>
    <x v="797"/>
  </r>
  <r>
    <x v="799"/>
    <x v="397"/>
    <x v="6"/>
    <x v="0"/>
    <x v="3"/>
    <x v="796"/>
    <x v="5"/>
    <x v="3"/>
    <x v="797"/>
    <x v="228"/>
    <x v="0"/>
    <x v="2"/>
    <x v="799"/>
    <x v="4"/>
    <x v="1"/>
    <x v="2"/>
    <x v="798"/>
  </r>
  <r>
    <x v="800"/>
    <x v="210"/>
    <x v="9"/>
    <x v="2"/>
    <x v="0"/>
    <x v="797"/>
    <x v="2"/>
    <x v="2"/>
    <x v="798"/>
    <x v="520"/>
    <x v="1"/>
    <x v="2"/>
    <x v="800"/>
    <x v="1"/>
    <x v="3"/>
    <x v="3"/>
    <x v="799"/>
  </r>
  <r>
    <x v="801"/>
    <x v="71"/>
    <x v="4"/>
    <x v="0"/>
    <x v="3"/>
    <x v="27"/>
    <x v="4"/>
    <x v="3"/>
    <x v="799"/>
    <x v="521"/>
    <x v="0"/>
    <x v="4"/>
    <x v="801"/>
    <x v="2"/>
    <x v="1"/>
    <x v="3"/>
    <x v="800"/>
  </r>
  <r>
    <x v="802"/>
    <x v="11"/>
    <x v="2"/>
    <x v="1"/>
    <x v="0"/>
    <x v="798"/>
    <x v="3"/>
    <x v="0"/>
    <x v="800"/>
    <x v="522"/>
    <x v="3"/>
    <x v="1"/>
    <x v="802"/>
    <x v="5"/>
    <x v="1"/>
    <x v="2"/>
    <x v="801"/>
  </r>
  <r>
    <x v="803"/>
    <x v="38"/>
    <x v="1"/>
    <x v="0"/>
    <x v="1"/>
    <x v="799"/>
    <x v="0"/>
    <x v="0"/>
    <x v="801"/>
    <x v="44"/>
    <x v="0"/>
    <x v="2"/>
    <x v="803"/>
    <x v="3"/>
    <x v="0"/>
    <x v="1"/>
    <x v="802"/>
  </r>
  <r>
    <x v="804"/>
    <x v="543"/>
    <x v="0"/>
    <x v="1"/>
    <x v="0"/>
    <x v="800"/>
    <x v="3"/>
    <x v="4"/>
    <x v="802"/>
    <x v="523"/>
    <x v="1"/>
    <x v="3"/>
    <x v="804"/>
    <x v="2"/>
    <x v="1"/>
    <x v="2"/>
    <x v="803"/>
  </r>
  <r>
    <x v="805"/>
    <x v="12"/>
    <x v="3"/>
    <x v="1"/>
    <x v="2"/>
    <x v="801"/>
    <x v="5"/>
    <x v="0"/>
    <x v="803"/>
    <x v="524"/>
    <x v="3"/>
    <x v="1"/>
    <x v="805"/>
    <x v="8"/>
    <x v="0"/>
    <x v="2"/>
    <x v="804"/>
  </r>
  <r>
    <x v="806"/>
    <x v="544"/>
    <x v="11"/>
    <x v="0"/>
    <x v="1"/>
    <x v="802"/>
    <x v="3"/>
    <x v="0"/>
    <x v="804"/>
    <x v="240"/>
    <x v="1"/>
    <x v="4"/>
    <x v="806"/>
    <x v="6"/>
    <x v="3"/>
    <x v="0"/>
    <x v="805"/>
  </r>
  <r>
    <x v="807"/>
    <x v="337"/>
    <x v="7"/>
    <x v="1"/>
    <x v="2"/>
    <x v="803"/>
    <x v="0"/>
    <x v="4"/>
    <x v="805"/>
    <x v="525"/>
    <x v="1"/>
    <x v="3"/>
    <x v="807"/>
    <x v="3"/>
    <x v="0"/>
    <x v="4"/>
    <x v="806"/>
  </r>
  <r>
    <x v="808"/>
    <x v="545"/>
    <x v="2"/>
    <x v="1"/>
    <x v="0"/>
    <x v="804"/>
    <x v="6"/>
    <x v="4"/>
    <x v="806"/>
    <x v="526"/>
    <x v="2"/>
    <x v="0"/>
    <x v="808"/>
    <x v="1"/>
    <x v="2"/>
    <x v="4"/>
    <x v="807"/>
  </r>
  <r>
    <x v="809"/>
    <x v="398"/>
    <x v="6"/>
    <x v="1"/>
    <x v="3"/>
    <x v="805"/>
    <x v="6"/>
    <x v="0"/>
    <x v="807"/>
    <x v="60"/>
    <x v="0"/>
    <x v="0"/>
    <x v="809"/>
    <x v="8"/>
    <x v="0"/>
    <x v="0"/>
    <x v="808"/>
  </r>
  <r>
    <x v="810"/>
    <x v="546"/>
    <x v="4"/>
    <x v="0"/>
    <x v="3"/>
    <x v="806"/>
    <x v="2"/>
    <x v="2"/>
    <x v="808"/>
    <x v="527"/>
    <x v="2"/>
    <x v="1"/>
    <x v="810"/>
    <x v="3"/>
    <x v="2"/>
    <x v="1"/>
    <x v="809"/>
  </r>
  <r>
    <x v="811"/>
    <x v="212"/>
    <x v="7"/>
    <x v="0"/>
    <x v="2"/>
    <x v="807"/>
    <x v="5"/>
    <x v="1"/>
    <x v="809"/>
    <x v="497"/>
    <x v="3"/>
    <x v="0"/>
    <x v="811"/>
    <x v="0"/>
    <x v="0"/>
    <x v="2"/>
    <x v="810"/>
  </r>
  <r>
    <x v="812"/>
    <x v="547"/>
    <x v="0"/>
    <x v="1"/>
    <x v="0"/>
    <x v="808"/>
    <x v="1"/>
    <x v="1"/>
    <x v="810"/>
    <x v="228"/>
    <x v="2"/>
    <x v="1"/>
    <x v="812"/>
    <x v="5"/>
    <x v="1"/>
    <x v="4"/>
    <x v="811"/>
  </r>
  <r>
    <x v="813"/>
    <x v="175"/>
    <x v="9"/>
    <x v="2"/>
    <x v="0"/>
    <x v="809"/>
    <x v="5"/>
    <x v="0"/>
    <x v="811"/>
    <x v="239"/>
    <x v="0"/>
    <x v="1"/>
    <x v="813"/>
    <x v="2"/>
    <x v="1"/>
    <x v="2"/>
    <x v="812"/>
  </r>
  <r>
    <x v="814"/>
    <x v="218"/>
    <x v="8"/>
    <x v="1"/>
    <x v="2"/>
    <x v="810"/>
    <x v="3"/>
    <x v="3"/>
    <x v="812"/>
    <x v="528"/>
    <x v="0"/>
    <x v="4"/>
    <x v="814"/>
    <x v="4"/>
    <x v="3"/>
    <x v="0"/>
    <x v="813"/>
  </r>
  <r>
    <x v="815"/>
    <x v="548"/>
    <x v="1"/>
    <x v="1"/>
    <x v="1"/>
    <x v="811"/>
    <x v="4"/>
    <x v="4"/>
    <x v="813"/>
    <x v="529"/>
    <x v="3"/>
    <x v="1"/>
    <x v="815"/>
    <x v="2"/>
    <x v="3"/>
    <x v="0"/>
    <x v="814"/>
  </r>
  <r>
    <x v="816"/>
    <x v="444"/>
    <x v="2"/>
    <x v="1"/>
    <x v="0"/>
    <x v="812"/>
    <x v="2"/>
    <x v="0"/>
    <x v="814"/>
    <x v="191"/>
    <x v="2"/>
    <x v="4"/>
    <x v="816"/>
    <x v="2"/>
    <x v="3"/>
    <x v="1"/>
    <x v="815"/>
  </r>
  <r>
    <x v="817"/>
    <x v="469"/>
    <x v="3"/>
    <x v="0"/>
    <x v="2"/>
    <x v="813"/>
    <x v="3"/>
    <x v="3"/>
    <x v="815"/>
    <x v="530"/>
    <x v="2"/>
    <x v="3"/>
    <x v="817"/>
    <x v="0"/>
    <x v="3"/>
    <x v="2"/>
    <x v="816"/>
  </r>
  <r>
    <x v="818"/>
    <x v="521"/>
    <x v="9"/>
    <x v="0"/>
    <x v="0"/>
    <x v="814"/>
    <x v="1"/>
    <x v="3"/>
    <x v="816"/>
    <x v="458"/>
    <x v="2"/>
    <x v="1"/>
    <x v="818"/>
    <x v="6"/>
    <x v="3"/>
    <x v="1"/>
    <x v="817"/>
  </r>
  <r>
    <x v="819"/>
    <x v="335"/>
    <x v="11"/>
    <x v="1"/>
    <x v="1"/>
    <x v="815"/>
    <x v="1"/>
    <x v="1"/>
    <x v="817"/>
    <x v="531"/>
    <x v="0"/>
    <x v="1"/>
    <x v="819"/>
    <x v="0"/>
    <x v="0"/>
    <x v="4"/>
    <x v="818"/>
  </r>
  <r>
    <x v="820"/>
    <x v="156"/>
    <x v="4"/>
    <x v="0"/>
    <x v="3"/>
    <x v="816"/>
    <x v="1"/>
    <x v="0"/>
    <x v="818"/>
    <x v="296"/>
    <x v="4"/>
    <x v="2"/>
    <x v="820"/>
    <x v="5"/>
    <x v="1"/>
    <x v="2"/>
    <x v="819"/>
  </r>
  <r>
    <x v="821"/>
    <x v="549"/>
    <x v="8"/>
    <x v="1"/>
    <x v="2"/>
    <x v="817"/>
    <x v="5"/>
    <x v="3"/>
    <x v="819"/>
    <x v="288"/>
    <x v="2"/>
    <x v="3"/>
    <x v="821"/>
    <x v="3"/>
    <x v="0"/>
    <x v="3"/>
    <x v="820"/>
  </r>
  <r>
    <x v="822"/>
    <x v="175"/>
    <x v="9"/>
    <x v="2"/>
    <x v="0"/>
    <x v="818"/>
    <x v="1"/>
    <x v="2"/>
    <x v="820"/>
    <x v="66"/>
    <x v="3"/>
    <x v="2"/>
    <x v="822"/>
    <x v="9"/>
    <x v="0"/>
    <x v="4"/>
    <x v="821"/>
  </r>
  <r>
    <x v="823"/>
    <x v="550"/>
    <x v="3"/>
    <x v="1"/>
    <x v="2"/>
    <x v="819"/>
    <x v="5"/>
    <x v="3"/>
    <x v="821"/>
    <x v="532"/>
    <x v="2"/>
    <x v="0"/>
    <x v="823"/>
    <x v="2"/>
    <x v="3"/>
    <x v="0"/>
    <x v="822"/>
  </r>
  <r>
    <x v="824"/>
    <x v="193"/>
    <x v="1"/>
    <x v="0"/>
    <x v="1"/>
    <x v="820"/>
    <x v="0"/>
    <x v="4"/>
    <x v="822"/>
    <x v="533"/>
    <x v="2"/>
    <x v="2"/>
    <x v="824"/>
    <x v="1"/>
    <x v="1"/>
    <x v="3"/>
    <x v="823"/>
  </r>
  <r>
    <x v="825"/>
    <x v="18"/>
    <x v="9"/>
    <x v="2"/>
    <x v="0"/>
    <x v="821"/>
    <x v="6"/>
    <x v="0"/>
    <x v="823"/>
    <x v="534"/>
    <x v="1"/>
    <x v="2"/>
    <x v="825"/>
    <x v="0"/>
    <x v="1"/>
    <x v="0"/>
    <x v="824"/>
  </r>
  <r>
    <x v="826"/>
    <x v="177"/>
    <x v="9"/>
    <x v="2"/>
    <x v="0"/>
    <x v="822"/>
    <x v="4"/>
    <x v="4"/>
    <x v="824"/>
    <x v="160"/>
    <x v="1"/>
    <x v="2"/>
    <x v="826"/>
    <x v="2"/>
    <x v="3"/>
    <x v="2"/>
    <x v="825"/>
  </r>
  <r>
    <x v="827"/>
    <x v="551"/>
    <x v="4"/>
    <x v="0"/>
    <x v="3"/>
    <x v="823"/>
    <x v="2"/>
    <x v="1"/>
    <x v="825"/>
    <x v="187"/>
    <x v="4"/>
    <x v="3"/>
    <x v="827"/>
    <x v="3"/>
    <x v="3"/>
    <x v="0"/>
    <x v="826"/>
  </r>
  <r>
    <x v="828"/>
    <x v="25"/>
    <x v="10"/>
    <x v="1"/>
    <x v="1"/>
    <x v="824"/>
    <x v="3"/>
    <x v="3"/>
    <x v="826"/>
    <x v="535"/>
    <x v="4"/>
    <x v="0"/>
    <x v="828"/>
    <x v="3"/>
    <x v="1"/>
    <x v="0"/>
    <x v="827"/>
  </r>
  <r>
    <x v="829"/>
    <x v="483"/>
    <x v="2"/>
    <x v="0"/>
    <x v="0"/>
    <x v="825"/>
    <x v="0"/>
    <x v="2"/>
    <x v="827"/>
    <x v="536"/>
    <x v="0"/>
    <x v="3"/>
    <x v="829"/>
    <x v="5"/>
    <x v="3"/>
    <x v="0"/>
    <x v="828"/>
  </r>
  <r>
    <x v="830"/>
    <x v="218"/>
    <x v="8"/>
    <x v="1"/>
    <x v="2"/>
    <x v="826"/>
    <x v="2"/>
    <x v="3"/>
    <x v="828"/>
    <x v="537"/>
    <x v="4"/>
    <x v="3"/>
    <x v="830"/>
    <x v="3"/>
    <x v="0"/>
    <x v="2"/>
    <x v="829"/>
  </r>
  <r>
    <x v="831"/>
    <x v="552"/>
    <x v="8"/>
    <x v="0"/>
    <x v="2"/>
    <x v="827"/>
    <x v="4"/>
    <x v="1"/>
    <x v="829"/>
    <x v="441"/>
    <x v="1"/>
    <x v="4"/>
    <x v="831"/>
    <x v="3"/>
    <x v="2"/>
    <x v="4"/>
    <x v="830"/>
  </r>
  <r>
    <x v="832"/>
    <x v="553"/>
    <x v="9"/>
    <x v="1"/>
    <x v="0"/>
    <x v="828"/>
    <x v="3"/>
    <x v="0"/>
    <x v="830"/>
    <x v="13"/>
    <x v="1"/>
    <x v="4"/>
    <x v="832"/>
    <x v="8"/>
    <x v="0"/>
    <x v="1"/>
    <x v="831"/>
  </r>
  <r>
    <x v="833"/>
    <x v="387"/>
    <x v="9"/>
    <x v="2"/>
    <x v="0"/>
    <x v="829"/>
    <x v="1"/>
    <x v="0"/>
    <x v="831"/>
    <x v="538"/>
    <x v="2"/>
    <x v="0"/>
    <x v="833"/>
    <x v="3"/>
    <x v="3"/>
    <x v="1"/>
    <x v="832"/>
  </r>
  <r>
    <x v="834"/>
    <x v="166"/>
    <x v="6"/>
    <x v="1"/>
    <x v="3"/>
    <x v="830"/>
    <x v="4"/>
    <x v="0"/>
    <x v="832"/>
    <x v="206"/>
    <x v="4"/>
    <x v="2"/>
    <x v="834"/>
    <x v="8"/>
    <x v="2"/>
    <x v="0"/>
    <x v="833"/>
  </r>
  <r>
    <x v="835"/>
    <x v="290"/>
    <x v="9"/>
    <x v="1"/>
    <x v="0"/>
    <x v="831"/>
    <x v="6"/>
    <x v="2"/>
    <x v="833"/>
    <x v="539"/>
    <x v="0"/>
    <x v="0"/>
    <x v="835"/>
    <x v="5"/>
    <x v="1"/>
    <x v="4"/>
    <x v="834"/>
  </r>
  <r>
    <x v="836"/>
    <x v="488"/>
    <x v="2"/>
    <x v="0"/>
    <x v="0"/>
    <x v="832"/>
    <x v="1"/>
    <x v="2"/>
    <x v="834"/>
    <x v="450"/>
    <x v="2"/>
    <x v="1"/>
    <x v="836"/>
    <x v="7"/>
    <x v="1"/>
    <x v="4"/>
    <x v="835"/>
  </r>
  <r>
    <x v="837"/>
    <x v="554"/>
    <x v="5"/>
    <x v="2"/>
    <x v="3"/>
    <x v="833"/>
    <x v="3"/>
    <x v="0"/>
    <x v="835"/>
    <x v="429"/>
    <x v="1"/>
    <x v="3"/>
    <x v="837"/>
    <x v="3"/>
    <x v="2"/>
    <x v="2"/>
    <x v="836"/>
  </r>
  <r>
    <x v="838"/>
    <x v="166"/>
    <x v="6"/>
    <x v="1"/>
    <x v="3"/>
    <x v="834"/>
    <x v="6"/>
    <x v="3"/>
    <x v="836"/>
    <x v="65"/>
    <x v="1"/>
    <x v="4"/>
    <x v="838"/>
    <x v="2"/>
    <x v="2"/>
    <x v="3"/>
    <x v="837"/>
  </r>
  <r>
    <x v="839"/>
    <x v="318"/>
    <x v="1"/>
    <x v="0"/>
    <x v="1"/>
    <x v="835"/>
    <x v="3"/>
    <x v="4"/>
    <x v="837"/>
    <x v="492"/>
    <x v="1"/>
    <x v="1"/>
    <x v="839"/>
    <x v="3"/>
    <x v="2"/>
    <x v="4"/>
    <x v="838"/>
  </r>
  <r>
    <x v="840"/>
    <x v="555"/>
    <x v="0"/>
    <x v="1"/>
    <x v="0"/>
    <x v="836"/>
    <x v="3"/>
    <x v="4"/>
    <x v="838"/>
    <x v="364"/>
    <x v="2"/>
    <x v="3"/>
    <x v="840"/>
    <x v="0"/>
    <x v="1"/>
    <x v="1"/>
    <x v="839"/>
  </r>
  <r>
    <x v="841"/>
    <x v="556"/>
    <x v="11"/>
    <x v="1"/>
    <x v="1"/>
    <x v="837"/>
    <x v="4"/>
    <x v="1"/>
    <x v="839"/>
    <x v="540"/>
    <x v="2"/>
    <x v="3"/>
    <x v="841"/>
    <x v="3"/>
    <x v="2"/>
    <x v="3"/>
    <x v="840"/>
  </r>
  <r>
    <x v="842"/>
    <x v="106"/>
    <x v="4"/>
    <x v="2"/>
    <x v="3"/>
    <x v="838"/>
    <x v="5"/>
    <x v="4"/>
    <x v="840"/>
    <x v="467"/>
    <x v="1"/>
    <x v="4"/>
    <x v="842"/>
    <x v="0"/>
    <x v="3"/>
    <x v="1"/>
    <x v="841"/>
  </r>
  <r>
    <x v="843"/>
    <x v="557"/>
    <x v="4"/>
    <x v="2"/>
    <x v="3"/>
    <x v="839"/>
    <x v="6"/>
    <x v="4"/>
    <x v="841"/>
    <x v="541"/>
    <x v="3"/>
    <x v="1"/>
    <x v="843"/>
    <x v="2"/>
    <x v="1"/>
    <x v="0"/>
    <x v="842"/>
  </r>
  <r>
    <x v="844"/>
    <x v="558"/>
    <x v="8"/>
    <x v="1"/>
    <x v="2"/>
    <x v="840"/>
    <x v="3"/>
    <x v="2"/>
    <x v="842"/>
    <x v="542"/>
    <x v="1"/>
    <x v="2"/>
    <x v="844"/>
    <x v="3"/>
    <x v="1"/>
    <x v="3"/>
    <x v="843"/>
  </r>
  <r>
    <x v="845"/>
    <x v="345"/>
    <x v="3"/>
    <x v="0"/>
    <x v="2"/>
    <x v="841"/>
    <x v="1"/>
    <x v="4"/>
    <x v="843"/>
    <x v="543"/>
    <x v="3"/>
    <x v="3"/>
    <x v="845"/>
    <x v="3"/>
    <x v="1"/>
    <x v="4"/>
    <x v="844"/>
  </r>
  <r>
    <x v="846"/>
    <x v="502"/>
    <x v="10"/>
    <x v="1"/>
    <x v="1"/>
    <x v="842"/>
    <x v="6"/>
    <x v="1"/>
    <x v="844"/>
    <x v="544"/>
    <x v="0"/>
    <x v="1"/>
    <x v="846"/>
    <x v="4"/>
    <x v="2"/>
    <x v="1"/>
    <x v="845"/>
  </r>
  <r>
    <x v="847"/>
    <x v="249"/>
    <x v="7"/>
    <x v="1"/>
    <x v="2"/>
    <x v="843"/>
    <x v="4"/>
    <x v="3"/>
    <x v="845"/>
    <x v="247"/>
    <x v="1"/>
    <x v="0"/>
    <x v="847"/>
    <x v="2"/>
    <x v="1"/>
    <x v="2"/>
    <x v="846"/>
  </r>
  <r>
    <x v="848"/>
    <x v="107"/>
    <x v="0"/>
    <x v="0"/>
    <x v="0"/>
    <x v="844"/>
    <x v="3"/>
    <x v="1"/>
    <x v="846"/>
    <x v="56"/>
    <x v="1"/>
    <x v="0"/>
    <x v="848"/>
    <x v="3"/>
    <x v="2"/>
    <x v="1"/>
    <x v="847"/>
  </r>
  <r>
    <x v="849"/>
    <x v="559"/>
    <x v="5"/>
    <x v="2"/>
    <x v="3"/>
    <x v="845"/>
    <x v="4"/>
    <x v="3"/>
    <x v="847"/>
    <x v="533"/>
    <x v="0"/>
    <x v="1"/>
    <x v="849"/>
    <x v="0"/>
    <x v="3"/>
    <x v="1"/>
    <x v="848"/>
  </r>
  <r>
    <x v="850"/>
    <x v="560"/>
    <x v="6"/>
    <x v="2"/>
    <x v="3"/>
    <x v="846"/>
    <x v="0"/>
    <x v="4"/>
    <x v="848"/>
    <x v="483"/>
    <x v="0"/>
    <x v="1"/>
    <x v="850"/>
    <x v="4"/>
    <x v="1"/>
    <x v="0"/>
    <x v="849"/>
  </r>
  <r>
    <x v="851"/>
    <x v="427"/>
    <x v="8"/>
    <x v="0"/>
    <x v="2"/>
    <x v="847"/>
    <x v="5"/>
    <x v="2"/>
    <x v="849"/>
    <x v="72"/>
    <x v="1"/>
    <x v="1"/>
    <x v="851"/>
    <x v="3"/>
    <x v="0"/>
    <x v="2"/>
    <x v="850"/>
  </r>
  <r>
    <x v="852"/>
    <x v="101"/>
    <x v="3"/>
    <x v="1"/>
    <x v="2"/>
    <x v="848"/>
    <x v="6"/>
    <x v="4"/>
    <x v="850"/>
    <x v="545"/>
    <x v="3"/>
    <x v="4"/>
    <x v="852"/>
    <x v="5"/>
    <x v="0"/>
    <x v="4"/>
    <x v="851"/>
  </r>
  <r>
    <x v="853"/>
    <x v="504"/>
    <x v="3"/>
    <x v="0"/>
    <x v="2"/>
    <x v="849"/>
    <x v="4"/>
    <x v="4"/>
    <x v="851"/>
    <x v="253"/>
    <x v="4"/>
    <x v="2"/>
    <x v="853"/>
    <x v="4"/>
    <x v="0"/>
    <x v="3"/>
    <x v="852"/>
  </r>
  <r>
    <x v="854"/>
    <x v="399"/>
    <x v="5"/>
    <x v="2"/>
    <x v="3"/>
    <x v="850"/>
    <x v="5"/>
    <x v="4"/>
    <x v="852"/>
    <x v="349"/>
    <x v="2"/>
    <x v="3"/>
    <x v="854"/>
    <x v="0"/>
    <x v="3"/>
    <x v="1"/>
    <x v="853"/>
  </r>
  <r>
    <x v="855"/>
    <x v="551"/>
    <x v="4"/>
    <x v="0"/>
    <x v="3"/>
    <x v="851"/>
    <x v="0"/>
    <x v="0"/>
    <x v="853"/>
    <x v="214"/>
    <x v="2"/>
    <x v="0"/>
    <x v="855"/>
    <x v="8"/>
    <x v="1"/>
    <x v="2"/>
    <x v="854"/>
  </r>
  <r>
    <x v="856"/>
    <x v="561"/>
    <x v="5"/>
    <x v="1"/>
    <x v="3"/>
    <x v="852"/>
    <x v="1"/>
    <x v="2"/>
    <x v="854"/>
    <x v="42"/>
    <x v="0"/>
    <x v="0"/>
    <x v="856"/>
    <x v="3"/>
    <x v="2"/>
    <x v="3"/>
    <x v="855"/>
  </r>
  <r>
    <x v="857"/>
    <x v="416"/>
    <x v="9"/>
    <x v="1"/>
    <x v="0"/>
    <x v="853"/>
    <x v="1"/>
    <x v="4"/>
    <x v="855"/>
    <x v="184"/>
    <x v="1"/>
    <x v="3"/>
    <x v="857"/>
    <x v="4"/>
    <x v="2"/>
    <x v="0"/>
    <x v="856"/>
  </r>
  <r>
    <x v="858"/>
    <x v="38"/>
    <x v="1"/>
    <x v="0"/>
    <x v="1"/>
    <x v="854"/>
    <x v="2"/>
    <x v="0"/>
    <x v="856"/>
    <x v="18"/>
    <x v="1"/>
    <x v="4"/>
    <x v="858"/>
    <x v="6"/>
    <x v="2"/>
    <x v="3"/>
    <x v="857"/>
  </r>
  <r>
    <x v="859"/>
    <x v="562"/>
    <x v="1"/>
    <x v="1"/>
    <x v="1"/>
    <x v="855"/>
    <x v="3"/>
    <x v="0"/>
    <x v="857"/>
    <x v="432"/>
    <x v="2"/>
    <x v="2"/>
    <x v="859"/>
    <x v="3"/>
    <x v="0"/>
    <x v="1"/>
    <x v="858"/>
  </r>
  <r>
    <x v="860"/>
    <x v="514"/>
    <x v="0"/>
    <x v="1"/>
    <x v="0"/>
    <x v="856"/>
    <x v="4"/>
    <x v="2"/>
    <x v="858"/>
    <x v="289"/>
    <x v="4"/>
    <x v="3"/>
    <x v="860"/>
    <x v="9"/>
    <x v="0"/>
    <x v="4"/>
    <x v="859"/>
  </r>
  <r>
    <x v="861"/>
    <x v="111"/>
    <x v="9"/>
    <x v="0"/>
    <x v="0"/>
    <x v="857"/>
    <x v="6"/>
    <x v="0"/>
    <x v="859"/>
    <x v="546"/>
    <x v="3"/>
    <x v="0"/>
    <x v="861"/>
    <x v="8"/>
    <x v="1"/>
    <x v="4"/>
    <x v="860"/>
  </r>
  <r>
    <x v="862"/>
    <x v="278"/>
    <x v="8"/>
    <x v="0"/>
    <x v="2"/>
    <x v="858"/>
    <x v="6"/>
    <x v="4"/>
    <x v="860"/>
    <x v="472"/>
    <x v="2"/>
    <x v="0"/>
    <x v="862"/>
    <x v="3"/>
    <x v="0"/>
    <x v="1"/>
    <x v="861"/>
  </r>
  <r>
    <x v="863"/>
    <x v="199"/>
    <x v="4"/>
    <x v="1"/>
    <x v="3"/>
    <x v="859"/>
    <x v="1"/>
    <x v="2"/>
    <x v="861"/>
    <x v="215"/>
    <x v="2"/>
    <x v="4"/>
    <x v="863"/>
    <x v="3"/>
    <x v="0"/>
    <x v="1"/>
    <x v="862"/>
  </r>
  <r>
    <x v="864"/>
    <x v="71"/>
    <x v="4"/>
    <x v="0"/>
    <x v="3"/>
    <x v="860"/>
    <x v="6"/>
    <x v="2"/>
    <x v="862"/>
    <x v="547"/>
    <x v="2"/>
    <x v="3"/>
    <x v="864"/>
    <x v="4"/>
    <x v="0"/>
    <x v="3"/>
    <x v="863"/>
  </r>
  <r>
    <x v="865"/>
    <x v="563"/>
    <x v="6"/>
    <x v="0"/>
    <x v="3"/>
    <x v="861"/>
    <x v="0"/>
    <x v="3"/>
    <x v="863"/>
    <x v="548"/>
    <x v="4"/>
    <x v="4"/>
    <x v="865"/>
    <x v="2"/>
    <x v="0"/>
    <x v="4"/>
    <x v="864"/>
  </r>
  <r>
    <x v="866"/>
    <x v="503"/>
    <x v="10"/>
    <x v="1"/>
    <x v="1"/>
    <x v="862"/>
    <x v="6"/>
    <x v="0"/>
    <x v="864"/>
    <x v="549"/>
    <x v="0"/>
    <x v="1"/>
    <x v="866"/>
    <x v="8"/>
    <x v="3"/>
    <x v="2"/>
    <x v="865"/>
  </r>
  <r>
    <x v="867"/>
    <x v="564"/>
    <x v="4"/>
    <x v="1"/>
    <x v="3"/>
    <x v="863"/>
    <x v="4"/>
    <x v="3"/>
    <x v="865"/>
    <x v="550"/>
    <x v="4"/>
    <x v="3"/>
    <x v="867"/>
    <x v="4"/>
    <x v="1"/>
    <x v="3"/>
    <x v="866"/>
  </r>
  <r>
    <x v="868"/>
    <x v="310"/>
    <x v="5"/>
    <x v="1"/>
    <x v="3"/>
    <x v="864"/>
    <x v="0"/>
    <x v="3"/>
    <x v="866"/>
    <x v="551"/>
    <x v="0"/>
    <x v="3"/>
    <x v="868"/>
    <x v="0"/>
    <x v="2"/>
    <x v="3"/>
    <x v="867"/>
  </r>
  <r>
    <x v="869"/>
    <x v="537"/>
    <x v="9"/>
    <x v="1"/>
    <x v="0"/>
    <x v="865"/>
    <x v="6"/>
    <x v="1"/>
    <x v="867"/>
    <x v="156"/>
    <x v="1"/>
    <x v="3"/>
    <x v="869"/>
    <x v="3"/>
    <x v="3"/>
    <x v="4"/>
    <x v="868"/>
  </r>
  <r>
    <x v="870"/>
    <x v="565"/>
    <x v="5"/>
    <x v="2"/>
    <x v="3"/>
    <x v="866"/>
    <x v="1"/>
    <x v="3"/>
    <x v="868"/>
    <x v="552"/>
    <x v="0"/>
    <x v="3"/>
    <x v="870"/>
    <x v="4"/>
    <x v="1"/>
    <x v="4"/>
    <x v="869"/>
  </r>
  <r>
    <x v="871"/>
    <x v="149"/>
    <x v="4"/>
    <x v="1"/>
    <x v="3"/>
    <x v="867"/>
    <x v="2"/>
    <x v="4"/>
    <x v="869"/>
    <x v="553"/>
    <x v="0"/>
    <x v="4"/>
    <x v="871"/>
    <x v="2"/>
    <x v="1"/>
    <x v="2"/>
    <x v="870"/>
  </r>
  <r>
    <x v="872"/>
    <x v="566"/>
    <x v="10"/>
    <x v="0"/>
    <x v="1"/>
    <x v="868"/>
    <x v="3"/>
    <x v="3"/>
    <x v="120"/>
    <x v="180"/>
    <x v="4"/>
    <x v="0"/>
    <x v="872"/>
    <x v="0"/>
    <x v="2"/>
    <x v="2"/>
    <x v="120"/>
  </r>
  <r>
    <x v="873"/>
    <x v="258"/>
    <x v="4"/>
    <x v="1"/>
    <x v="3"/>
    <x v="869"/>
    <x v="6"/>
    <x v="4"/>
    <x v="503"/>
    <x v="554"/>
    <x v="4"/>
    <x v="3"/>
    <x v="873"/>
    <x v="1"/>
    <x v="0"/>
    <x v="3"/>
    <x v="502"/>
  </r>
  <r>
    <x v="874"/>
    <x v="150"/>
    <x v="3"/>
    <x v="0"/>
    <x v="2"/>
    <x v="870"/>
    <x v="3"/>
    <x v="1"/>
    <x v="870"/>
    <x v="476"/>
    <x v="4"/>
    <x v="3"/>
    <x v="874"/>
    <x v="0"/>
    <x v="1"/>
    <x v="3"/>
    <x v="871"/>
  </r>
  <r>
    <x v="875"/>
    <x v="567"/>
    <x v="1"/>
    <x v="0"/>
    <x v="1"/>
    <x v="871"/>
    <x v="5"/>
    <x v="0"/>
    <x v="871"/>
    <x v="86"/>
    <x v="2"/>
    <x v="3"/>
    <x v="875"/>
    <x v="5"/>
    <x v="1"/>
    <x v="1"/>
    <x v="872"/>
  </r>
  <r>
    <x v="876"/>
    <x v="410"/>
    <x v="5"/>
    <x v="1"/>
    <x v="3"/>
    <x v="872"/>
    <x v="3"/>
    <x v="0"/>
    <x v="872"/>
    <x v="490"/>
    <x v="3"/>
    <x v="4"/>
    <x v="876"/>
    <x v="5"/>
    <x v="0"/>
    <x v="4"/>
    <x v="873"/>
  </r>
  <r>
    <x v="877"/>
    <x v="568"/>
    <x v="10"/>
    <x v="1"/>
    <x v="1"/>
    <x v="873"/>
    <x v="2"/>
    <x v="2"/>
    <x v="873"/>
    <x v="437"/>
    <x v="0"/>
    <x v="4"/>
    <x v="877"/>
    <x v="1"/>
    <x v="1"/>
    <x v="2"/>
    <x v="874"/>
  </r>
  <r>
    <x v="878"/>
    <x v="569"/>
    <x v="5"/>
    <x v="0"/>
    <x v="3"/>
    <x v="874"/>
    <x v="6"/>
    <x v="1"/>
    <x v="874"/>
    <x v="555"/>
    <x v="1"/>
    <x v="1"/>
    <x v="878"/>
    <x v="3"/>
    <x v="0"/>
    <x v="4"/>
    <x v="875"/>
  </r>
  <r>
    <x v="879"/>
    <x v="428"/>
    <x v="6"/>
    <x v="2"/>
    <x v="3"/>
    <x v="875"/>
    <x v="1"/>
    <x v="1"/>
    <x v="875"/>
    <x v="407"/>
    <x v="3"/>
    <x v="0"/>
    <x v="879"/>
    <x v="1"/>
    <x v="2"/>
    <x v="0"/>
    <x v="876"/>
  </r>
  <r>
    <x v="880"/>
    <x v="495"/>
    <x v="9"/>
    <x v="2"/>
    <x v="0"/>
    <x v="876"/>
    <x v="5"/>
    <x v="3"/>
    <x v="876"/>
    <x v="210"/>
    <x v="1"/>
    <x v="0"/>
    <x v="880"/>
    <x v="2"/>
    <x v="0"/>
    <x v="3"/>
    <x v="877"/>
  </r>
  <r>
    <x v="881"/>
    <x v="570"/>
    <x v="0"/>
    <x v="0"/>
    <x v="0"/>
    <x v="877"/>
    <x v="2"/>
    <x v="1"/>
    <x v="877"/>
    <x v="556"/>
    <x v="2"/>
    <x v="4"/>
    <x v="881"/>
    <x v="5"/>
    <x v="2"/>
    <x v="0"/>
    <x v="878"/>
  </r>
  <r>
    <x v="882"/>
    <x v="164"/>
    <x v="5"/>
    <x v="2"/>
    <x v="3"/>
    <x v="878"/>
    <x v="1"/>
    <x v="1"/>
    <x v="878"/>
    <x v="91"/>
    <x v="4"/>
    <x v="3"/>
    <x v="882"/>
    <x v="5"/>
    <x v="1"/>
    <x v="1"/>
    <x v="879"/>
  </r>
  <r>
    <x v="883"/>
    <x v="557"/>
    <x v="4"/>
    <x v="2"/>
    <x v="3"/>
    <x v="879"/>
    <x v="4"/>
    <x v="0"/>
    <x v="879"/>
    <x v="557"/>
    <x v="1"/>
    <x v="3"/>
    <x v="883"/>
    <x v="6"/>
    <x v="1"/>
    <x v="3"/>
    <x v="880"/>
  </r>
  <r>
    <x v="884"/>
    <x v="571"/>
    <x v="4"/>
    <x v="1"/>
    <x v="3"/>
    <x v="880"/>
    <x v="3"/>
    <x v="2"/>
    <x v="880"/>
    <x v="558"/>
    <x v="3"/>
    <x v="0"/>
    <x v="884"/>
    <x v="4"/>
    <x v="2"/>
    <x v="0"/>
    <x v="881"/>
  </r>
  <r>
    <x v="885"/>
    <x v="158"/>
    <x v="6"/>
    <x v="1"/>
    <x v="3"/>
    <x v="881"/>
    <x v="5"/>
    <x v="3"/>
    <x v="881"/>
    <x v="559"/>
    <x v="2"/>
    <x v="0"/>
    <x v="885"/>
    <x v="0"/>
    <x v="1"/>
    <x v="4"/>
    <x v="882"/>
  </r>
  <r>
    <x v="886"/>
    <x v="385"/>
    <x v="3"/>
    <x v="0"/>
    <x v="2"/>
    <x v="882"/>
    <x v="1"/>
    <x v="2"/>
    <x v="882"/>
    <x v="560"/>
    <x v="2"/>
    <x v="2"/>
    <x v="886"/>
    <x v="9"/>
    <x v="2"/>
    <x v="4"/>
    <x v="883"/>
  </r>
  <r>
    <x v="887"/>
    <x v="36"/>
    <x v="8"/>
    <x v="1"/>
    <x v="2"/>
    <x v="883"/>
    <x v="3"/>
    <x v="4"/>
    <x v="883"/>
    <x v="561"/>
    <x v="0"/>
    <x v="3"/>
    <x v="887"/>
    <x v="0"/>
    <x v="2"/>
    <x v="4"/>
    <x v="884"/>
  </r>
  <r>
    <x v="888"/>
    <x v="572"/>
    <x v="10"/>
    <x v="1"/>
    <x v="1"/>
    <x v="884"/>
    <x v="5"/>
    <x v="1"/>
    <x v="884"/>
    <x v="562"/>
    <x v="2"/>
    <x v="4"/>
    <x v="888"/>
    <x v="1"/>
    <x v="2"/>
    <x v="0"/>
    <x v="885"/>
  </r>
  <r>
    <x v="889"/>
    <x v="245"/>
    <x v="3"/>
    <x v="1"/>
    <x v="2"/>
    <x v="885"/>
    <x v="0"/>
    <x v="0"/>
    <x v="885"/>
    <x v="563"/>
    <x v="2"/>
    <x v="1"/>
    <x v="889"/>
    <x v="2"/>
    <x v="3"/>
    <x v="2"/>
    <x v="886"/>
  </r>
  <r>
    <x v="890"/>
    <x v="178"/>
    <x v="1"/>
    <x v="0"/>
    <x v="1"/>
    <x v="886"/>
    <x v="5"/>
    <x v="4"/>
    <x v="886"/>
    <x v="371"/>
    <x v="0"/>
    <x v="4"/>
    <x v="890"/>
    <x v="3"/>
    <x v="2"/>
    <x v="4"/>
    <x v="887"/>
  </r>
  <r>
    <x v="891"/>
    <x v="433"/>
    <x v="7"/>
    <x v="0"/>
    <x v="2"/>
    <x v="887"/>
    <x v="0"/>
    <x v="4"/>
    <x v="887"/>
    <x v="564"/>
    <x v="4"/>
    <x v="2"/>
    <x v="891"/>
    <x v="0"/>
    <x v="0"/>
    <x v="1"/>
    <x v="888"/>
  </r>
  <r>
    <x v="892"/>
    <x v="573"/>
    <x v="5"/>
    <x v="1"/>
    <x v="3"/>
    <x v="888"/>
    <x v="6"/>
    <x v="2"/>
    <x v="888"/>
    <x v="565"/>
    <x v="4"/>
    <x v="0"/>
    <x v="892"/>
    <x v="7"/>
    <x v="1"/>
    <x v="1"/>
    <x v="889"/>
  </r>
  <r>
    <x v="893"/>
    <x v="574"/>
    <x v="9"/>
    <x v="0"/>
    <x v="0"/>
    <x v="889"/>
    <x v="0"/>
    <x v="2"/>
    <x v="889"/>
    <x v="386"/>
    <x v="4"/>
    <x v="4"/>
    <x v="893"/>
    <x v="4"/>
    <x v="1"/>
    <x v="1"/>
    <x v="890"/>
  </r>
  <r>
    <x v="894"/>
    <x v="575"/>
    <x v="4"/>
    <x v="0"/>
    <x v="3"/>
    <x v="890"/>
    <x v="2"/>
    <x v="4"/>
    <x v="890"/>
    <x v="401"/>
    <x v="1"/>
    <x v="1"/>
    <x v="894"/>
    <x v="2"/>
    <x v="3"/>
    <x v="0"/>
    <x v="891"/>
  </r>
  <r>
    <x v="895"/>
    <x v="576"/>
    <x v="7"/>
    <x v="0"/>
    <x v="2"/>
    <x v="891"/>
    <x v="3"/>
    <x v="4"/>
    <x v="891"/>
    <x v="566"/>
    <x v="0"/>
    <x v="4"/>
    <x v="895"/>
    <x v="5"/>
    <x v="3"/>
    <x v="3"/>
    <x v="892"/>
  </r>
  <r>
    <x v="896"/>
    <x v="266"/>
    <x v="3"/>
    <x v="1"/>
    <x v="2"/>
    <x v="892"/>
    <x v="6"/>
    <x v="4"/>
    <x v="892"/>
    <x v="9"/>
    <x v="3"/>
    <x v="0"/>
    <x v="896"/>
    <x v="1"/>
    <x v="1"/>
    <x v="4"/>
    <x v="893"/>
  </r>
  <r>
    <x v="897"/>
    <x v="459"/>
    <x v="11"/>
    <x v="1"/>
    <x v="1"/>
    <x v="893"/>
    <x v="5"/>
    <x v="3"/>
    <x v="893"/>
    <x v="179"/>
    <x v="3"/>
    <x v="3"/>
    <x v="897"/>
    <x v="3"/>
    <x v="0"/>
    <x v="0"/>
    <x v="894"/>
  </r>
  <r>
    <x v="898"/>
    <x v="376"/>
    <x v="9"/>
    <x v="2"/>
    <x v="0"/>
    <x v="894"/>
    <x v="0"/>
    <x v="4"/>
    <x v="894"/>
    <x v="540"/>
    <x v="4"/>
    <x v="0"/>
    <x v="898"/>
    <x v="5"/>
    <x v="2"/>
    <x v="1"/>
    <x v="895"/>
  </r>
  <r>
    <x v="899"/>
    <x v="577"/>
    <x v="6"/>
    <x v="2"/>
    <x v="3"/>
    <x v="895"/>
    <x v="4"/>
    <x v="1"/>
    <x v="895"/>
    <x v="64"/>
    <x v="1"/>
    <x v="4"/>
    <x v="899"/>
    <x v="1"/>
    <x v="0"/>
    <x v="0"/>
    <x v="896"/>
  </r>
  <r>
    <x v="900"/>
    <x v="492"/>
    <x v="2"/>
    <x v="2"/>
    <x v="0"/>
    <x v="896"/>
    <x v="5"/>
    <x v="0"/>
    <x v="896"/>
    <x v="392"/>
    <x v="0"/>
    <x v="4"/>
    <x v="900"/>
    <x v="6"/>
    <x v="2"/>
    <x v="0"/>
    <x v="897"/>
  </r>
  <r>
    <x v="901"/>
    <x v="578"/>
    <x v="6"/>
    <x v="1"/>
    <x v="3"/>
    <x v="897"/>
    <x v="2"/>
    <x v="2"/>
    <x v="897"/>
    <x v="89"/>
    <x v="0"/>
    <x v="2"/>
    <x v="901"/>
    <x v="4"/>
    <x v="3"/>
    <x v="1"/>
    <x v="898"/>
  </r>
  <r>
    <x v="902"/>
    <x v="579"/>
    <x v="10"/>
    <x v="1"/>
    <x v="1"/>
    <x v="898"/>
    <x v="0"/>
    <x v="3"/>
    <x v="898"/>
    <x v="59"/>
    <x v="0"/>
    <x v="1"/>
    <x v="902"/>
    <x v="0"/>
    <x v="2"/>
    <x v="3"/>
    <x v="899"/>
  </r>
  <r>
    <x v="903"/>
    <x v="209"/>
    <x v="4"/>
    <x v="0"/>
    <x v="3"/>
    <x v="899"/>
    <x v="0"/>
    <x v="4"/>
    <x v="899"/>
    <x v="522"/>
    <x v="2"/>
    <x v="4"/>
    <x v="903"/>
    <x v="0"/>
    <x v="2"/>
    <x v="2"/>
    <x v="900"/>
  </r>
  <r>
    <x v="904"/>
    <x v="580"/>
    <x v="2"/>
    <x v="2"/>
    <x v="0"/>
    <x v="900"/>
    <x v="0"/>
    <x v="3"/>
    <x v="900"/>
    <x v="348"/>
    <x v="4"/>
    <x v="1"/>
    <x v="904"/>
    <x v="2"/>
    <x v="3"/>
    <x v="1"/>
    <x v="901"/>
  </r>
  <r>
    <x v="905"/>
    <x v="581"/>
    <x v="7"/>
    <x v="0"/>
    <x v="2"/>
    <x v="901"/>
    <x v="5"/>
    <x v="2"/>
    <x v="901"/>
    <x v="267"/>
    <x v="3"/>
    <x v="4"/>
    <x v="905"/>
    <x v="5"/>
    <x v="1"/>
    <x v="3"/>
    <x v="902"/>
  </r>
  <r>
    <x v="906"/>
    <x v="459"/>
    <x v="11"/>
    <x v="1"/>
    <x v="1"/>
    <x v="902"/>
    <x v="0"/>
    <x v="2"/>
    <x v="902"/>
    <x v="567"/>
    <x v="4"/>
    <x v="2"/>
    <x v="906"/>
    <x v="7"/>
    <x v="2"/>
    <x v="2"/>
    <x v="903"/>
  </r>
  <r>
    <x v="907"/>
    <x v="548"/>
    <x v="1"/>
    <x v="1"/>
    <x v="1"/>
    <x v="903"/>
    <x v="6"/>
    <x v="0"/>
    <x v="903"/>
    <x v="124"/>
    <x v="3"/>
    <x v="1"/>
    <x v="907"/>
    <x v="0"/>
    <x v="3"/>
    <x v="1"/>
    <x v="904"/>
  </r>
  <r>
    <x v="908"/>
    <x v="138"/>
    <x v="4"/>
    <x v="2"/>
    <x v="3"/>
    <x v="904"/>
    <x v="6"/>
    <x v="1"/>
    <x v="904"/>
    <x v="157"/>
    <x v="2"/>
    <x v="1"/>
    <x v="908"/>
    <x v="7"/>
    <x v="0"/>
    <x v="4"/>
    <x v="905"/>
  </r>
  <r>
    <x v="909"/>
    <x v="582"/>
    <x v="4"/>
    <x v="1"/>
    <x v="3"/>
    <x v="905"/>
    <x v="2"/>
    <x v="1"/>
    <x v="905"/>
    <x v="21"/>
    <x v="4"/>
    <x v="0"/>
    <x v="909"/>
    <x v="3"/>
    <x v="1"/>
    <x v="0"/>
    <x v="906"/>
  </r>
  <r>
    <x v="910"/>
    <x v="583"/>
    <x v="4"/>
    <x v="1"/>
    <x v="3"/>
    <x v="906"/>
    <x v="4"/>
    <x v="4"/>
    <x v="906"/>
    <x v="71"/>
    <x v="4"/>
    <x v="3"/>
    <x v="910"/>
    <x v="1"/>
    <x v="0"/>
    <x v="0"/>
    <x v="907"/>
  </r>
  <r>
    <x v="911"/>
    <x v="584"/>
    <x v="1"/>
    <x v="1"/>
    <x v="1"/>
    <x v="907"/>
    <x v="6"/>
    <x v="0"/>
    <x v="907"/>
    <x v="110"/>
    <x v="4"/>
    <x v="1"/>
    <x v="911"/>
    <x v="6"/>
    <x v="0"/>
    <x v="0"/>
    <x v="908"/>
  </r>
  <r>
    <x v="912"/>
    <x v="585"/>
    <x v="0"/>
    <x v="1"/>
    <x v="0"/>
    <x v="908"/>
    <x v="6"/>
    <x v="1"/>
    <x v="908"/>
    <x v="82"/>
    <x v="1"/>
    <x v="2"/>
    <x v="912"/>
    <x v="0"/>
    <x v="1"/>
    <x v="2"/>
    <x v="909"/>
  </r>
  <r>
    <x v="913"/>
    <x v="223"/>
    <x v="2"/>
    <x v="0"/>
    <x v="0"/>
    <x v="909"/>
    <x v="4"/>
    <x v="0"/>
    <x v="909"/>
    <x v="173"/>
    <x v="2"/>
    <x v="2"/>
    <x v="913"/>
    <x v="2"/>
    <x v="3"/>
    <x v="3"/>
    <x v="910"/>
  </r>
  <r>
    <x v="914"/>
    <x v="441"/>
    <x v="2"/>
    <x v="2"/>
    <x v="0"/>
    <x v="910"/>
    <x v="6"/>
    <x v="2"/>
    <x v="910"/>
    <x v="341"/>
    <x v="3"/>
    <x v="2"/>
    <x v="914"/>
    <x v="4"/>
    <x v="3"/>
    <x v="3"/>
    <x v="911"/>
  </r>
  <r>
    <x v="915"/>
    <x v="586"/>
    <x v="2"/>
    <x v="1"/>
    <x v="0"/>
    <x v="911"/>
    <x v="5"/>
    <x v="3"/>
    <x v="911"/>
    <x v="568"/>
    <x v="0"/>
    <x v="0"/>
    <x v="915"/>
    <x v="4"/>
    <x v="3"/>
    <x v="1"/>
    <x v="912"/>
  </r>
  <r>
    <x v="916"/>
    <x v="587"/>
    <x v="5"/>
    <x v="1"/>
    <x v="3"/>
    <x v="912"/>
    <x v="4"/>
    <x v="0"/>
    <x v="912"/>
    <x v="503"/>
    <x v="4"/>
    <x v="2"/>
    <x v="916"/>
    <x v="5"/>
    <x v="2"/>
    <x v="1"/>
    <x v="913"/>
  </r>
  <r>
    <x v="917"/>
    <x v="588"/>
    <x v="0"/>
    <x v="2"/>
    <x v="0"/>
    <x v="913"/>
    <x v="5"/>
    <x v="0"/>
    <x v="913"/>
    <x v="569"/>
    <x v="2"/>
    <x v="2"/>
    <x v="917"/>
    <x v="0"/>
    <x v="1"/>
    <x v="4"/>
    <x v="914"/>
  </r>
  <r>
    <x v="918"/>
    <x v="53"/>
    <x v="5"/>
    <x v="2"/>
    <x v="3"/>
    <x v="914"/>
    <x v="5"/>
    <x v="0"/>
    <x v="914"/>
    <x v="7"/>
    <x v="1"/>
    <x v="3"/>
    <x v="918"/>
    <x v="3"/>
    <x v="2"/>
    <x v="0"/>
    <x v="915"/>
  </r>
  <r>
    <x v="919"/>
    <x v="492"/>
    <x v="2"/>
    <x v="2"/>
    <x v="0"/>
    <x v="915"/>
    <x v="4"/>
    <x v="1"/>
    <x v="915"/>
    <x v="112"/>
    <x v="1"/>
    <x v="0"/>
    <x v="919"/>
    <x v="1"/>
    <x v="1"/>
    <x v="1"/>
    <x v="916"/>
  </r>
  <r>
    <x v="920"/>
    <x v="495"/>
    <x v="9"/>
    <x v="2"/>
    <x v="0"/>
    <x v="916"/>
    <x v="2"/>
    <x v="1"/>
    <x v="916"/>
    <x v="264"/>
    <x v="2"/>
    <x v="2"/>
    <x v="920"/>
    <x v="5"/>
    <x v="2"/>
    <x v="0"/>
    <x v="917"/>
  </r>
  <r>
    <x v="921"/>
    <x v="528"/>
    <x v="10"/>
    <x v="0"/>
    <x v="1"/>
    <x v="917"/>
    <x v="2"/>
    <x v="2"/>
    <x v="917"/>
    <x v="570"/>
    <x v="3"/>
    <x v="1"/>
    <x v="921"/>
    <x v="1"/>
    <x v="0"/>
    <x v="1"/>
    <x v="918"/>
  </r>
  <r>
    <x v="922"/>
    <x v="589"/>
    <x v="5"/>
    <x v="1"/>
    <x v="3"/>
    <x v="918"/>
    <x v="6"/>
    <x v="1"/>
    <x v="918"/>
    <x v="571"/>
    <x v="2"/>
    <x v="4"/>
    <x v="922"/>
    <x v="1"/>
    <x v="2"/>
    <x v="0"/>
    <x v="919"/>
  </r>
  <r>
    <x v="923"/>
    <x v="91"/>
    <x v="2"/>
    <x v="0"/>
    <x v="0"/>
    <x v="919"/>
    <x v="4"/>
    <x v="4"/>
    <x v="919"/>
    <x v="569"/>
    <x v="2"/>
    <x v="4"/>
    <x v="923"/>
    <x v="0"/>
    <x v="3"/>
    <x v="3"/>
    <x v="920"/>
  </r>
  <r>
    <x v="924"/>
    <x v="29"/>
    <x v="9"/>
    <x v="2"/>
    <x v="0"/>
    <x v="920"/>
    <x v="4"/>
    <x v="0"/>
    <x v="920"/>
    <x v="392"/>
    <x v="4"/>
    <x v="2"/>
    <x v="924"/>
    <x v="3"/>
    <x v="0"/>
    <x v="2"/>
    <x v="921"/>
  </r>
  <r>
    <x v="925"/>
    <x v="590"/>
    <x v="8"/>
    <x v="1"/>
    <x v="2"/>
    <x v="921"/>
    <x v="0"/>
    <x v="0"/>
    <x v="921"/>
    <x v="323"/>
    <x v="1"/>
    <x v="0"/>
    <x v="925"/>
    <x v="8"/>
    <x v="3"/>
    <x v="2"/>
    <x v="922"/>
  </r>
  <r>
    <x v="926"/>
    <x v="591"/>
    <x v="9"/>
    <x v="1"/>
    <x v="0"/>
    <x v="922"/>
    <x v="6"/>
    <x v="2"/>
    <x v="922"/>
    <x v="364"/>
    <x v="4"/>
    <x v="3"/>
    <x v="926"/>
    <x v="9"/>
    <x v="3"/>
    <x v="2"/>
    <x v="923"/>
  </r>
  <r>
    <x v="927"/>
    <x v="592"/>
    <x v="2"/>
    <x v="0"/>
    <x v="0"/>
    <x v="923"/>
    <x v="5"/>
    <x v="3"/>
    <x v="923"/>
    <x v="463"/>
    <x v="0"/>
    <x v="0"/>
    <x v="927"/>
    <x v="0"/>
    <x v="3"/>
    <x v="4"/>
    <x v="924"/>
  </r>
  <r>
    <x v="928"/>
    <x v="593"/>
    <x v="4"/>
    <x v="1"/>
    <x v="3"/>
    <x v="924"/>
    <x v="5"/>
    <x v="4"/>
    <x v="924"/>
    <x v="218"/>
    <x v="0"/>
    <x v="2"/>
    <x v="928"/>
    <x v="1"/>
    <x v="3"/>
    <x v="1"/>
    <x v="925"/>
  </r>
  <r>
    <x v="929"/>
    <x v="594"/>
    <x v="3"/>
    <x v="1"/>
    <x v="2"/>
    <x v="925"/>
    <x v="2"/>
    <x v="1"/>
    <x v="925"/>
    <x v="158"/>
    <x v="0"/>
    <x v="4"/>
    <x v="929"/>
    <x v="1"/>
    <x v="2"/>
    <x v="2"/>
    <x v="926"/>
  </r>
  <r>
    <x v="930"/>
    <x v="393"/>
    <x v="8"/>
    <x v="1"/>
    <x v="2"/>
    <x v="926"/>
    <x v="1"/>
    <x v="1"/>
    <x v="926"/>
    <x v="17"/>
    <x v="0"/>
    <x v="2"/>
    <x v="930"/>
    <x v="4"/>
    <x v="1"/>
    <x v="2"/>
    <x v="927"/>
  </r>
  <r>
    <x v="931"/>
    <x v="543"/>
    <x v="0"/>
    <x v="1"/>
    <x v="0"/>
    <x v="927"/>
    <x v="4"/>
    <x v="1"/>
    <x v="927"/>
    <x v="50"/>
    <x v="2"/>
    <x v="1"/>
    <x v="931"/>
    <x v="4"/>
    <x v="0"/>
    <x v="4"/>
    <x v="928"/>
  </r>
  <r>
    <x v="932"/>
    <x v="465"/>
    <x v="9"/>
    <x v="0"/>
    <x v="0"/>
    <x v="928"/>
    <x v="5"/>
    <x v="1"/>
    <x v="928"/>
    <x v="572"/>
    <x v="1"/>
    <x v="3"/>
    <x v="932"/>
    <x v="0"/>
    <x v="3"/>
    <x v="0"/>
    <x v="929"/>
  </r>
  <r>
    <x v="933"/>
    <x v="595"/>
    <x v="0"/>
    <x v="0"/>
    <x v="0"/>
    <x v="929"/>
    <x v="0"/>
    <x v="1"/>
    <x v="929"/>
    <x v="207"/>
    <x v="1"/>
    <x v="0"/>
    <x v="933"/>
    <x v="7"/>
    <x v="2"/>
    <x v="1"/>
    <x v="930"/>
  </r>
  <r>
    <x v="934"/>
    <x v="565"/>
    <x v="5"/>
    <x v="2"/>
    <x v="3"/>
    <x v="930"/>
    <x v="5"/>
    <x v="3"/>
    <x v="930"/>
    <x v="194"/>
    <x v="3"/>
    <x v="0"/>
    <x v="934"/>
    <x v="2"/>
    <x v="1"/>
    <x v="1"/>
    <x v="931"/>
  </r>
  <r>
    <x v="935"/>
    <x v="254"/>
    <x v="7"/>
    <x v="0"/>
    <x v="2"/>
    <x v="931"/>
    <x v="1"/>
    <x v="4"/>
    <x v="931"/>
    <x v="282"/>
    <x v="2"/>
    <x v="3"/>
    <x v="935"/>
    <x v="1"/>
    <x v="1"/>
    <x v="0"/>
    <x v="932"/>
  </r>
  <r>
    <x v="936"/>
    <x v="596"/>
    <x v="0"/>
    <x v="1"/>
    <x v="0"/>
    <x v="932"/>
    <x v="3"/>
    <x v="3"/>
    <x v="932"/>
    <x v="144"/>
    <x v="1"/>
    <x v="3"/>
    <x v="936"/>
    <x v="4"/>
    <x v="0"/>
    <x v="0"/>
    <x v="933"/>
  </r>
  <r>
    <x v="937"/>
    <x v="462"/>
    <x v="0"/>
    <x v="1"/>
    <x v="0"/>
    <x v="933"/>
    <x v="3"/>
    <x v="1"/>
    <x v="933"/>
    <x v="325"/>
    <x v="0"/>
    <x v="1"/>
    <x v="937"/>
    <x v="3"/>
    <x v="3"/>
    <x v="2"/>
    <x v="934"/>
  </r>
  <r>
    <x v="938"/>
    <x v="219"/>
    <x v="10"/>
    <x v="0"/>
    <x v="1"/>
    <x v="934"/>
    <x v="3"/>
    <x v="4"/>
    <x v="934"/>
    <x v="386"/>
    <x v="2"/>
    <x v="1"/>
    <x v="938"/>
    <x v="5"/>
    <x v="3"/>
    <x v="1"/>
    <x v="935"/>
  </r>
  <r>
    <x v="939"/>
    <x v="597"/>
    <x v="6"/>
    <x v="2"/>
    <x v="3"/>
    <x v="935"/>
    <x v="5"/>
    <x v="1"/>
    <x v="935"/>
    <x v="573"/>
    <x v="4"/>
    <x v="3"/>
    <x v="939"/>
    <x v="0"/>
    <x v="0"/>
    <x v="0"/>
    <x v="936"/>
  </r>
  <r>
    <x v="940"/>
    <x v="14"/>
    <x v="9"/>
    <x v="0"/>
    <x v="0"/>
    <x v="936"/>
    <x v="4"/>
    <x v="3"/>
    <x v="936"/>
    <x v="574"/>
    <x v="1"/>
    <x v="1"/>
    <x v="940"/>
    <x v="4"/>
    <x v="0"/>
    <x v="4"/>
    <x v="937"/>
  </r>
  <r>
    <x v="941"/>
    <x v="15"/>
    <x v="10"/>
    <x v="0"/>
    <x v="1"/>
    <x v="439"/>
    <x v="4"/>
    <x v="0"/>
    <x v="937"/>
    <x v="280"/>
    <x v="2"/>
    <x v="1"/>
    <x v="941"/>
    <x v="6"/>
    <x v="1"/>
    <x v="2"/>
    <x v="938"/>
  </r>
  <r>
    <x v="942"/>
    <x v="372"/>
    <x v="11"/>
    <x v="0"/>
    <x v="1"/>
    <x v="937"/>
    <x v="2"/>
    <x v="2"/>
    <x v="938"/>
    <x v="189"/>
    <x v="2"/>
    <x v="4"/>
    <x v="942"/>
    <x v="9"/>
    <x v="2"/>
    <x v="2"/>
    <x v="939"/>
  </r>
  <r>
    <x v="943"/>
    <x v="140"/>
    <x v="8"/>
    <x v="0"/>
    <x v="2"/>
    <x v="938"/>
    <x v="0"/>
    <x v="4"/>
    <x v="939"/>
    <x v="575"/>
    <x v="3"/>
    <x v="2"/>
    <x v="943"/>
    <x v="5"/>
    <x v="1"/>
    <x v="3"/>
    <x v="940"/>
  </r>
  <r>
    <x v="944"/>
    <x v="393"/>
    <x v="8"/>
    <x v="1"/>
    <x v="2"/>
    <x v="939"/>
    <x v="5"/>
    <x v="1"/>
    <x v="940"/>
    <x v="554"/>
    <x v="1"/>
    <x v="3"/>
    <x v="944"/>
    <x v="0"/>
    <x v="3"/>
    <x v="4"/>
    <x v="941"/>
  </r>
  <r>
    <x v="945"/>
    <x v="38"/>
    <x v="1"/>
    <x v="0"/>
    <x v="1"/>
    <x v="940"/>
    <x v="2"/>
    <x v="0"/>
    <x v="941"/>
    <x v="285"/>
    <x v="3"/>
    <x v="0"/>
    <x v="945"/>
    <x v="8"/>
    <x v="1"/>
    <x v="1"/>
    <x v="942"/>
  </r>
  <r>
    <x v="946"/>
    <x v="598"/>
    <x v="4"/>
    <x v="1"/>
    <x v="3"/>
    <x v="941"/>
    <x v="1"/>
    <x v="1"/>
    <x v="942"/>
    <x v="274"/>
    <x v="4"/>
    <x v="0"/>
    <x v="946"/>
    <x v="4"/>
    <x v="0"/>
    <x v="2"/>
    <x v="943"/>
  </r>
  <r>
    <x v="947"/>
    <x v="599"/>
    <x v="11"/>
    <x v="0"/>
    <x v="1"/>
    <x v="942"/>
    <x v="1"/>
    <x v="3"/>
    <x v="943"/>
    <x v="232"/>
    <x v="1"/>
    <x v="2"/>
    <x v="947"/>
    <x v="6"/>
    <x v="1"/>
    <x v="2"/>
    <x v="944"/>
  </r>
  <r>
    <x v="948"/>
    <x v="587"/>
    <x v="5"/>
    <x v="1"/>
    <x v="3"/>
    <x v="445"/>
    <x v="1"/>
    <x v="1"/>
    <x v="944"/>
    <x v="361"/>
    <x v="3"/>
    <x v="1"/>
    <x v="948"/>
    <x v="7"/>
    <x v="2"/>
    <x v="4"/>
    <x v="945"/>
  </r>
  <r>
    <x v="949"/>
    <x v="576"/>
    <x v="7"/>
    <x v="0"/>
    <x v="2"/>
    <x v="943"/>
    <x v="6"/>
    <x v="0"/>
    <x v="945"/>
    <x v="322"/>
    <x v="4"/>
    <x v="4"/>
    <x v="949"/>
    <x v="8"/>
    <x v="2"/>
    <x v="1"/>
    <x v="946"/>
  </r>
  <r>
    <x v="950"/>
    <x v="583"/>
    <x v="4"/>
    <x v="1"/>
    <x v="3"/>
    <x v="944"/>
    <x v="5"/>
    <x v="2"/>
    <x v="946"/>
    <x v="18"/>
    <x v="2"/>
    <x v="2"/>
    <x v="950"/>
    <x v="4"/>
    <x v="1"/>
    <x v="0"/>
    <x v="947"/>
  </r>
  <r>
    <x v="951"/>
    <x v="319"/>
    <x v="10"/>
    <x v="1"/>
    <x v="1"/>
    <x v="945"/>
    <x v="4"/>
    <x v="1"/>
    <x v="947"/>
    <x v="227"/>
    <x v="1"/>
    <x v="2"/>
    <x v="951"/>
    <x v="4"/>
    <x v="1"/>
    <x v="2"/>
    <x v="948"/>
  </r>
  <r>
    <x v="952"/>
    <x v="37"/>
    <x v="2"/>
    <x v="2"/>
    <x v="0"/>
    <x v="946"/>
    <x v="0"/>
    <x v="4"/>
    <x v="948"/>
    <x v="576"/>
    <x v="1"/>
    <x v="4"/>
    <x v="952"/>
    <x v="3"/>
    <x v="2"/>
    <x v="3"/>
    <x v="949"/>
  </r>
  <r>
    <x v="953"/>
    <x v="600"/>
    <x v="2"/>
    <x v="0"/>
    <x v="0"/>
    <x v="947"/>
    <x v="1"/>
    <x v="2"/>
    <x v="949"/>
    <x v="76"/>
    <x v="4"/>
    <x v="0"/>
    <x v="953"/>
    <x v="7"/>
    <x v="1"/>
    <x v="3"/>
    <x v="950"/>
  </r>
  <r>
    <x v="954"/>
    <x v="601"/>
    <x v="3"/>
    <x v="1"/>
    <x v="2"/>
    <x v="948"/>
    <x v="3"/>
    <x v="4"/>
    <x v="950"/>
    <x v="146"/>
    <x v="3"/>
    <x v="0"/>
    <x v="954"/>
    <x v="1"/>
    <x v="1"/>
    <x v="4"/>
    <x v="951"/>
  </r>
  <r>
    <x v="955"/>
    <x v="19"/>
    <x v="0"/>
    <x v="0"/>
    <x v="0"/>
    <x v="949"/>
    <x v="3"/>
    <x v="2"/>
    <x v="951"/>
    <x v="213"/>
    <x v="3"/>
    <x v="0"/>
    <x v="955"/>
    <x v="1"/>
    <x v="3"/>
    <x v="0"/>
    <x v="952"/>
  </r>
  <r>
    <x v="956"/>
    <x v="166"/>
    <x v="6"/>
    <x v="1"/>
    <x v="3"/>
    <x v="781"/>
    <x v="1"/>
    <x v="1"/>
    <x v="952"/>
    <x v="577"/>
    <x v="0"/>
    <x v="3"/>
    <x v="956"/>
    <x v="1"/>
    <x v="0"/>
    <x v="1"/>
    <x v="953"/>
  </r>
  <r>
    <x v="957"/>
    <x v="602"/>
    <x v="0"/>
    <x v="0"/>
    <x v="0"/>
    <x v="950"/>
    <x v="0"/>
    <x v="0"/>
    <x v="953"/>
    <x v="578"/>
    <x v="4"/>
    <x v="2"/>
    <x v="957"/>
    <x v="2"/>
    <x v="3"/>
    <x v="3"/>
    <x v="954"/>
  </r>
  <r>
    <x v="958"/>
    <x v="603"/>
    <x v="4"/>
    <x v="0"/>
    <x v="3"/>
    <x v="951"/>
    <x v="6"/>
    <x v="4"/>
    <x v="954"/>
    <x v="246"/>
    <x v="3"/>
    <x v="3"/>
    <x v="958"/>
    <x v="0"/>
    <x v="3"/>
    <x v="2"/>
    <x v="955"/>
  </r>
  <r>
    <x v="959"/>
    <x v="604"/>
    <x v="6"/>
    <x v="1"/>
    <x v="3"/>
    <x v="952"/>
    <x v="2"/>
    <x v="1"/>
    <x v="955"/>
    <x v="252"/>
    <x v="2"/>
    <x v="2"/>
    <x v="959"/>
    <x v="5"/>
    <x v="0"/>
    <x v="0"/>
    <x v="956"/>
  </r>
  <r>
    <x v="960"/>
    <x v="66"/>
    <x v="8"/>
    <x v="0"/>
    <x v="2"/>
    <x v="953"/>
    <x v="5"/>
    <x v="4"/>
    <x v="956"/>
    <x v="304"/>
    <x v="3"/>
    <x v="4"/>
    <x v="960"/>
    <x v="1"/>
    <x v="3"/>
    <x v="4"/>
    <x v="957"/>
  </r>
  <r>
    <x v="961"/>
    <x v="435"/>
    <x v="7"/>
    <x v="1"/>
    <x v="2"/>
    <x v="954"/>
    <x v="1"/>
    <x v="2"/>
    <x v="957"/>
    <x v="275"/>
    <x v="1"/>
    <x v="0"/>
    <x v="961"/>
    <x v="9"/>
    <x v="2"/>
    <x v="3"/>
    <x v="958"/>
  </r>
  <r>
    <x v="962"/>
    <x v="605"/>
    <x v="11"/>
    <x v="1"/>
    <x v="1"/>
    <x v="955"/>
    <x v="1"/>
    <x v="1"/>
    <x v="958"/>
    <x v="211"/>
    <x v="3"/>
    <x v="3"/>
    <x v="962"/>
    <x v="4"/>
    <x v="0"/>
    <x v="1"/>
    <x v="959"/>
  </r>
  <r>
    <x v="963"/>
    <x v="606"/>
    <x v="9"/>
    <x v="1"/>
    <x v="0"/>
    <x v="956"/>
    <x v="3"/>
    <x v="0"/>
    <x v="959"/>
    <x v="162"/>
    <x v="1"/>
    <x v="0"/>
    <x v="963"/>
    <x v="6"/>
    <x v="1"/>
    <x v="4"/>
    <x v="960"/>
  </r>
  <r>
    <x v="964"/>
    <x v="38"/>
    <x v="1"/>
    <x v="0"/>
    <x v="1"/>
    <x v="957"/>
    <x v="1"/>
    <x v="0"/>
    <x v="960"/>
    <x v="320"/>
    <x v="2"/>
    <x v="1"/>
    <x v="964"/>
    <x v="8"/>
    <x v="0"/>
    <x v="1"/>
    <x v="961"/>
  </r>
  <r>
    <x v="965"/>
    <x v="607"/>
    <x v="5"/>
    <x v="2"/>
    <x v="3"/>
    <x v="958"/>
    <x v="5"/>
    <x v="3"/>
    <x v="961"/>
    <x v="231"/>
    <x v="3"/>
    <x v="1"/>
    <x v="965"/>
    <x v="3"/>
    <x v="1"/>
    <x v="2"/>
    <x v="962"/>
  </r>
  <r>
    <x v="966"/>
    <x v="608"/>
    <x v="4"/>
    <x v="2"/>
    <x v="3"/>
    <x v="959"/>
    <x v="0"/>
    <x v="0"/>
    <x v="962"/>
    <x v="579"/>
    <x v="2"/>
    <x v="1"/>
    <x v="966"/>
    <x v="0"/>
    <x v="3"/>
    <x v="3"/>
    <x v="963"/>
  </r>
  <r>
    <x v="967"/>
    <x v="138"/>
    <x v="4"/>
    <x v="2"/>
    <x v="3"/>
    <x v="960"/>
    <x v="2"/>
    <x v="0"/>
    <x v="963"/>
    <x v="580"/>
    <x v="2"/>
    <x v="2"/>
    <x v="967"/>
    <x v="3"/>
    <x v="1"/>
    <x v="4"/>
    <x v="964"/>
  </r>
  <r>
    <x v="968"/>
    <x v="458"/>
    <x v="2"/>
    <x v="1"/>
    <x v="0"/>
    <x v="961"/>
    <x v="0"/>
    <x v="3"/>
    <x v="964"/>
    <x v="533"/>
    <x v="2"/>
    <x v="0"/>
    <x v="968"/>
    <x v="5"/>
    <x v="3"/>
    <x v="1"/>
    <x v="965"/>
  </r>
  <r>
    <x v="969"/>
    <x v="85"/>
    <x v="5"/>
    <x v="2"/>
    <x v="3"/>
    <x v="962"/>
    <x v="6"/>
    <x v="2"/>
    <x v="965"/>
    <x v="581"/>
    <x v="3"/>
    <x v="0"/>
    <x v="969"/>
    <x v="7"/>
    <x v="3"/>
    <x v="3"/>
    <x v="966"/>
  </r>
  <r>
    <x v="970"/>
    <x v="609"/>
    <x v="11"/>
    <x v="1"/>
    <x v="1"/>
    <x v="963"/>
    <x v="6"/>
    <x v="2"/>
    <x v="966"/>
    <x v="582"/>
    <x v="4"/>
    <x v="3"/>
    <x v="970"/>
    <x v="3"/>
    <x v="0"/>
    <x v="0"/>
    <x v="967"/>
  </r>
  <r>
    <x v="971"/>
    <x v="582"/>
    <x v="4"/>
    <x v="1"/>
    <x v="3"/>
    <x v="964"/>
    <x v="0"/>
    <x v="1"/>
    <x v="967"/>
    <x v="5"/>
    <x v="4"/>
    <x v="1"/>
    <x v="971"/>
    <x v="4"/>
    <x v="3"/>
    <x v="1"/>
    <x v="968"/>
  </r>
  <r>
    <x v="972"/>
    <x v="410"/>
    <x v="5"/>
    <x v="1"/>
    <x v="3"/>
    <x v="965"/>
    <x v="5"/>
    <x v="2"/>
    <x v="968"/>
    <x v="583"/>
    <x v="4"/>
    <x v="3"/>
    <x v="972"/>
    <x v="3"/>
    <x v="0"/>
    <x v="3"/>
    <x v="969"/>
  </r>
  <r>
    <x v="973"/>
    <x v="559"/>
    <x v="5"/>
    <x v="2"/>
    <x v="3"/>
    <x v="966"/>
    <x v="6"/>
    <x v="0"/>
    <x v="969"/>
    <x v="567"/>
    <x v="1"/>
    <x v="4"/>
    <x v="973"/>
    <x v="8"/>
    <x v="3"/>
    <x v="1"/>
    <x v="970"/>
  </r>
  <r>
    <x v="974"/>
    <x v="610"/>
    <x v="11"/>
    <x v="0"/>
    <x v="1"/>
    <x v="967"/>
    <x v="6"/>
    <x v="0"/>
    <x v="970"/>
    <x v="263"/>
    <x v="3"/>
    <x v="1"/>
    <x v="974"/>
    <x v="3"/>
    <x v="2"/>
    <x v="2"/>
    <x v="971"/>
  </r>
  <r>
    <x v="975"/>
    <x v="419"/>
    <x v="4"/>
    <x v="0"/>
    <x v="3"/>
    <x v="968"/>
    <x v="6"/>
    <x v="2"/>
    <x v="971"/>
    <x v="233"/>
    <x v="3"/>
    <x v="2"/>
    <x v="975"/>
    <x v="5"/>
    <x v="0"/>
    <x v="2"/>
    <x v="972"/>
  </r>
  <r>
    <x v="976"/>
    <x v="172"/>
    <x v="6"/>
    <x v="1"/>
    <x v="3"/>
    <x v="969"/>
    <x v="2"/>
    <x v="4"/>
    <x v="972"/>
    <x v="531"/>
    <x v="2"/>
    <x v="2"/>
    <x v="976"/>
    <x v="5"/>
    <x v="3"/>
    <x v="1"/>
    <x v="973"/>
  </r>
  <r>
    <x v="977"/>
    <x v="423"/>
    <x v="0"/>
    <x v="0"/>
    <x v="0"/>
    <x v="970"/>
    <x v="3"/>
    <x v="3"/>
    <x v="973"/>
    <x v="584"/>
    <x v="4"/>
    <x v="4"/>
    <x v="977"/>
    <x v="2"/>
    <x v="0"/>
    <x v="4"/>
    <x v="974"/>
  </r>
  <r>
    <x v="978"/>
    <x v="611"/>
    <x v="5"/>
    <x v="1"/>
    <x v="3"/>
    <x v="971"/>
    <x v="4"/>
    <x v="3"/>
    <x v="974"/>
    <x v="477"/>
    <x v="4"/>
    <x v="3"/>
    <x v="978"/>
    <x v="3"/>
    <x v="2"/>
    <x v="4"/>
    <x v="975"/>
  </r>
  <r>
    <x v="979"/>
    <x v="546"/>
    <x v="4"/>
    <x v="0"/>
    <x v="3"/>
    <x v="972"/>
    <x v="0"/>
    <x v="4"/>
    <x v="975"/>
    <x v="238"/>
    <x v="4"/>
    <x v="3"/>
    <x v="979"/>
    <x v="0"/>
    <x v="0"/>
    <x v="3"/>
    <x v="976"/>
  </r>
  <r>
    <x v="980"/>
    <x v="612"/>
    <x v="3"/>
    <x v="0"/>
    <x v="2"/>
    <x v="973"/>
    <x v="3"/>
    <x v="4"/>
    <x v="976"/>
    <x v="585"/>
    <x v="4"/>
    <x v="3"/>
    <x v="980"/>
    <x v="0"/>
    <x v="3"/>
    <x v="0"/>
    <x v="977"/>
  </r>
  <r>
    <x v="981"/>
    <x v="371"/>
    <x v="7"/>
    <x v="0"/>
    <x v="2"/>
    <x v="974"/>
    <x v="1"/>
    <x v="3"/>
    <x v="977"/>
    <x v="586"/>
    <x v="0"/>
    <x v="4"/>
    <x v="981"/>
    <x v="2"/>
    <x v="0"/>
    <x v="2"/>
    <x v="978"/>
  </r>
  <r>
    <x v="982"/>
    <x v="605"/>
    <x v="11"/>
    <x v="1"/>
    <x v="1"/>
    <x v="975"/>
    <x v="0"/>
    <x v="2"/>
    <x v="978"/>
    <x v="479"/>
    <x v="3"/>
    <x v="0"/>
    <x v="982"/>
    <x v="7"/>
    <x v="0"/>
    <x v="1"/>
    <x v="979"/>
  </r>
  <r>
    <x v="983"/>
    <x v="167"/>
    <x v="7"/>
    <x v="1"/>
    <x v="2"/>
    <x v="976"/>
    <x v="0"/>
    <x v="3"/>
    <x v="979"/>
    <x v="587"/>
    <x v="3"/>
    <x v="0"/>
    <x v="983"/>
    <x v="3"/>
    <x v="0"/>
    <x v="2"/>
    <x v="980"/>
  </r>
  <r>
    <x v="984"/>
    <x v="252"/>
    <x v="2"/>
    <x v="2"/>
    <x v="0"/>
    <x v="977"/>
    <x v="6"/>
    <x v="2"/>
    <x v="980"/>
    <x v="7"/>
    <x v="2"/>
    <x v="0"/>
    <x v="984"/>
    <x v="9"/>
    <x v="1"/>
    <x v="3"/>
    <x v="981"/>
  </r>
  <r>
    <x v="985"/>
    <x v="351"/>
    <x v="10"/>
    <x v="1"/>
    <x v="1"/>
    <x v="978"/>
    <x v="6"/>
    <x v="2"/>
    <x v="981"/>
    <x v="198"/>
    <x v="3"/>
    <x v="3"/>
    <x v="985"/>
    <x v="5"/>
    <x v="0"/>
    <x v="4"/>
    <x v="982"/>
  </r>
  <r>
    <x v="986"/>
    <x v="609"/>
    <x v="11"/>
    <x v="1"/>
    <x v="1"/>
    <x v="979"/>
    <x v="5"/>
    <x v="3"/>
    <x v="982"/>
    <x v="91"/>
    <x v="2"/>
    <x v="4"/>
    <x v="986"/>
    <x v="0"/>
    <x v="1"/>
    <x v="2"/>
    <x v="983"/>
  </r>
  <r>
    <x v="987"/>
    <x v="85"/>
    <x v="5"/>
    <x v="2"/>
    <x v="3"/>
    <x v="980"/>
    <x v="1"/>
    <x v="0"/>
    <x v="983"/>
    <x v="342"/>
    <x v="3"/>
    <x v="4"/>
    <x v="987"/>
    <x v="2"/>
    <x v="1"/>
    <x v="0"/>
    <x v="984"/>
  </r>
  <r>
    <x v="988"/>
    <x v="496"/>
    <x v="2"/>
    <x v="2"/>
    <x v="0"/>
    <x v="981"/>
    <x v="6"/>
    <x v="1"/>
    <x v="984"/>
    <x v="277"/>
    <x v="3"/>
    <x v="1"/>
    <x v="988"/>
    <x v="3"/>
    <x v="3"/>
    <x v="0"/>
    <x v="985"/>
  </r>
  <r>
    <x v="989"/>
    <x v="613"/>
    <x v="9"/>
    <x v="0"/>
    <x v="0"/>
    <x v="982"/>
    <x v="5"/>
    <x v="3"/>
    <x v="985"/>
    <x v="588"/>
    <x v="2"/>
    <x v="4"/>
    <x v="989"/>
    <x v="4"/>
    <x v="0"/>
    <x v="0"/>
    <x v="986"/>
  </r>
  <r>
    <x v="990"/>
    <x v="614"/>
    <x v="7"/>
    <x v="0"/>
    <x v="2"/>
    <x v="983"/>
    <x v="1"/>
    <x v="1"/>
    <x v="986"/>
    <x v="589"/>
    <x v="0"/>
    <x v="4"/>
    <x v="990"/>
    <x v="7"/>
    <x v="0"/>
    <x v="4"/>
    <x v="987"/>
  </r>
  <r>
    <x v="991"/>
    <x v="593"/>
    <x v="4"/>
    <x v="1"/>
    <x v="3"/>
    <x v="984"/>
    <x v="6"/>
    <x v="0"/>
    <x v="66"/>
    <x v="128"/>
    <x v="0"/>
    <x v="1"/>
    <x v="991"/>
    <x v="8"/>
    <x v="1"/>
    <x v="4"/>
    <x v="66"/>
  </r>
  <r>
    <x v="992"/>
    <x v="615"/>
    <x v="1"/>
    <x v="1"/>
    <x v="1"/>
    <x v="985"/>
    <x v="4"/>
    <x v="4"/>
    <x v="987"/>
    <x v="133"/>
    <x v="3"/>
    <x v="4"/>
    <x v="992"/>
    <x v="4"/>
    <x v="3"/>
    <x v="1"/>
    <x v="988"/>
  </r>
  <r>
    <x v="993"/>
    <x v="616"/>
    <x v="6"/>
    <x v="1"/>
    <x v="3"/>
    <x v="986"/>
    <x v="0"/>
    <x v="4"/>
    <x v="988"/>
    <x v="590"/>
    <x v="3"/>
    <x v="3"/>
    <x v="993"/>
    <x v="3"/>
    <x v="3"/>
    <x v="0"/>
    <x v="989"/>
  </r>
  <r>
    <x v="994"/>
    <x v="326"/>
    <x v="5"/>
    <x v="1"/>
    <x v="3"/>
    <x v="987"/>
    <x v="2"/>
    <x v="3"/>
    <x v="989"/>
    <x v="76"/>
    <x v="0"/>
    <x v="3"/>
    <x v="994"/>
    <x v="6"/>
    <x v="3"/>
    <x v="4"/>
    <x v="990"/>
  </r>
  <r>
    <x v="995"/>
    <x v="134"/>
    <x v="7"/>
    <x v="0"/>
    <x v="2"/>
    <x v="988"/>
    <x v="0"/>
    <x v="1"/>
    <x v="990"/>
    <x v="391"/>
    <x v="4"/>
    <x v="4"/>
    <x v="995"/>
    <x v="3"/>
    <x v="0"/>
    <x v="3"/>
    <x v="991"/>
  </r>
  <r>
    <x v="996"/>
    <x v="578"/>
    <x v="6"/>
    <x v="1"/>
    <x v="3"/>
    <x v="989"/>
    <x v="0"/>
    <x v="3"/>
    <x v="991"/>
    <x v="267"/>
    <x v="0"/>
    <x v="3"/>
    <x v="996"/>
    <x v="0"/>
    <x v="0"/>
    <x v="3"/>
    <x v="992"/>
  </r>
  <r>
    <x v="997"/>
    <x v="110"/>
    <x v="7"/>
    <x v="0"/>
    <x v="2"/>
    <x v="990"/>
    <x v="5"/>
    <x v="4"/>
    <x v="992"/>
    <x v="385"/>
    <x v="4"/>
    <x v="3"/>
    <x v="997"/>
    <x v="5"/>
    <x v="0"/>
    <x v="3"/>
    <x v="993"/>
  </r>
  <r>
    <x v="998"/>
    <x v="213"/>
    <x v="4"/>
    <x v="0"/>
    <x v="3"/>
    <x v="991"/>
    <x v="1"/>
    <x v="1"/>
    <x v="358"/>
    <x v="204"/>
    <x v="0"/>
    <x v="1"/>
    <x v="998"/>
    <x v="5"/>
    <x v="0"/>
    <x v="4"/>
    <x v="357"/>
  </r>
  <r>
    <x v="999"/>
    <x v="478"/>
    <x v="8"/>
    <x v="0"/>
    <x v="2"/>
    <x v="992"/>
    <x v="4"/>
    <x v="2"/>
    <x v="993"/>
    <x v="331"/>
    <x v="4"/>
    <x v="4"/>
    <x v="999"/>
    <x v="5"/>
    <x v="1"/>
    <x v="4"/>
    <x v="994"/>
  </r>
  <r>
    <x v="1000"/>
    <x v="617"/>
    <x v="5"/>
    <x v="0"/>
    <x v="3"/>
    <x v="993"/>
    <x v="4"/>
    <x v="0"/>
    <x v="994"/>
    <x v="591"/>
    <x v="1"/>
    <x v="3"/>
    <x v="1000"/>
    <x v="6"/>
    <x v="0"/>
    <x v="2"/>
    <x v="995"/>
  </r>
  <r>
    <x v="1001"/>
    <x v="618"/>
    <x v="8"/>
    <x v="0"/>
    <x v="2"/>
    <x v="994"/>
    <x v="4"/>
    <x v="1"/>
    <x v="995"/>
    <x v="108"/>
    <x v="3"/>
    <x v="0"/>
    <x v="1001"/>
    <x v="5"/>
    <x v="2"/>
    <x v="1"/>
    <x v="996"/>
  </r>
  <r>
    <x v="1002"/>
    <x v="619"/>
    <x v="5"/>
    <x v="2"/>
    <x v="3"/>
    <x v="995"/>
    <x v="2"/>
    <x v="3"/>
    <x v="996"/>
    <x v="95"/>
    <x v="4"/>
    <x v="4"/>
    <x v="1002"/>
    <x v="3"/>
    <x v="3"/>
    <x v="1"/>
    <x v="997"/>
  </r>
  <r>
    <x v="1003"/>
    <x v="348"/>
    <x v="0"/>
    <x v="0"/>
    <x v="0"/>
    <x v="996"/>
    <x v="4"/>
    <x v="0"/>
    <x v="997"/>
    <x v="591"/>
    <x v="4"/>
    <x v="0"/>
    <x v="1003"/>
    <x v="0"/>
    <x v="0"/>
    <x v="4"/>
    <x v="998"/>
  </r>
  <r>
    <x v="1004"/>
    <x v="559"/>
    <x v="5"/>
    <x v="2"/>
    <x v="3"/>
    <x v="997"/>
    <x v="3"/>
    <x v="3"/>
    <x v="998"/>
    <x v="26"/>
    <x v="1"/>
    <x v="4"/>
    <x v="1004"/>
    <x v="2"/>
    <x v="0"/>
    <x v="1"/>
    <x v="999"/>
  </r>
  <r>
    <x v="1005"/>
    <x v="521"/>
    <x v="9"/>
    <x v="0"/>
    <x v="0"/>
    <x v="998"/>
    <x v="4"/>
    <x v="4"/>
    <x v="999"/>
    <x v="519"/>
    <x v="2"/>
    <x v="2"/>
    <x v="1005"/>
    <x v="5"/>
    <x v="2"/>
    <x v="4"/>
    <x v="1000"/>
  </r>
  <r>
    <x v="1006"/>
    <x v="582"/>
    <x v="4"/>
    <x v="1"/>
    <x v="3"/>
    <x v="999"/>
    <x v="2"/>
    <x v="0"/>
    <x v="1000"/>
    <x v="458"/>
    <x v="4"/>
    <x v="3"/>
    <x v="1006"/>
    <x v="0"/>
    <x v="0"/>
    <x v="3"/>
    <x v="1001"/>
  </r>
  <r>
    <x v="1007"/>
    <x v="591"/>
    <x v="9"/>
    <x v="1"/>
    <x v="0"/>
    <x v="485"/>
    <x v="0"/>
    <x v="1"/>
    <x v="1001"/>
    <x v="89"/>
    <x v="4"/>
    <x v="4"/>
    <x v="1007"/>
    <x v="4"/>
    <x v="3"/>
    <x v="3"/>
    <x v="1002"/>
  </r>
  <r>
    <x v="1008"/>
    <x v="620"/>
    <x v="0"/>
    <x v="0"/>
    <x v="0"/>
    <x v="1000"/>
    <x v="0"/>
    <x v="4"/>
    <x v="1002"/>
    <x v="506"/>
    <x v="4"/>
    <x v="3"/>
    <x v="1008"/>
    <x v="2"/>
    <x v="1"/>
    <x v="0"/>
    <x v="1003"/>
  </r>
  <r>
    <x v="1009"/>
    <x v="621"/>
    <x v="11"/>
    <x v="0"/>
    <x v="1"/>
    <x v="1001"/>
    <x v="2"/>
    <x v="1"/>
    <x v="1003"/>
    <x v="386"/>
    <x v="2"/>
    <x v="3"/>
    <x v="1009"/>
    <x v="7"/>
    <x v="1"/>
    <x v="2"/>
    <x v="1004"/>
  </r>
  <r>
    <x v="1010"/>
    <x v="622"/>
    <x v="9"/>
    <x v="0"/>
    <x v="0"/>
    <x v="1002"/>
    <x v="0"/>
    <x v="4"/>
    <x v="1004"/>
    <x v="91"/>
    <x v="2"/>
    <x v="1"/>
    <x v="1010"/>
    <x v="5"/>
    <x v="0"/>
    <x v="2"/>
    <x v="1005"/>
  </r>
  <r>
    <x v="1011"/>
    <x v="623"/>
    <x v="8"/>
    <x v="1"/>
    <x v="2"/>
    <x v="1003"/>
    <x v="1"/>
    <x v="1"/>
    <x v="1005"/>
    <x v="236"/>
    <x v="1"/>
    <x v="0"/>
    <x v="1011"/>
    <x v="1"/>
    <x v="2"/>
    <x v="4"/>
    <x v="1006"/>
  </r>
  <r>
    <x v="1012"/>
    <x v="623"/>
    <x v="8"/>
    <x v="1"/>
    <x v="2"/>
    <x v="1004"/>
    <x v="4"/>
    <x v="3"/>
    <x v="1006"/>
    <x v="266"/>
    <x v="1"/>
    <x v="2"/>
    <x v="1012"/>
    <x v="5"/>
    <x v="2"/>
    <x v="3"/>
    <x v="1007"/>
  </r>
  <r>
    <x v="1013"/>
    <x v="624"/>
    <x v="6"/>
    <x v="2"/>
    <x v="3"/>
    <x v="1005"/>
    <x v="5"/>
    <x v="3"/>
    <x v="1007"/>
    <x v="53"/>
    <x v="4"/>
    <x v="1"/>
    <x v="1013"/>
    <x v="6"/>
    <x v="1"/>
    <x v="3"/>
    <x v="1008"/>
  </r>
  <r>
    <x v="1014"/>
    <x v="389"/>
    <x v="2"/>
    <x v="1"/>
    <x v="0"/>
    <x v="1006"/>
    <x v="2"/>
    <x v="0"/>
    <x v="1008"/>
    <x v="352"/>
    <x v="0"/>
    <x v="2"/>
    <x v="1014"/>
    <x v="5"/>
    <x v="1"/>
    <x v="2"/>
    <x v="1009"/>
  </r>
  <r>
    <x v="1015"/>
    <x v="547"/>
    <x v="0"/>
    <x v="1"/>
    <x v="0"/>
    <x v="1007"/>
    <x v="4"/>
    <x v="1"/>
    <x v="1009"/>
    <x v="428"/>
    <x v="1"/>
    <x v="0"/>
    <x v="1015"/>
    <x v="7"/>
    <x v="0"/>
    <x v="0"/>
    <x v="1010"/>
  </r>
  <r>
    <x v="1016"/>
    <x v="10"/>
    <x v="8"/>
    <x v="0"/>
    <x v="2"/>
    <x v="1008"/>
    <x v="2"/>
    <x v="0"/>
    <x v="1010"/>
    <x v="592"/>
    <x v="0"/>
    <x v="3"/>
    <x v="1016"/>
    <x v="0"/>
    <x v="3"/>
    <x v="2"/>
    <x v="1011"/>
  </r>
  <r>
    <x v="1017"/>
    <x v="625"/>
    <x v="1"/>
    <x v="1"/>
    <x v="1"/>
    <x v="1009"/>
    <x v="3"/>
    <x v="1"/>
    <x v="1011"/>
    <x v="593"/>
    <x v="3"/>
    <x v="3"/>
    <x v="1017"/>
    <x v="5"/>
    <x v="1"/>
    <x v="1"/>
    <x v="1012"/>
  </r>
  <r>
    <x v="1018"/>
    <x v="307"/>
    <x v="10"/>
    <x v="0"/>
    <x v="1"/>
    <x v="1010"/>
    <x v="5"/>
    <x v="4"/>
    <x v="1012"/>
    <x v="594"/>
    <x v="4"/>
    <x v="3"/>
    <x v="1018"/>
    <x v="1"/>
    <x v="2"/>
    <x v="0"/>
    <x v="1013"/>
  </r>
  <r>
    <x v="1019"/>
    <x v="616"/>
    <x v="6"/>
    <x v="1"/>
    <x v="3"/>
    <x v="1011"/>
    <x v="6"/>
    <x v="2"/>
    <x v="1013"/>
    <x v="284"/>
    <x v="4"/>
    <x v="2"/>
    <x v="1019"/>
    <x v="7"/>
    <x v="0"/>
    <x v="1"/>
    <x v="1014"/>
  </r>
  <r>
    <x v="1020"/>
    <x v="181"/>
    <x v="6"/>
    <x v="1"/>
    <x v="3"/>
    <x v="1012"/>
    <x v="2"/>
    <x v="1"/>
    <x v="1014"/>
    <x v="304"/>
    <x v="1"/>
    <x v="3"/>
    <x v="1020"/>
    <x v="1"/>
    <x v="0"/>
    <x v="0"/>
    <x v="1015"/>
  </r>
  <r>
    <x v="1021"/>
    <x v="5"/>
    <x v="3"/>
    <x v="0"/>
    <x v="2"/>
    <x v="1013"/>
    <x v="1"/>
    <x v="4"/>
    <x v="1015"/>
    <x v="551"/>
    <x v="2"/>
    <x v="1"/>
    <x v="1021"/>
    <x v="4"/>
    <x v="0"/>
    <x v="2"/>
    <x v="1016"/>
  </r>
  <r>
    <x v="1022"/>
    <x v="522"/>
    <x v="2"/>
    <x v="2"/>
    <x v="0"/>
    <x v="1014"/>
    <x v="2"/>
    <x v="4"/>
    <x v="1016"/>
    <x v="467"/>
    <x v="2"/>
    <x v="0"/>
    <x v="1022"/>
    <x v="2"/>
    <x v="0"/>
    <x v="1"/>
    <x v="1017"/>
  </r>
  <r>
    <x v="1023"/>
    <x v="296"/>
    <x v="11"/>
    <x v="1"/>
    <x v="1"/>
    <x v="1015"/>
    <x v="5"/>
    <x v="0"/>
    <x v="1017"/>
    <x v="83"/>
    <x v="4"/>
    <x v="0"/>
    <x v="1023"/>
    <x v="8"/>
    <x v="2"/>
    <x v="1"/>
    <x v="1018"/>
  </r>
  <r>
    <x v="1024"/>
    <x v="412"/>
    <x v="0"/>
    <x v="1"/>
    <x v="0"/>
    <x v="1016"/>
    <x v="3"/>
    <x v="4"/>
    <x v="1018"/>
    <x v="359"/>
    <x v="4"/>
    <x v="4"/>
    <x v="1024"/>
    <x v="0"/>
    <x v="1"/>
    <x v="3"/>
    <x v="1019"/>
  </r>
  <r>
    <x v="1025"/>
    <x v="271"/>
    <x v="4"/>
    <x v="2"/>
    <x v="3"/>
    <x v="1017"/>
    <x v="3"/>
    <x v="2"/>
    <x v="1019"/>
    <x v="138"/>
    <x v="3"/>
    <x v="3"/>
    <x v="1025"/>
    <x v="7"/>
    <x v="1"/>
    <x v="0"/>
    <x v="1020"/>
  </r>
  <r>
    <x v="1026"/>
    <x v="31"/>
    <x v="4"/>
    <x v="0"/>
    <x v="3"/>
    <x v="1018"/>
    <x v="0"/>
    <x v="2"/>
    <x v="1020"/>
    <x v="111"/>
    <x v="1"/>
    <x v="3"/>
    <x v="1026"/>
    <x v="9"/>
    <x v="3"/>
    <x v="3"/>
    <x v="1021"/>
  </r>
  <r>
    <x v="1027"/>
    <x v="626"/>
    <x v="4"/>
    <x v="1"/>
    <x v="3"/>
    <x v="1019"/>
    <x v="5"/>
    <x v="3"/>
    <x v="1021"/>
    <x v="498"/>
    <x v="4"/>
    <x v="2"/>
    <x v="1027"/>
    <x v="5"/>
    <x v="2"/>
    <x v="4"/>
    <x v="1022"/>
  </r>
  <r>
    <x v="1028"/>
    <x v="96"/>
    <x v="2"/>
    <x v="0"/>
    <x v="0"/>
    <x v="1020"/>
    <x v="6"/>
    <x v="3"/>
    <x v="1022"/>
    <x v="200"/>
    <x v="4"/>
    <x v="1"/>
    <x v="1028"/>
    <x v="5"/>
    <x v="2"/>
    <x v="0"/>
    <x v="1023"/>
  </r>
  <r>
    <x v="1029"/>
    <x v="627"/>
    <x v="9"/>
    <x v="2"/>
    <x v="0"/>
    <x v="1021"/>
    <x v="6"/>
    <x v="2"/>
    <x v="1023"/>
    <x v="578"/>
    <x v="2"/>
    <x v="0"/>
    <x v="1029"/>
    <x v="4"/>
    <x v="1"/>
    <x v="2"/>
    <x v="1024"/>
  </r>
  <r>
    <x v="1030"/>
    <x v="276"/>
    <x v="3"/>
    <x v="0"/>
    <x v="2"/>
    <x v="1022"/>
    <x v="1"/>
    <x v="3"/>
    <x v="1024"/>
    <x v="595"/>
    <x v="2"/>
    <x v="3"/>
    <x v="1030"/>
    <x v="5"/>
    <x v="3"/>
    <x v="2"/>
    <x v="1025"/>
  </r>
  <r>
    <x v="1031"/>
    <x v="285"/>
    <x v="2"/>
    <x v="0"/>
    <x v="0"/>
    <x v="1023"/>
    <x v="1"/>
    <x v="0"/>
    <x v="1025"/>
    <x v="596"/>
    <x v="0"/>
    <x v="4"/>
    <x v="1031"/>
    <x v="2"/>
    <x v="0"/>
    <x v="2"/>
    <x v="1026"/>
  </r>
  <r>
    <x v="1032"/>
    <x v="197"/>
    <x v="6"/>
    <x v="0"/>
    <x v="3"/>
    <x v="1024"/>
    <x v="3"/>
    <x v="2"/>
    <x v="1026"/>
    <x v="243"/>
    <x v="1"/>
    <x v="3"/>
    <x v="1032"/>
    <x v="5"/>
    <x v="3"/>
    <x v="1"/>
    <x v="1027"/>
  </r>
  <r>
    <x v="1033"/>
    <x v="628"/>
    <x v="8"/>
    <x v="1"/>
    <x v="2"/>
    <x v="1025"/>
    <x v="0"/>
    <x v="2"/>
    <x v="1027"/>
    <x v="597"/>
    <x v="3"/>
    <x v="3"/>
    <x v="1033"/>
    <x v="7"/>
    <x v="1"/>
    <x v="1"/>
    <x v="1028"/>
  </r>
  <r>
    <x v="1034"/>
    <x v="452"/>
    <x v="5"/>
    <x v="1"/>
    <x v="3"/>
    <x v="1026"/>
    <x v="4"/>
    <x v="3"/>
    <x v="1028"/>
    <x v="598"/>
    <x v="4"/>
    <x v="1"/>
    <x v="1034"/>
    <x v="2"/>
    <x v="1"/>
    <x v="3"/>
    <x v="1029"/>
  </r>
  <r>
    <x v="1035"/>
    <x v="629"/>
    <x v="7"/>
    <x v="0"/>
    <x v="2"/>
    <x v="1027"/>
    <x v="5"/>
    <x v="3"/>
    <x v="1029"/>
    <x v="599"/>
    <x v="4"/>
    <x v="1"/>
    <x v="1035"/>
    <x v="3"/>
    <x v="2"/>
    <x v="1"/>
    <x v="1030"/>
  </r>
  <r>
    <x v="1036"/>
    <x v="583"/>
    <x v="4"/>
    <x v="1"/>
    <x v="3"/>
    <x v="1028"/>
    <x v="1"/>
    <x v="4"/>
    <x v="1030"/>
    <x v="64"/>
    <x v="3"/>
    <x v="0"/>
    <x v="1036"/>
    <x v="2"/>
    <x v="0"/>
    <x v="3"/>
    <x v="1031"/>
  </r>
  <r>
    <x v="1037"/>
    <x v="141"/>
    <x v="8"/>
    <x v="0"/>
    <x v="2"/>
    <x v="1029"/>
    <x v="4"/>
    <x v="2"/>
    <x v="1031"/>
    <x v="465"/>
    <x v="4"/>
    <x v="4"/>
    <x v="1037"/>
    <x v="9"/>
    <x v="0"/>
    <x v="4"/>
    <x v="1032"/>
  </r>
  <r>
    <x v="1038"/>
    <x v="175"/>
    <x v="9"/>
    <x v="2"/>
    <x v="0"/>
    <x v="1030"/>
    <x v="2"/>
    <x v="4"/>
    <x v="1032"/>
    <x v="600"/>
    <x v="0"/>
    <x v="2"/>
    <x v="1038"/>
    <x v="3"/>
    <x v="2"/>
    <x v="3"/>
    <x v="1033"/>
  </r>
  <r>
    <x v="1039"/>
    <x v="164"/>
    <x v="5"/>
    <x v="2"/>
    <x v="3"/>
    <x v="1031"/>
    <x v="6"/>
    <x v="1"/>
    <x v="1033"/>
    <x v="601"/>
    <x v="2"/>
    <x v="1"/>
    <x v="1039"/>
    <x v="7"/>
    <x v="3"/>
    <x v="0"/>
    <x v="1034"/>
  </r>
  <r>
    <x v="1040"/>
    <x v="375"/>
    <x v="7"/>
    <x v="0"/>
    <x v="2"/>
    <x v="1032"/>
    <x v="2"/>
    <x v="2"/>
    <x v="1034"/>
    <x v="407"/>
    <x v="0"/>
    <x v="3"/>
    <x v="1040"/>
    <x v="3"/>
    <x v="1"/>
    <x v="4"/>
    <x v="1035"/>
  </r>
  <r>
    <x v="1041"/>
    <x v="91"/>
    <x v="2"/>
    <x v="0"/>
    <x v="0"/>
    <x v="1033"/>
    <x v="0"/>
    <x v="3"/>
    <x v="1035"/>
    <x v="198"/>
    <x v="3"/>
    <x v="0"/>
    <x v="1041"/>
    <x v="6"/>
    <x v="3"/>
    <x v="4"/>
    <x v="1036"/>
  </r>
  <r>
    <x v="1042"/>
    <x v="65"/>
    <x v="8"/>
    <x v="1"/>
    <x v="2"/>
    <x v="1034"/>
    <x v="2"/>
    <x v="1"/>
    <x v="1036"/>
    <x v="271"/>
    <x v="0"/>
    <x v="0"/>
    <x v="1042"/>
    <x v="7"/>
    <x v="3"/>
    <x v="3"/>
    <x v="1037"/>
  </r>
  <r>
    <x v="1043"/>
    <x v="630"/>
    <x v="0"/>
    <x v="2"/>
    <x v="0"/>
    <x v="1035"/>
    <x v="2"/>
    <x v="1"/>
    <x v="1037"/>
    <x v="581"/>
    <x v="3"/>
    <x v="0"/>
    <x v="1043"/>
    <x v="3"/>
    <x v="2"/>
    <x v="0"/>
    <x v="1038"/>
  </r>
  <r>
    <x v="1044"/>
    <x v="450"/>
    <x v="5"/>
    <x v="2"/>
    <x v="3"/>
    <x v="1036"/>
    <x v="4"/>
    <x v="2"/>
    <x v="1038"/>
    <x v="602"/>
    <x v="2"/>
    <x v="3"/>
    <x v="1044"/>
    <x v="4"/>
    <x v="1"/>
    <x v="1"/>
    <x v="1039"/>
  </r>
  <r>
    <x v="1045"/>
    <x v="28"/>
    <x v="11"/>
    <x v="1"/>
    <x v="1"/>
    <x v="1037"/>
    <x v="5"/>
    <x v="0"/>
    <x v="1039"/>
    <x v="603"/>
    <x v="3"/>
    <x v="2"/>
    <x v="1045"/>
    <x v="0"/>
    <x v="2"/>
    <x v="2"/>
    <x v="1040"/>
  </r>
  <r>
    <x v="1046"/>
    <x v="550"/>
    <x v="3"/>
    <x v="1"/>
    <x v="2"/>
    <x v="1038"/>
    <x v="2"/>
    <x v="4"/>
    <x v="1040"/>
    <x v="604"/>
    <x v="1"/>
    <x v="0"/>
    <x v="1046"/>
    <x v="4"/>
    <x v="3"/>
    <x v="0"/>
    <x v="1041"/>
  </r>
  <r>
    <x v="1047"/>
    <x v="467"/>
    <x v="5"/>
    <x v="0"/>
    <x v="3"/>
    <x v="1039"/>
    <x v="3"/>
    <x v="3"/>
    <x v="1041"/>
    <x v="605"/>
    <x v="3"/>
    <x v="0"/>
    <x v="1047"/>
    <x v="5"/>
    <x v="3"/>
    <x v="1"/>
    <x v="1042"/>
  </r>
  <r>
    <x v="1048"/>
    <x v="82"/>
    <x v="11"/>
    <x v="1"/>
    <x v="1"/>
    <x v="1040"/>
    <x v="0"/>
    <x v="3"/>
    <x v="1042"/>
    <x v="606"/>
    <x v="0"/>
    <x v="0"/>
    <x v="1048"/>
    <x v="6"/>
    <x v="2"/>
    <x v="4"/>
    <x v="1043"/>
  </r>
  <r>
    <x v="1049"/>
    <x v="408"/>
    <x v="10"/>
    <x v="1"/>
    <x v="1"/>
    <x v="1041"/>
    <x v="6"/>
    <x v="0"/>
    <x v="1043"/>
    <x v="20"/>
    <x v="2"/>
    <x v="0"/>
    <x v="1049"/>
    <x v="5"/>
    <x v="2"/>
    <x v="0"/>
    <x v="1044"/>
  </r>
  <r>
    <x v="1050"/>
    <x v="38"/>
    <x v="1"/>
    <x v="0"/>
    <x v="1"/>
    <x v="1042"/>
    <x v="5"/>
    <x v="0"/>
    <x v="1044"/>
    <x v="395"/>
    <x v="1"/>
    <x v="2"/>
    <x v="1050"/>
    <x v="6"/>
    <x v="2"/>
    <x v="0"/>
    <x v="1045"/>
  </r>
  <r>
    <x v="1051"/>
    <x v="376"/>
    <x v="9"/>
    <x v="2"/>
    <x v="0"/>
    <x v="1043"/>
    <x v="0"/>
    <x v="0"/>
    <x v="1045"/>
    <x v="607"/>
    <x v="3"/>
    <x v="0"/>
    <x v="1051"/>
    <x v="3"/>
    <x v="1"/>
    <x v="3"/>
    <x v="1046"/>
  </r>
  <r>
    <x v="1052"/>
    <x v="631"/>
    <x v="11"/>
    <x v="0"/>
    <x v="1"/>
    <x v="1044"/>
    <x v="2"/>
    <x v="2"/>
    <x v="1046"/>
    <x v="608"/>
    <x v="1"/>
    <x v="0"/>
    <x v="1052"/>
    <x v="9"/>
    <x v="3"/>
    <x v="4"/>
    <x v="1047"/>
  </r>
  <r>
    <x v="1053"/>
    <x v="632"/>
    <x v="11"/>
    <x v="1"/>
    <x v="1"/>
    <x v="1045"/>
    <x v="1"/>
    <x v="1"/>
    <x v="1047"/>
    <x v="574"/>
    <x v="1"/>
    <x v="4"/>
    <x v="1053"/>
    <x v="7"/>
    <x v="0"/>
    <x v="0"/>
    <x v="1048"/>
  </r>
  <r>
    <x v="1054"/>
    <x v="633"/>
    <x v="7"/>
    <x v="0"/>
    <x v="2"/>
    <x v="1046"/>
    <x v="4"/>
    <x v="2"/>
    <x v="1048"/>
    <x v="80"/>
    <x v="0"/>
    <x v="3"/>
    <x v="1054"/>
    <x v="1"/>
    <x v="3"/>
    <x v="0"/>
    <x v="1049"/>
  </r>
  <r>
    <x v="1055"/>
    <x v="5"/>
    <x v="3"/>
    <x v="0"/>
    <x v="2"/>
    <x v="1047"/>
    <x v="0"/>
    <x v="3"/>
    <x v="1049"/>
    <x v="407"/>
    <x v="0"/>
    <x v="3"/>
    <x v="1055"/>
    <x v="6"/>
    <x v="3"/>
    <x v="2"/>
    <x v="1050"/>
  </r>
  <r>
    <x v="1056"/>
    <x v="280"/>
    <x v="5"/>
    <x v="1"/>
    <x v="3"/>
    <x v="1048"/>
    <x v="1"/>
    <x v="1"/>
    <x v="1050"/>
    <x v="156"/>
    <x v="1"/>
    <x v="4"/>
    <x v="1056"/>
    <x v="5"/>
    <x v="0"/>
    <x v="1"/>
    <x v="1051"/>
  </r>
  <r>
    <x v="1057"/>
    <x v="634"/>
    <x v="11"/>
    <x v="1"/>
    <x v="1"/>
    <x v="1049"/>
    <x v="5"/>
    <x v="4"/>
    <x v="1051"/>
    <x v="153"/>
    <x v="0"/>
    <x v="0"/>
    <x v="1057"/>
    <x v="1"/>
    <x v="3"/>
    <x v="3"/>
    <x v="1052"/>
  </r>
  <r>
    <x v="1058"/>
    <x v="102"/>
    <x v="11"/>
    <x v="0"/>
    <x v="1"/>
    <x v="1050"/>
    <x v="6"/>
    <x v="1"/>
    <x v="1052"/>
    <x v="230"/>
    <x v="2"/>
    <x v="2"/>
    <x v="1058"/>
    <x v="7"/>
    <x v="1"/>
    <x v="0"/>
    <x v="1053"/>
  </r>
  <r>
    <x v="1059"/>
    <x v="491"/>
    <x v="11"/>
    <x v="1"/>
    <x v="1"/>
    <x v="1051"/>
    <x v="6"/>
    <x v="2"/>
    <x v="1053"/>
    <x v="609"/>
    <x v="2"/>
    <x v="2"/>
    <x v="1059"/>
    <x v="1"/>
    <x v="3"/>
    <x v="0"/>
    <x v="1054"/>
  </r>
  <r>
    <x v="1060"/>
    <x v="635"/>
    <x v="4"/>
    <x v="1"/>
    <x v="3"/>
    <x v="1052"/>
    <x v="2"/>
    <x v="1"/>
    <x v="1054"/>
    <x v="292"/>
    <x v="4"/>
    <x v="0"/>
    <x v="1060"/>
    <x v="0"/>
    <x v="3"/>
    <x v="1"/>
    <x v="1055"/>
  </r>
  <r>
    <x v="1061"/>
    <x v="636"/>
    <x v="0"/>
    <x v="2"/>
    <x v="0"/>
    <x v="1053"/>
    <x v="5"/>
    <x v="0"/>
    <x v="1055"/>
    <x v="32"/>
    <x v="4"/>
    <x v="0"/>
    <x v="1061"/>
    <x v="2"/>
    <x v="1"/>
    <x v="4"/>
    <x v="1056"/>
  </r>
  <r>
    <x v="1062"/>
    <x v="421"/>
    <x v="1"/>
    <x v="0"/>
    <x v="1"/>
    <x v="1054"/>
    <x v="3"/>
    <x v="0"/>
    <x v="1056"/>
    <x v="266"/>
    <x v="3"/>
    <x v="1"/>
    <x v="1062"/>
    <x v="3"/>
    <x v="2"/>
    <x v="3"/>
    <x v="1057"/>
  </r>
  <r>
    <x v="1063"/>
    <x v="83"/>
    <x v="5"/>
    <x v="1"/>
    <x v="3"/>
    <x v="1055"/>
    <x v="6"/>
    <x v="1"/>
    <x v="1057"/>
    <x v="154"/>
    <x v="2"/>
    <x v="0"/>
    <x v="1063"/>
    <x v="3"/>
    <x v="1"/>
    <x v="1"/>
    <x v="1058"/>
  </r>
  <r>
    <x v="1064"/>
    <x v="637"/>
    <x v="2"/>
    <x v="2"/>
    <x v="0"/>
    <x v="1056"/>
    <x v="5"/>
    <x v="3"/>
    <x v="1058"/>
    <x v="236"/>
    <x v="4"/>
    <x v="2"/>
    <x v="1064"/>
    <x v="6"/>
    <x v="1"/>
    <x v="1"/>
    <x v="1059"/>
  </r>
  <r>
    <x v="1065"/>
    <x v="638"/>
    <x v="3"/>
    <x v="0"/>
    <x v="2"/>
    <x v="1057"/>
    <x v="4"/>
    <x v="0"/>
    <x v="1059"/>
    <x v="336"/>
    <x v="0"/>
    <x v="3"/>
    <x v="1065"/>
    <x v="0"/>
    <x v="0"/>
    <x v="1"/>
    <x v="1060"/>
  </r>
  <r>
    <x v="1066"/>
    <x v="639"/>
    <x v="8"/>
    <x v="0"/>
    <x v="2"/>
    <x v="1058"/>
    <x v="6"/>
    <x v="2"/>
    <x v="1060"/>
    <x v="468"/>
    <x v="0"/>
    <x v="1"/>
    <x v="1066"/>
    <x v="3"/>
    <x v="0"/>
    <x v="0"/>
    <x v="1061"/>
  </r>
  <r>
    <x v="1067"/>
    <x v="640"/>
    <x v="5"/>
    <x v="0"/>
    <x v="3"/>
    <x v="1059"/>
    <x v="1"/>
    <x v="1"/>
    <x v="1061"/>
    <x v="65"/>
    <x v="1"/>
    <x v="2"/>
    <x v="1067"/>
    <x v="7"/>
    <x v="2"/>
    <x v="0"/>
    <x v="1062"/>
  </r>
  <r>
    <x v="1068"/>
    <x v="240"/>
    <x v="1"/>
    <x v="1"/>
    <x v="1"/>
    <x v="1060"/>
    <x v="5"/>
    <x v="2"/>
    <x v="871"/>
    <x v="610"/>
    <x v="0"/>
    <x v="0"/>
    <x v="1068"/>
    <x v="7"/>
    <x v="0"/>
    <x v="1"/>
    <x v="1063"/>
  </r>
  <r>
    <x v="1069"/>
    <x v="641"/>
    <x v="2"/>
    <x v="0"/>
    <x v="0"/>
    <x v="1061"/>
    <x v="0"/>
    <x v="2"/>
    <x v="1062"/>
    <x v="207"/>
    <x v="3"/>
    <x v="2"/>
    <x v="1069"/>
    <x v="1"/>
    <x v="2"/>
    <x v="3"/>
    <x v="1064"/>
  </r>
  <r>
    <x v="1070"/>
    <x v="605"/>
    <x v="11"/>
    <x v="1"/>
    <x v="1"/>
    <x v="1062"/>
    <x v="6"/>
    <x v="3"/>
    <x v="1063"/>
    <x v="75"/>
    <x v="0"/>
    <x v="4"/>
    <x v="1070"/>
    <x v="5"/>
    <x v="2"/>
    <x v="2"/>
    <x v="1065"/>
  </r>
  <r>
    <x v="1071"/>
    <x v="53"/>
    <x v="5"/>
    <x v="2"/>
    <x v="3"/>
    <x v="1063"/>
    <x v="1"/>
    <x v="1"/>
    <x v="1064"/>
    <x v="307"/>
    <x v="4"/>
    <x v="0"/>
    <x v="1071"/>
    <x v="7"/>
    <x v="2"/>
    <x v="4"/>
    <x v="1066"/>
  </r>
  <r>
    <x v="1072"/>
    <x v="297"/>
    <x v="2"/>
    <x v="0"/>
    <x v="0"/>
    <x v="1064"/>
    <x v="0"/>
    <x v="2"/>
    <x v="1065"/>
    <x v="225"/>
    <x v="3"/>
    <x v="1"/>
    <x v="1072"/>
    <x v="4"/>
    <x v="0"/>
    <x v="1"/>
    <x v="1067"/>
  </r>
  <r>
    <x v="1073"/>
    <x v="642"/>
    <x v="3"/>
    <x v="1"/>
    <x v="2"/>
    <x v="1065"/>
    <x v="2"/>
    <x v="3"/>
    <x v="1066"/>
    <x v="221"/>
    <x v="0"/>
    <x v="2"/>
    <x v="1073"/>
    <x v="4"/>
    <x v="2"/>
    <x v="3"/>
    <x v="1068"/>
  </r>
  <r>
    <x v="1074"/>
    <x v="451"/>
    <x v="4"/>
    <x v="1"/>
    <x v="3"/>
    <x v="1066"/>
    <x v="1"/>
    <x v="2"/>
    <x v="1067"/>
    <x v="611"/>
    <x v="1"/>
    <x v="2"/>
    <x v="1074"/>
    <x v="4"/>
    <x v="2"/>
    <x v="4"/>
    <x v="1069"/>
  </r>
  <r>
    <x v="1075"/>
    <x v="169"/>
    <x v="1"/>
    <x v="1"/>
    <x v="1"/>
    <x v="1067"/>
    <x v="0"/>
    <x v="1"/>
    <x v="1068"/>
    <x v="181"/>
    <x v="0"/>
    <x v="3"/>
    <x v="1075"/>
    <x v="0"/>
    <x v="3"/>
    <x v="0"/>
    <x v="1070"/>
  </r>
  <r>
    <x v="1076"/>
    <x v="20"/>
    <x v="4"/>
    <x v="0"/>
    <x v="3"/>
    <x v="1068"/>
    <x v="5"/>
    <x v="3"/>
    <x v="1069"/>
    <x v="595"/>
    <x v="4"/>
    <x v="0"/>
    <x v="1076"/>
    <x v="5"/>
    <x v="2"/>
    <x v="1"/>
    <x v="1071"/>
  </r>
  <r>
    <x v="1077"/>
    <x v="456"/>
    <x v="9"/>
    <x v="2"/>
    <x v="0"/>
    <x v="1069"/>
    <x v="4"/>
    <x v="4"/>
    <x v="1070"/>
    <x v="107"/>
    <x v="2"/>
    <x v="1"/>
    <x v="1077"/>
    <x v="2"/>
    <x v="0"/>
    <x v="1"/>
    <x v="1072"/>
  </r>
  <r>
    <x v="1078"/>
    <x v="168"/>
    <x v="9"/>
    <x v="0"/>
    <x v="0"/>
    <x v="1070"/>
    <x v="6"/>
    <x v="2"/>
    <x v="1071"/>
    <x v="27"/>
    <x v="1"/>
    <x v="2"/>
    <x v="1078"/>
    <x v="4"/>
    <x v="3"/>
    <x v="2"/>
    <x v="1073"/>
  </r>
  <r>
    <x v="1079"/>
    <x v="643"/>
    <x v="5"/>
    <x v="1"/>
    <x v="3"/>
    <x v="1071"/>
    <x v="1"/>
    <x v="0"/>
    <x v="1072"/>
    <x v="570"/>
    <x v="3"/>
    <x v="3"/>
    <x v="1079"/>
    <x v="2"/>
    <x v="2"/>
    <x v="2"/>
    <x v="1074"/>
  </r>
  <r>
    <x v="1080"/>
    <x v="325"/>
    <x v="0"/>
    <x v="0"/>
    <x v="0"/>
    <x v="1072"/>
    <x v="5"/>
    <x v="0"/>
    <x v="1073"/>
    <x v="612"/>
    <x v="3"/>
    <x v="3"/>
    <x v="1080"/>
    <x v="0"/>
    <x v="2"/>
    <x v="1"/>
    <x v="1075"/>
  </r>
  <r>
    <x v="1081"/>
    <x v="453"/>
    <x v="6"/>
    <x v="0"/>
    <x v="3"/>
    <x v="1073"/>
    <x v="0"/>
    <x v="3"/>
    <x v="1074"/>
    <x v="294"/>
    <x v="2"/>
    <x v="4"/>
    <x v="1081"/>
    <x v="3"/>
    <x v="1"/>
    <x v="4"/>
    <x v="1076"/>
  </r>
  <r>
    <x v="1082"/>
    <x v="426"/>
    <x v="3"/>
    <x v="0"/>
    <x v="2"/>
    <x v="1074"/>
    <x v="3"/>
    <x v="4"/>
    <x v="1075"/>
    <x v="601"/>
    <x v="0"/>
    <x v="4"/>
    <x v="1082"/>
    <x v="3"/>
    <x v="0"/>
    <x v="2"/>
    <x v="1077"/>
  </r>
  <r>
    <x v="1083"/>
    <x v="644"/>
    <x v="10"/>
    <x v="1"/>
    <x v="1"/>
    <x v="1075"/>
    <x v="3"/>
    <x v="2"/>
    <x v="1076"/>
    <x v="30"/>
    <x v="2"/>
    <x v="3"/>
    <x v="1083"/>
    <x v="1"/>
    <x v="0"/>
    <x v="2"/>
    <x v="1078"/>
  </r>
  <r>
    <x v="1084"/>
    <x v="124"/>
    <x v="0"/>
    <x v="0"/>
    <x v="0"/>
    <x v="1076"/>
    <x v="1"/>
    <x v="2"/>
    <x v="1077"/>
    <x v="35"/>
    <x v="3"/>
    <x v="4"/>
    <x v="1084"/>
    <x v="9"/>
    <x v="3"/>
    <x v="0"/>
    <x v="1079"/>
  </r>
  <r>
    <x v="1085"/>
    <x v="54"/>
    <x v="4"/>
    <x v="0"/>
    <x v="3"/>
    <x v="1077"/>
    <x v="4"/>
    <x v="1"/>
    <x v="1078"/>
    <x v="135"/>
    <x v="0"/>
    <x v="0"/>
    <x v="1085"/>
    <x v="0"/>
    <x v="3"/>
    <x v="0"/>
    <x v="1080"/>
  </r>
  <r>
    <x v="1086"/>
    <x v="475"/>
    <x v="8"/>
    <x v="0"/>
    <x v="2"/>
    <x v="1078"/>
    <x v="2"/>
    <x v="1"/>
    <x v="1079"/>
    <x v="613"/>
    <x v="1"/>
    <x v="4"/>
    <x v="1086"/>
    <x v="3"/>
    <x v="3"/>
    <x v="0"/>
    <x v="1081"/>
  </r>
  <r>
    <x v="1087"/>
    <x v="411"/>
    <x v="9"/>
    <x v="2"/>
    <x v="0"/>
    <x v="1079"/>
    <x v="5"/>
    <x v="3"/>
    <x v="1080"/>
    <x v="614"/>
    <x v="1"/>
    <x v="0"/>
    <x v="1087"/>
    <x v="2"/>
    <x v="0"/>
    <x v="0"/>
    <x v="1082"/>
  </r>
  <r>
    <x v="1088"/>
    <x v="115"/>
    <x v="7"/>
    <x v="0"/>
    <x v="2"/>
    <x v="1080"/>
    <x v="6"/>
    <x v="4"/>
    <x v="1081"/>
    <x v="615"/>
    <x v="3"/>
    <x v="0"/>
    <x v="1088"/>
    <x v="5"/>
    <x v="3"/>
    <x v="0"/>
    <x v="1083"/>
  </r>
  <r>
    <x v="1089"/>
    <x v="175"/>
    <x v="9"/>
    <x v="2"/>
    <x v="0"/>
    <x v="1081"/>
    <x v="2"/>
    <x v="1"/>
    <x v="1082"/>
    <x v="63"/>
    <x v="3"/>
    <x v="0"/>
    <x v="1089"/>
    <x v="7"/>
    <x v="2"/>
    <x v="0"/>
    <x v="1084"/>
  </r>
  <r>
    <x v="1090"/>
    <x v="641"/>
    <x v="2"/>
    <x v="0"/>
    <x v="0"/>
    <x v="1082"/>
    <x v="0"/>
    <x v="1"/>
    <x v="1083"/>
    <x v="31"/>
    <x v="3"/>
    <x v="2"/>
    <x v="1090"/>
    <x v="5"/>
    <x v="2"/>
    <x v="0"/>
    <x v="1085"/>
  </r>
  <r>
    <x v="1091"/>
    <x v="192"/>
    <x v="3"/>
    <x v="1"/>
    <x v="2"/>
    <x v="1083"/>
    <x v="5"/>
    <x v="4"/>
    <x v="1084"/>
    <x v="329"/>
    <x v="0"/>
    <x v="4"/>
    <x v="1091"/>
    <x v="4"/>
    <x v="2"/>
    <x v="2"/>
    <x v="1086"/>
  </r>
  <r>
    <x v="1092"/>
    <x v="531"/>
    <x v="1"/>
    <x v="0"/>
    <x v="1"/>
    <x v="1084"/>
    <x v="5"/>
    <x v="0"/>
    <x v="1085"/>
    <x v="29"/>
    <x v="0"/>
    <x v="3"/>
    <x v="1092"/>
    <x v="5"/>
    <x v="3"/>
    <x v="2"/>
    <x v="1087"/>
  </r>
  <r>
    <x v="1093"/>
    <x v="308"/>
    <x v="5"/>
    <x v="0"/>
    <x v="3"/>
    <x v="1085"/>
    <x v="1"/>
    <x v="3"/>
    <x v="1086"/>
    <x v="616"/>
    <x v="3"/>
    <x v="2"/>
    <x v="1093"/>
    <x v="6"/>
    <x v="1"/>
    <x v="0"/>
    <x v="1088"/>
  </r>
  <r>
    <x v="1094"/>
    <x v="342"/>
    <x v="5"/>
    <x v="0"/>
    <x v="3"/>
    <x v="1086"/>
    <x v="4"/>
    <x v="3"/>
    <x v="1087"/>
    <x v="617"/>
    <x v="2"/>
    <x v="0"/>
    <x v="1094"/>
    <x v="5"/>
    <x v="0"/>
    <x v="0"/>
    <x v="1089"/>
  </r>
  <r>
    <x v="1095"/>
    <x v="234"/>
    <x v="6"/>
    <x v="1"/>
    <x v="3"/>
    <x v="1087"/>
    <x v="1"/>
    <x v="1"/>
    <x v="1088"/>
    <x v="618"/>
    <x v="1"/>
    <x v="3"/>
    <x v="1095"/>
    <x v="7"/>
    <x v="0"/>
    <x v="2"/>
    <x v="1090"/>
  </r>
  <r>
    <x v="1096"/>
    <x v="120"/>
    <x v="4"/>
    <x v="2"/>
    <x v="3"/>
    <x v="1088"/>
    <x v="2"/>
    <x v="1"/>
    <x v="1089"/>
    <x v="619"/>
    <x v="0"/>
    <x v="2"/>
    <x v="1096"/>
    <x v="7"/>
    <x v="2"/>
    <x v="3"/>
    <x v="1091"/>
  </r>
  <r>
    <x v="1097"/>
    <x v="645"/>
    <x v="8"/>
    <x v="1"/>
    <x v="2"/>
    <x v="1089"/>
    <x v="0"/>
    <x v="0"/>
    <x v="1090"/>
    <x v="620"/>
    <x v="3"/>
    <x v="0"/>
    <x v="1097"/>
    <x v="0"/>
    <x v="3"/>
    <x v="4"/>
    <x v="1092"/>
  </r>
  <r>
    <x v="1098"/>
    <x v="646"/>
    <x v="5"/>
    <x v="0"/>
    <x v="3"/>
    <x v="1090"/>
    <x v="0"/>
    <x v="3"/>
    <x v="1091"/>
    <x v="621"/>
    <x v="2"/>
    <x v="3"/>
    <x v="1098"/>
    <x v="0"/>
    <x v="2"/>
    <x v="2"/>
    <x v="1093"/>
  </r>
  <r>
    <x v="1099"/>
    <x v="556"/>
    <x v="11"/>
    <x v="1"/>
    <x v="1"/>
    <x v="1091"/>
    <x v="5"/>
    <x v="1"/>
    <x v="1092"/>
    <x v="314"/>
    <x v="4"/>
    <x v="1"/>
    <x v="1099"/>
    <x v="1"/>
    <x v="1"/>
    <x v="2"/>
    <x v="1094"/>
  </r>
  <r>
    <x v="1100"/>
    <x v="538"/>
    <x v="1"/>
    <x v="0"/>
    <x v="1"/>
    <x v="1092"/>
    <x v="5"/>
    <x v="0"/>
    <x v="1093"/>
    <x v="622"/>
    <x v="0"/>
    <x v="1"/>
    <x v="1100"/>
    <x v="5"/>
    <x v="3"/>
    <x v="0"/>
    <x v="1095"/>
  </r>
  <r>
    <x v="1101"/>
    <x v="647"/>
    <x v="5"/>
    <x v="2"/>
    <x v="3"/>
    <x v="1093"/>
    <x v="0"/>
    <x v="4"/>
    <x v="1094"/>
    <x v="8"/>
    <x v="4"/>
    <x v="4"/>
    <x v="1101"/>
    <x v="4"/>
    <x v="0"/>
    <x v="2"/>
    <x v="1096"/>
  </r>
  <r>
    <x v="1102"/>
    <x v="561"/>
    <x v="5"/>
    <x v="1"/>
    <x v="3"/>
    <x v="14"/>
    <x v="3"/>
    <x v="3"/>
    <x v="1095"/>
    <x v="494"/>
    <x v="0"/>
    <x v="0"/>
    <x v="1102"/>
    <x v="2"/>
    <x v="2"/>
    <x v="0"/>
    <x v="1097"/>
  </r>
  <r>
    <x v="1103"/>
    <x v="648"/>
    <x v="6"/>
    <x v="0"/>
    <x v="3"/>
    <x v="1094"/>
    <x v="5"/>
    <x v="3"/>
    <x v="1096"/>
    <x v="67"/>
    <x v="1"/>
    <x v="3"/>
    <x v="1103"/>
    <x v="3"/>
    <x v="2"/>
    <x v="4"/>
    <x v="1098"/>
  </r>
  <r>
    <x v="1104"/>
    <x v="568"/>
    <x v="10"/>
    <x v="1"/>
    <x v="1"/>
    <x v="1095"/>
    <x v="2"/>
    <x v="3"/>
    <x v="1097"/>
    <x v="623"/>
    <x v="1"/>
    <x v="0"/>
    <x v="1104"/>
    <x v="2"/>
    <x v="2"/>
    <x v="0"/>
    <x v="1099"/>
  </r>
  <r>
    <x v="1105"/>
    <x v="649"/>
    <x v="0"/>
    <x v="1"/>
    <x v="0"/>
    <x v="1096"/>
    <x v="2"/>
    <x v="4"/>
    <x v="1098"/>
    <x v="234"/>
    <x v="3"/>
    <x v="1"/>
    <x v="1105"/>
    <x v="1"/>
    <x v="1"/>
    <x v="4"/>
    <x v="1100"/>
  </r>
  <r>
    <x v="1106"/>
    <x v="255"/>
    <x v="9"/>
    <x v="0"/>
    <x v="0"/>
    <x v="1097"/>
    <x v="3"/>
    <x v="2"/>
    <x v="1099"/>
    <x v="13"/>
    <x v="4"/>
    <x v="1"/>
    <x v="1106"/>
    <x v="5"/>
    <x v="0"/>
    <x v="3"/>
    <x v="1101"/>
  </r>
  <r>
    <x v="1107"/>
    <x v="233"/>
    <x v="5"/>
    <x v="2"/>
    <x v="3"/>
    <x v="1098"/>
    <x v="2"/>
    <x v="1"/>
    <x v="1100"/>
    <x v="429"/>
    <x v="1"/>
    <x v="1"/>
    <x v="1107"/>
    <x v="4"/>
    <x v="0"/>
    <x v="4"/>
    <x v="1102"/>
  </r>
  <r>
    <x v="1108"/>
    <x v="650"/>
    <x v="9"/>
    <x v="0"/>
    <x v="0"/>
    <x v="1099"/>
    <x v="5"/>
    <x v="2"/>
    <x v="1101"/>
    <x v="624"/>
    <x v="1"/>
    <x v="1"/>
    <x v="1108"/>
    <x v="3"/>
    <x v="3"/>
    <x v="0"/>
    <x v="1103"/>
  </r>
  <r>
    <x v="1109"/>
    <x v="651"/>
    <x v="6"/>
    <x v="1"/>
    <x v="3"/>
    <x v="1100"/>
    <x v="4"/>
    <x v="3"/>
    <x v="1102"/>
    <x v="358"/>
    <x v="3"/>
    <x v="2"/>
    <x v="1109"/>
    <x v="0"/>
    <x v="0"/>
    <x v="0"/>
    <x v="1104"/>
  </r>
  <r>
    <x v="1110"/>
    <x v="402"/>
    <x v="2"/>
    <x v="1"/>
    <x v="0"/>
    <x v="1101"/>
    <x v="3"/>
    <x v="4"/>
    <x v="1103"/>
    <x v="33"/>
    <x v="2"/>
    <x v="0"/>
    <x v="1110"/>
    <x v="1"/>
    <x v="0"/>
    <x v="2"/>
    <x v="1105"/>
  </r>
  <r>
    <x v="1111"/>
    <x v="306"/>
    <x v="4"/>
    <x v="0"/>
    <x v="3"/>
    <x v="1102"/>
    <x v="0"/>
    <x v="3"/>
    <x v="1104"/>
    <x v="625"/>
    <x v="1"/>
    <x v="1"/>
    <x v="1111"/>
    <x v="6"/>
    <x v="1"/>
    <x v="0"/>
    <x v="1106"/>
  </r>
  <r>
    <x v="1112"/>
    <x v="652"/>
    <x v="3"/>
    <x v="0"/>
    <x v="2"/>
    <x v="1103"/>
    <x v="6"/>
    <x v="2"/>
    <x v="1105"/>
    <x v="116"/>
    <x v="1"/>
    <x v="3"/>
    <x v="1112"/>
    <x v="9"/>
    <x v="3"/>
    <x v="0"/>
    <x v="1107"/>
  </r>
  <r>
    <x v="1113"/>
    <x v="111"/>
    <x v="9"/>
    <x v="0"/>
    <x v="0"/>
    <x v="1104"/>
    <x v="6"/>
    <x v="3"/>
    <x v="1106"/>
    <x v="572"/>
    <x v="4"/>
    <x v="3"/>
    <x v="1113"/>
    <x v="2"/>
    <x v="2"/>
    <x v="4"/>
    <x v="1108"/>
  </r>
  <r>
    <x v="1114"/>
    <x v="653"/>
    <x v="9"/>
    <x v="0"/>
    <x v="0"/>
    <x v="1105"/>
    <x v="2"/>
    <x v="4"/>
    <x v="1107"/>
    <x v="181"/>
    <x v="3"/>
    <x v="1"/>
    <x v="1114"/>
    <x v="1"/>
    <x v="2"/>
    <x v="4"/>
    <x v="1109"/>
  </r>
  <r>
    <x v="1115"/>
    <x v="126"/>
    <x v="5"/>
    <x v="2"/>
    <x v="3"/>
    <x v="1106"/>
    <x v="5"/>
    <x v="1"/>
    <x v="1108"/>
    <x v="203"/>
    <x v="1"/>
    <x v="2"/>
    <x v="1115"/>
    <x v="1"/>
    <x v="2"/>
    <x v="4"/>
    <x v="1110"/>
  </r>
  <r>
    <x v="1116"/>
    <x v="612"/>
    <x v="3"/>
    <x v="0"/>
    <x v="2"/>
    <x v="1107"/>
    <x v="4"/>
    <x v="1"/>
    <x v="1109"/>
    <x v="203"/>
    <x v="2"/>
    <x v="3"/>
    <x v="1116"/>
    <x v="0"/>
    <x v="3"/>
    <x v="3"/>
    <x v="1111"/>
  </r>
  <r>
    <x v="1117"/>
    <x v="199"/>
    <x v="4"/>
    <x v="1"/>
    <x v="3"/>
    <x v="1108"/>
    <x v="3"/>
    <x v="4"/>
    <x v="1110"/>
    <x v="324"/>
    <x v="3"/>
    <x v="0"/>
    <x v="1117"/>
    <x v="2"/>
    <x v="3"/>
    <x v="4"/>
    <x v="1112"/>
  </r>
  <r>
    <x v="1118"/>
    <x v="75"/>
    <x v="4"/>
    <x v="1"/>
    <x v="3"/>
    <x v="1109"/>
    <x v="1"/>
    <x v="4"/>
    <x v="1111"/>
    <x v="319"/>
    <x v="2"/>
    <x v="2"/>
    <x v="1118"/>
    <x v="4"/>
    <x v="2"/>
    <x v="2"/>
    <x v="1113"/>
  </r>
  <r>
    <x v="1119"/>
    <x v="167"/>
    <x v="7"/>
    <x v="1"/>
    <x v="2"/>
    <x v="1110"/>
    <x v="5"/>
    <x v="2"/>
    <x v="1112"/>
    <x v="224"/>
    <x v="2"/>
    <x v="3"/>
    <x v="1119"/>
    <x v="9"/>
    <x v="1"/>
    <x v="2"/>
    <x v="1114"/>
  </r>
  <r>
    <x v="1120"/>
    <x v="400"/>
    <x v="4"/>
    <x v="2"/>
    <x v="3"/>
    <x v="1111"/>
    <x v="2"/>
    <x v="2"/>
    <x v="1113"/>
    <x v="40"/>
    <x v="1"/>
    <x v="4"/>
    <x v="1120"/>
    <x v="1"/>
    <x v="2"/>
    <x v="3"/>
    <x v="1115"/>
  </r>
  <r>
    <x v="1121"/>
    <x v="654"/>
    <x v="4"/>
    <x v="0"/>
    <x v="3"/>
    <x v="1112"/>
    <x v="1"/>
    <x v="4"/>
    <x v="1114"/>
    <x v="555"/>
    <x v="3"/>
    <x v="2"/>
    <x v="1121"/>
    <x v="1"/>
    <x v="1"/>
    <x v="0"/>
    <x v="1116"/>
  </r>
  <r>
    <x v="1122"/>
    <x v="323"/>
    <x v="5"/>
    <x v="0"/>
    <x v="3"/>
    <x v="266"/>
    <x v="0"/>
    <x v="0"/>
    <x v="1115"/>
    <x v="598"/>
    <x v="1"/>
    <x v="2"/>
    <x v="1122"/>
    <x v="2"/>
    <x v="2"/>
    <x v="3"/>
    <x v="1117"/>
  </r>
  <r>
    <x v="1123"/>
    <x v="655"/>
    <x v="6"/>
    <x v="0"/>
    <x v="3"/>
    <x v="1113"/>
    <x v="2"/>
    <x v="4"/>
    <x v="1116"/>
    <x v="626"/>
    <x v="0"/>
    <x v="0"/>
    <x v="1123"/>
    <x v="5"/>
    <x v="3"/>
    <x v="1"/>
    <x v="1118"/>
  </r>
  <r>
    <x v="1124"/>
    <x v="221"/>
    <x v="4"/>
    <x v="0"/>
    <x v="3"/>
    <x v="1114"/>
    <x v="3"/>
    <x v="3"/>
    <x v="1117"/>
    <x v="627"/>
    <x v="3"/>
    <x v="2"/>
    <x v="1124"/>
    <x v="3"/>
    <x v="2"/>
    <x v="0"/>
    <x v="1119"/>
  </r>
  <r>
    <x v="1125"/>
    <x v="504"/>
    <x v="3"/>
    <x v="0"/>
    <x v="2"/>
    <x v="1115"/>
    <x v="6"/>
    <x v="3"/>
    <x v="1118"/>
    <x v="548"/>
    <x v="3"/>
    <x v="1"/>
    <x v="1125"/>
    <x v="4"/>
    <x v="1"/>
    <x v="1"/>
    <x v="1120"/>
  </r>
  <r>
    <x v="1126"/>
    <x v="319"/>
    <x v="10"/>
    <x v="1"/>
    <x v="1"/>
    <x v="1116"/>
    <x v="1"/>
    <x v="0"/>
    <x v="1119"/>
    <x v="628"/>
    <x v="4"/>
    <x v="3"/>
    <x v="1126"/>
    <x v="0"/>
    <x v="0"/>
    <x v="4"/>
    <x v="1121"/>
  </r>
  <r>
    <x v="1127"/>
    <x v="175"/>
    <x v="9"/>
    <x v="2"/>
    <x v="0"/>
    <x v="1117"/>
    <x v="4"/>
    <x v="4"/>
    <x v="1120"/>
    <x v="529"/>
    <x v="2"/>
    <x v="0"/>
    <x v="1127"/>
    <x v="5"/>
    <x v="0"/>
    <x v="2"/>
    <x v="1122"/>
  </r>
  <r>
    <x v="1128"/>
    <x v="538"/>
    <x v="1"/>
    <x v="0"/>
    <x v="1"/>
    <x v="1118"/>
    <x v="0"/>
    <x v="4"/>
    <x v="1121"/>
    <x v="80"/>
    <x v="4"/>
    <x v="1"/>
    <x v="1128"/>
    <x v="3"/>
    <x v="3"/>
    <x v="4"/>
    <x v="1123"/>
  </r>
  <r>
    <x v="1129"/>
    <x v="236"/>
    <x v="5"/>
    <x v="0"/>
    <x v="3"/>
    <x v="1119"/>
    <x v="3"/>
    <x v="3"/>
    <x v="1122"/>
    <x v="70"/>
    <x v="4"/>
    <x v="4"/>
    <x v="1129"/>
    <x v="2"/>
    <x v="1"/>
    <x v="0"/>
    <x v="1124"/>
  </r>
  <r>
    <x v="1130"/>
    <x v="656"/>
    <x v="2"/>
    <x v="2"/>
    <x v="0"/>
    <x v="1120"/>
    <x v="5"/>
    <x v="1"/>
    <x v="1123"/>
    <x v="91"/>
    <x v="2"/>
    <x v="2"/>
    <x v="1130"/>
    <x v="3"/>
    <x v="1"/>
    <x v="0"/>
    <x v="1125"/>
  </r>
  <r>
    <x v="1131"/>
    <x v="408"/>
    <x v="10"/>
    <x v="1"/>
    <x v="1"/>
    <x v="1121"/>
    <x v="1"/>
    <x v="2"/>
    <x v="1124"/>
    <x v="241"/>
    <x v="2"/>
    <x v="4"/>
    <x v="1131"/>
    <x v="1"/>
    <x v="3"/>
    <x v="3"/>
    <x v="1126"/>
  </r>
  <r>
    <x v="1132"/>
    <x v="657"/>
    <x v="8"/>
    <x v="1"/>
    <x v="2"/>
    <x v="1122"/>
    <x v="3"/>
    <x v="1"/>
    <x v="1125"/>
    <x v="198"/>
    <x v="2"/>
    <x v="1"/>
    <x v="1132"/>
    <x v="4"/>
    <x v="0"/>
    <x v="2"/>
    <x v="1127"/>
  </r>
  <r>
    <x v="1133"/>
    <x v="398"/>
    <x v="6"/>
    <x v="1"/>
    <x v="3"/>
    <x v="1123"/>
    <x v="4"/>
    <x v="1"/>
    <x v="1126"/>
    <x v="187"/>
    <x v="3"/>
    <x v="2"/>
    <x v="1133"/>
    <x v="3"/>
    <x v="3"/>
    <x v="3"/>
    <x v="1128"/>
  </r>
  <r>
    <x v="1134"/>
    <x v="180"/>
    <x v="5"/>
    <x v="1"/>
    <x v="3"/>
    <x v="1124"/>
    <x v="6"/>
    <x v="3"/>
    <x v="1127"/>
    <x v="629"/>
    <x v="0"/>
    <x v="1"/>
    <x v="1134"/>
    <x v="4"/>
    <x v="3"/>
    <x v="3"/>
    <x v="1129"/>
  </r>
  <r>
    <x v="1135"/>
    <x v="153"/>
    <x v="8"/>
    <x v="0"/>
    <x v="2"/>
    <x v="1125"/>
    <x v="4"/>
    <x v="1"/>
    <x v="1128"/>
    <x v="203"/>
    <x v="1"/>
    <x v="0"/>
    <x v="1135"/>
    <x v="7"/>
    <x v="0"/>
    <x v="4"/>
    <x v="1130"/>
  </r>
  <r>
    <x v="1136"/>
    <x v="463"/>
    <x v="11"/>
    <x v="0"/>
    <x v="1"/>
    <x v="1126"/>
    <x v="2"/>
    <x v="4"/>
    <x v="1129"/>
    <x v="472"/>
    <x v="3"/>
    <x v="4"/>
    <x v="1136"/>
    <x v="4"/>
    <x v="3"/>
    <x v="3"/>
    <x v="1131"/>
  </r>
  <r>
    <x v="1137"/>
    <x v="511"/>
    <x v="10"/>
    <x v="1"/>
    <x v="1"/>
    <x v="1127"/>
    <x v="4"/>
    <x v="3"/>
    <x v="1130"/>
    <x v="630"/>
    <x v="4"/>
    <x v="4"/>
    <x v="1137"/>
    <x v="3"/>
    <x v="3"/>
    <x v="0"/>
    <x v="1132"/>
  </r>
  <r>
    <x v="1138"/>
    <x v="552"/>
    <x v="8"/>
    <x v="0"/>
    <x v="2"/>
    <x v="1128"/>
    <x v="6"/>
    <x v="3"/>
    <x v="1131"/>
    <x v="455"/>
    <x v="0"/>
    <x v="4"/>
    <x v="1138"/>
    <x v="4"/>
    <x v="2"/>
    <x v="0"/>
    <x v="1133"/>
  </r>
  <r>
    <x v="1139"/>
    <x v="627"/>
    <x v="9"/>
    <x v="2"/>
    <x v="0"/>
    <x v="1042"/>
    <x v="3"/>
    <x v="4"/>
    <x v="1132"/>
    <x v="28"/>
    <x v="3"/>
    <x v="1"/>
    <x v="1139"/>
    <x v="4"/>
    <x v="1"/>
    <x v="2"/>
    <x v="1134"/>
  </r>
  <r>
    <x v="1140"/>
    <x v="658"/>
    <x v="5"/>
    <x v="1"/>
    <x v="3"/>
    <x v="1129"/>
    <x v="4"/>
    <x v="1"/>
    <x v="1133"/>
    <x v="8"/>
    <x v="2"/>
    <x v="1"/>
    <x v="1140"/>
    <x v="1"/>
    <x v="2"/>
    <x v="1"/>
    <x v="1135"/>
  </r>
  <r>
    <x v="1141"/>
    <x v="656"/>
    <x v="2"/>
    <x v="2"/>
    <x v="0"/>
    <x v="1130"/>
    <x v="3"/>
    <x v="4"/>
    <x v="1134"/>
    <x v="17"/>
    <x v="4"/>
    <x v="1"/>
    <x v="1141"/>
    <x v="5"/>
    <x v="2"/>
    <x v="2"/>
    <x v="1136"/>
  </r>
  <r>
    <x v="1142"/>
    <x v="1"/>
    <x v="1"/>
    <x v="1"/>
    <x v="1"/>
    <x v="1131"/>
    <x v="1"/>
    <x v="3"/>
    <x v="1135"/>
    <x v="631"/>
    <x v="0"/>
    <x v="2"/>
    <x v="1142"/>
    <x v="2"/>
    <x v="2"/>
    <x v="2"/>
    <x v="1137"/>
  </r>
  <r>
    <x v="1143"/>
    <x v="659"/>
    <x v="6"/>
    <x v="0"/>
    <x v="3"/>
    <x v="1132"/>
    <x v="3"/>
    <x v="2"/>
    <x v="1136"/>
    <x v="632"/>
    <x v="0"/>
    <x v="4"/>
    <x v="1143"/>
    <x v="3"/>
    <x v="2"/>
    <x v="2"/>
    <x v="1138"/>
  </r>
  <r>
    <x v="1144"/>
    <x v="223"/>
    <x v="2"/>
    <x v="0"/>
    <x v="0"/>
    <x v="1133"/>
    <x v="6"/>
    <x v="0"/>
    <x v="1137"/>
    <x v="633"/>
    <x v="1"/>
    <x v="1"/>
    <x v="1144"/>
    <x v="6"/>
    <x v="2"/>
    <x v="3"/>
    <x v="1139"/>
  </r>
  <r>
    <x v="1145"/>
    <x v="275"/>
    <x v="4"/>
    <x v="2"/>
    <x v="3"/>
    <x v="1134"/>
    <x v="6"/>
    <x v="4"/>
    <x v="1138"/>
    <x v="218"/>
    <x v="0"/>
    <x v="3"/>
    <x v="1145"/>
    <x v="5"/>
    <x v="1"/>
    <x v="3"/>
    <x v="1140"/>
  </r>
  <r>
    <x v="1146"/>
    <x v="525"/>
    <x v="3"/>
    <x v="1"/>
    <x v="2"/>
    <x v="1135"/>
    <x v="0"/>
    <x v="0"/>
    <x v="1139"/>
    <x v="351"/>
    <x v="4"/>
    <x v="4"/>
    <x v="1146"/>
    <x v="3"/>
    <x v="0"/>
    <x v="0"/>
    <x v="1141"/>
  </r>
  <r>
    <x v="1147"/>
    <x v="143"/>
    <x v="0"/>
    <x v="2"/>
    <x v="0"/>
    <x v="1136"/>
    <x v="3"/>
    <x v="1"/>
    <x v="1140"/>
    <x v="634"/>
    <x v="1"/>
    <x v="4"/>
    <x v="1147"/>
    <x v="7"/>
    <x v="1"/>
    <x v="2"/>
    <x v="1142"/>
  </r>
  <r>
    <x v="1148"/>
    <x v="611"/>
    <x v="5"/>
    <x v="1"/>
    <x v="3"/>
    <x v="1137"/>
    <x v="1"/>
    <x v="2"/>
    <x v="1141"/>
    <x v="635"/>
    <x v="4"/>
    <x v="2"/>
    <x v="1148"/>
    <x v="7"/>
    <x v="0"/>
    <x v="2"/>
    <x v="1143"/>
  </r>
  <r>
    <x v="1149"/>
    <x v="568"/>
    <x v="10"/>
    <x v="1"/>
    <x v="1"/>
    <x v="1138"/>
    <x v="3"/>
    <x v="1"/>
    <x v="1142"/>
    <x v="636"/>
    <x v="2"/>
    <x v="4"/>
    <x v="1149"/>
    <x v="5"/>
    <x v="1"/>
    <x v="0"/>
    <x v="1144"/>
  </r>
  <r>
    <x v="1150"/>
    <x v="215"/>
    <x v="2"/>
    <x v="0"/>
    <x v="0"/>
    <x v="1139"/>
    <x v="6"/>
    <x v="3"/>
    <x v="1143"/>
    <x v="232"/>
    <x v="2"/>
    <x v="1"/>
    <x v="1150"/>
    <x v="2"/>
    <x v="0"/>
    <x v="1"/>
    <x v="1145"/>
  </r>
  <r>
    <x v="1151"/>
    <x v="22"/>
    <x v="0"/>
    <x v="0"/>
    <x v="0"/>
    <x v="1140"/>
    <x v="3"/>
    <x v="1"/>
    <x v="1144"/>
    <x v="637"/>
    <x v="4"/>
    <x v="1"/>
    <x v="1151"/>
    <x v="4"/>
    <x v="2"/>
    <x v="4"/>
    <x v="1146"/>
  </r>
  <r>
    <x v="1152"/>
    <x v="576"/>
    <x v="7"/>
    <x v="0"/>
    <x v="2"/>
    <x v="1141"/>
    <x v="2"/>
    <x v="1"/>
    <x v="1145"/>
    <x v="91"/>
    <x v="2"/>
    <x v="0"/>
    <x v="1152"/>
    <x v="0"/>
    <x v="2"/>
    <x v="1"/>
    <x v="1147"/>
  </r>
  <r>
    <x v="1153"/>
    <x v="393"/>
    <x v="8"/>
    <x v="1"/>
    <x v="2"/>
    <x v="1142"/>
    <x v="0"/>
    <x v="3"/>
    <x v="1146"/>
    <x v="638"/>
    <x v="0"/>
    <x v="0"/>
    <x v="1153"/>
    <x v="4"/>
    <x v="2"/>
    <x v="0"/>
    <x v="1148"/>
  </r>
  <r>
    <x v="1154"/>
    <x v="113"/>
    <x v="5"/>
    <x v="2"/>
    <x v="3"/>
    <x v="1143"/>
    <x v="0"/>
    <x v="4"/>
    <x v="1147"/>
    <x v="110"/>
    <x v="4"/>
    <x v="4"/>
    <x v="1154"/>
    <x v="2"/>
    <x v="0"/>
    <x v="0"/>
    <x v="1149"/>
  </r>
  <r>
    <x v="1155"/>
    <x v="340"/>
    <x v="1"/>
    <x v="0"/>
    <x v="1"/>
    <x v="1144"/>
    <x v="4"/>
    <x v="3"/>
    <x v="1148"/>
    <x v="148"/>
    <x v="2"/>
    <x v="3"/>
    <x v="1155"/>
    <x v="5"/>
    <x v="1"/>
    <x v="3"/>
    <x v="1150"/>
  </r>
  <r>
    <x v="1156"/>
    <x v="45"/>
    <x v="10"/>
    <x v="0"/>
    <x v="1"/>
    <x v="1145"/>
    <x v="5"/>
    <x v="3"/>
    <x v="1149"/>
    <x v="14"/>
    <x v="2"/>
    <x v="0"/>
    <x v="1156"/>
    <x v="6"/>
    <x v="2"/>
    <x v="1"/>
    <x v="1151"/>
  </r>
  <r>
    <x v="1157"/>
    <x v="382"/>
    <x v="4"/>
    <x v="1"/>
    <x v="3"/>
    <x v="1146"/>
    <x v="0"/>
    <x v="4"/>
    <x v="1150"/>
    <x v="195"/>
    <x v="0"/>
    <x v="3"/>
    <x v="1157"/>
    <x v="3"/>
    <x v="1"/>
    <x v="4"/>
    <x v="1152"/>
  </r>
  <r>
    <x v="1158"/>
    <x v="197"/>
    <x v="6"/>
    <x v="0"/>
    <x v="3"/>
    <x v="1147"/>
    <x v="0"/>
    <x v="3"/>
    <x v="1151"/>
    <x v="345"/>
    <x v="0"/>
    <x v="4"/>
    <x v="1158"/>
    <x v="4"/>
    <x v="0"/>
    <x v="1"/>
    <x v="1153"/>
  </r>
  <r>
    <x v="1159"/>
    <x v="203"/>
    <x v="2"/>
    <x v="1"/>
    <x v="0"/>
    <x v="1148"/>
    <x v="6"/>
    <x v="3"/>
    <x v="1152"/>
    <x v="356"/>
    <x v="0"/>
    <x v="2"/>
    <x v="1159"/>
    <x v="2"/>
    <x v="2"/>
    <x v="0"/>
    <x v="1154"/>
  </r>
  <r>
    <x v="1160"/>
    <x v="333"/>
    <x v="11"/>
    <x v="1"/>
    <x v="1"/>
    <x v="1149"/>
    <x v="6"/>
    <x v="2"/>
    <x v="1153"/>
    <x v="367"/>
    <x v="0"/>
    <x v="0"/>
    <x v="1160"/>
    <x v="3"/>
    <x v="0"/>
    <x v="2"/>
    <x v="1155"/>
  </r>
  <r>
    <x v="1161"/>
    <x v="504"/>
    <x v="3"/>
    <x v="0"/>
    <x v="2"/>
    <x v="1150"/>
    <x v="1"/>
    <x v="2"/>
    <x v="1154"/>
    <x v="283"/>
    <x v="4"/>
    <x v="1"/>
    <x v="1161"/>
    <x v="5"/>
    <x v="3"/>
    <x v="2"/>
    <x v="1156"/>
  </r>
  <r>
    <x v="1162"/>
    <x v="660"/>
    <x v="9"/>
    <x v="2"/>
    <x v="0"/>
    <x v="1151"/>
    <x v="1"/>
    <x v="1"/>
    <x v="1155"/>
    <x v="639"/>
    <x v="0"/>
    <x v="3"/>
    <x v="1162"/>
    <x v="1"/>
    <x v="3"/>
    <x v="1"/>
    <x v="1157"/>
  </r>
  <r>
    <x v="1163"/>
    <x v="184"/>
    <x v="5"/>
    <x v="1"/>
    <x v="3"/>
    <x v="1152"/>
    <x v="5"/>
    <x v="4"/>
    <x v="1156"/>
    <x v="640"/>
    <x v="2"/>
    <x v="2"/>
    <x v="1163"/>
    <x v="0"/>
    <x v="3"/>
    <x v="0"/>
    <x v="1158"/>
  </r>
  <r>
    <x v="1164"/>
    <x v="649"/>
    <x v="0"/>
    <x v="1"/>
    <x v="0"/>
    <x v="1153"/>
    <x v="2"/>
    <x v="0"/>
    <x v="1157"/>
    <x v="416"/>
    <x v="0"/>
    <x v="3"/>
    <x v="1164"/>
    <x v="5"/>
    <x v="3"/>
    <x v="2"/>
    <x v="1159"/>
  </r>
  <r>
    <x v="1165"/>
    <x v="328"/>
    <x v="10"/>
    <x v="0"/>
    <x v="1"/>
    <x v="1154"/>
    <x v="3"/>
    <x v="4"/>
    <x v="1158"/>
    <x v="641"/>
    <x v="0"/>
    <x v="4"/>
    <x v="1165"/>
    <x v="1"/>
    <x v="2"/>
    <x v="4"/>
    <x v="1160"/>
  </r>
  <r>
    <x v="1166"/>
    <x v="48"/>
    <x v="10"/>
    <x v="0"/>
    <x v="1"/>
    <x v="1155"/>
    <x v="3"/>
    <x v="4"/>
    <x v="1159"/>
    <x v="76"/>
    <x v="4"/>
    <x v="3"/>
    <x v="1166"/>
    <x v="4"/>
    <x v="3"/>
    <x v="2"/>
    <x v="1161"/>
  </r>
  <r>
    <x v="1167"/>
    <x v="661"/>
    <x v="3"/>
    <x v="0"/>
    <x v="2"/>
    <x v="1156"/>
    <x v="4"/>
    <x v="1"/>
    <x v="1160"/>
    <x v="235"/>
    <x v="2"/>
    <x v="4"/>
    <x v="1167"/>
    <x v="3"/>
    <x v="1"/>
    <x v="3"/>
    <x v="1162"/>
  </r>
  <r>
    <x v="1168"/>
    <x v="505"/>
    <x v="6"/>
    <x v="0"/>
    <x v="3"/>
    <x v="1157"/>
    <x v="5"/>
    <x v="1"/>
    <x v="1161"/>
    <x v="642"/>
    <x v="2"/>
    <x v="3"/>
    <x v="1168"/>
    <x v="5"/>
    <x v="3"/>
    <x v="4"/>
    <x v="1163"/>
  </r>
  <r>
    <x v="1169"/>
    <x v="662"/>
    <x v="8"/>
    <x v="1"/>
    <x v="2"/>
    <x v="1158"/>
    <x v="3"/>
    <x v="2"/>
    <x v="1162"/>
    <x v="643"/>
    <x v="4"/>
    <x v="1"/>
    <x v="1169"/>
    <x v="7"/>
    <x v="0"/>
    <x v="0"/>
    <x v="1164"/>
  </r>
  <r>
    <x v="1170"/>
    <x v="567"/>
    <x v="1"/>
    <x v="0"/>
    <x v="1"/>
    <x v="1159"/>
    <x v="4"/>
    <x v="1"/>
    <x v="1163"/>
    <x v="197"/>
    <x v="4"/>
    <x v="2"/>
    <x v="1170"/>
    <x v="0"/>
    <x v="1"/>
    <x v="2"/>
    <x v="1165"/>
  </r>
  <r>
    <x v="1171"/>
    <x v="81"/>
    <x v="1"/>
    <x v="0"/>
    <x v="1"/>
    <x v="1160"/>
    <x v="1"/>
    <x v="3"/>
    <x v="1164"/>
    <x v="644"/>
    <x v="2"/>
    <x v="3"/>
    <x v="1171"/>
    <x v="0"/>
    <x v="0"/>
    <x v="3"/>
    <x v="1166"/>
  </r>
  <r>
    <x v="1172"/>
    <x v="496"/>
    <x v="2"/>
    <x v="2"/>
    <x v="0"/>
    <x v="1161"/>
    <x v="6"/>
    <x v="4"/>
    <x v="1165"/>
    <x v="383"/>
    <x v="2"/>
    <x v="4"/>
    <x v="1172"/>
    <x v="2"/>
    <x v="2"/>
    <x v="0"/>
    <x v="1167"/>
  </r>
  <r>
    <x v="1173"/>
    <x v="449"/>
    <x v="3"/>
    <x v="1"/>
    <x v="2"/>
    <x v="1162"/>
    <x v="0"/>
    <x v="2"/>
    <x v="1166"/>
    <x v="481"/>
    <x v="1"/>
    <x v="0"/>
    <x v="1173"/>
    <x v="4"/>
    <x v="1"/>
    <x v="2"/>
    <x v="1168"/>
  </r>
  <r>
    <x v="1174"/>
    <x v="110"/>
    <x v="7"/>
    <x v="0"/>
    <x v="2"/>
    <x v="1163"/>
    <x v="4"/>
    <x v="4"/>
    <x v="1167"/>
    <x v="645"/>
    <x v="2"/>
    <x v="2"/>
    <x v="1174"/>
    <x v="3"/>
    <x v="3"/>
    <x v="2"/>
    <x v="1169"/>
  </r>
  <r>
    <x v="1175"/>
    <x v="663"/>
    <x v="11"/>
    <x v="1"/>
    <x v="1"/>
    <x v="1164"/>
    <x v="4"/>
    <x v="4"/>
    <x v="1168"/>
    <x v="256"/>
    <x v="0"/>
    <x v="2"/>
    <x v="1175"/>
    <x v="2"/>
    <x v="1"/>
    <x v="1"/>
    <x v="1170"/>
  </r>
  <r>
    <x v="1176"/>
    <x v="340"/>
    <x v="1"/>
    <x v="0"/>
    <x v="1"/>
    <x v="1165"/>
    <x v="2"/>
    <x v="1"/>
    <x v="1169"/>
    <x v="646"/>
    <x v="0"/>
    <x v="1"/>
    <x v="1176"/>
    <x v="7"/>
    <x v="3"/>
    <x v="2"/>
    <x v="1171"/>
  </r>
  <r>
    <x v="1177"/>
    <x v="664"/>
    <x v="6"/>
    <x v="0"/>
    <x v="3"/>
    <x v="1166"/>
    <x v="4"/>
    <x v="2"/>
    <x v="1170"/>
    <x v="339"/>
    <x v="4"/>
    <x v="0"/>
    <x v="1177"/>
    <x v="1"/>
    <x v="0"/>
    <x v="1"/>
    <x v="1172"/>
  </r>
  <r>
    <x v="1178"/>
    <x v="50"/>
    <x v="11"/>
    <x v="1"/>
    <x v="1"/>
    <x v="1167"/>
    <x v="0"/>
    <x v="2"/>
    <x v="1171"/>
    <x v="206"/>
    <x v="2"/>
    <x v="1"/>
    <x v="1178"/>
    <x v="4"/>
    <x v="1"/>
    <x v="4"/>
    <x v="1173"/>
  </r>
  <r>
    <x v="1179"/>
    <x v="124"/>
    <x v="0"/>
    <x v="0"/>
    <x v="0"/>
    <x v="1168"/>
    <x v="5"/>
    <x v="0"/>
    <x v="1172"/>
    <x v="299"/>
    <x v="2"/>
    <x v="1"/>
    <x v="1179"/>
    <x v="5"/>
    <x v="3"/>
    <x v="0"/>
    <x v="1174"/>
  </r>
  <r>
    <x v="1180"/>
    <x v="150"/>
    <x v="3"/>
    <x v="0"/>
    <x v="2"/>
    <x v="1169"/>
    <x v="3"/>
    <x v="3"/>
    <x v="1173"/>
    <x v="395"/>
    <x v="0"/>
    <x v="4"/>
    <x v="1180"/>
    <x v="2"/>
    <x v="1"/>
    <x v="4"/>
    <x v="1175"/>
  </r>
  <r>
    <x v="1181"/>
    <x v="152"/>
    <x v="10"/>
    <x v="0"/>
    <x v="1"/>
    <x v="1170"/>
    <x v="6"/>
    <x v="4"/>
    <x v="1174"/>
    <x v="284"/>
    <x v="1"/>
    <x v="4"/>
    <x v="1181"/>
    <x v="0"/>
    <x v="1"/>
    <x v="0"/>
    <x v="1176"/>
  </r>
  <r>
    <x v="1182"/>
    <x v="554"/>
    <x v="5"/>
    <x v="2"/>
    <x v="3"/>
    <x v="1171"/>
    <x v="3"/>
    <x v="1"/>
    <x v="1175"/>
    <x v="425"/>
    <x v="3"/>
    <x v="2"/>
    <x v="1182"/>
    <x v="1"/>
    <x v="0"/>
    <x v="4"/>
    <x v="1177"/>
  </r>
  <r>
    <x v="1183"/>
    <x v="228"/>
    <x v="6"/>
    <x v="0"/>
    <x v="3"/>
    <x v="1172"/>
    <x v="6"/>
    <x v="2"/>
    <x v="1176"/>
    <x v="223"/>
    <x v="3"/>
    <x v="0"/>
    <x v="1183"/>
    <x v="5"/>
    <x v="3"/>
    <x v="1"/>
    <x v="1178"/>
  </r>
  <r>
    <x v="1184"/>
    <x v="610"/>
    <x v="11"/>
    <x v="0"/>
    <x v="1"/>
    <x v="1173"/>
    <x v="5"/>
    <x v="2"/>
    <x v="1177"/>
    <x v="528"/>
    <x v="3"/>
    <x v="2"/>
    <x v="1184"/>
    <x v="4"/>
    <x v="2"/>
    <x v="4"/>
    <x v="1179"/>
  </r>
  <r>
    <x v="1185"/>
    <x v="665"/>
    <x v="10"/>
    <x v="1"/>
    <x v="1"/>
    <x v="1174"/>
    <x v="3"/>
    <x v="2"/>
    <x v="1178"/>
    <x v="647"/>
    <x v="3"/>
    <x v="2"/>
    <x v="1185"/>
    <x v="5"/>
    <x v="0"/>
    <x v="4"/>
    <x v="1180"/>
  </r>
  <r>
    <x v="1186"/>
    <x v="134"/>
    <x v="7"/>
    <x v="0"/>
    <x v="2"/>
    <x v="1175"/>
    <x v="0"/>
    <x v="2"/>
    <x v="1179"/>
    <x v="648"/>
    <x v="4"/>
    <x v="0"/>
    <x v="1186"/>
    <x v="5"/>
    <x v="3"/>
    <x v="3"/>
    <x v="1181"/>
  </r>
  <r>
    <x v="1187"/>
    <x v="206"/>
    <x v="9"/>
    <x v="1"/>
    <x v="0"/>
    <x v="1176"/>
    <x v="6"/>
    <x v="1"/>
    <x v="1180"/>
    <x v="203"/>
    <x v="3"/>
    <x v="3"/>
    <x v="1187"/>
    <x v="0"/>
    <x v="3"/>
    <x v="2"/>
    <x v="1182"/>
  </r>
  <r>
    <x v="1188"/>
    <x v="47"/>
    <x v="3"/>
    <x v="0"/>
    <x v="2"/>
    <x v="1177"/>
    <x v="4"/>
    <x v="1"/>
    <x v="1181"/>
    <x v="649"/>
    <x v="3"/>
    <x v="0"/>
    <x v="1188"/>
    <x v="3"/>
    <x v="3"/>
    <x v="3"/>
    <x v="1183"/>
  </r>
  <r>
    <x v="1189"/>
    <x v="666"/>
    <x v="1"/>
    <x v="1"/>
    <x v="1"/>
    <x v="1178"/>
    <x v="2"/>
    <x v="0"/>
    <x v="1182"/>
    <x v="650"/>
    <x v="4"/>
    <x v="1"/>
    <x v="1189"/>
    <x v="0"/>
    <x v="2"/>
    <x v="1"/>
    <x v="1184"/>
  </r>
  <r>
    <x v="1190"/>
    <x v="647"/>
    <x v="5"/>
    <x v="2"/>
    <x v="3"/>
    <x v="1179"/>
    <x v="6"/>
    <x v="4"/>
    <x v="1183"/>
    <x v="651"/>
    <x v="2"/>
    <x v="0"/>
    <x v="1190"/>
    <x v="5"/>
    <x v="1"/>
    <x v="0"/>
    <x v="1185"/>
  </r>
  <r>
    <x v="1191"/>
    <x v="441"/>
    <x v="2"/>
    <x v="2"/>
    <x v="0"/>
    <x v="1180"/>
    <x v="6"/>
    <x v="3"/>
    <x v="1184"/>
    <x v="431"/>
    <x v="3"/>
    <x v="4"/>
    <x v="1191"/>
    <x v="3"/>
    <x v="3"/>
    <x v="0"/>
    <x v="1186"/>
  </r>
  <r>
    <x v="1192"/>
    <x v="329"/>
    <x v="2"/>
    <x v="1"/>
    <x v="0"/>
    <x v="1181"/>
    <x v="3"/>
    <x v="4"/>
    <x v="1185"/>
    <x v="183"/>
    <x v="1"/>
    <x v="4"/>
    <x v="1192"/>
    <x v="4"/>
    <x v="2"/>
    <x v="0"/>
    <x v="1187"/>
  </r>
  <r>
    <x v="1193"/>
    <x v="667"/>
    <x v="5"/>
    <x v="2"/>
    <x v="3"/>
    <x v="1182"/>
    <x v="2"/>
    <x v="2"/>
    <x v="1186"/>
    <x v="71"/>
    <x v="4"/>
    <x v="2"/>
    <x v="1193"/>
    <x v="9"/>
    <x v="1"/>
    <x v="2"/>
    <x v="1188"/>
  </r>
  <r>
    <x v="1194"/>
    <x v="614"/>
    <x v="7"/>
    <x v="0"/>
    <x v="2"/>
    <x v="1183"/>
    <x v="4"/>
    <x v="4"/>
    <x v="1187"/>
    <x v="172"/>
    <x v="4"/>
    <x v="4"/>
    <x v="1194"/>
    <x v="4"/>
    <x v="1"/>
    <x v="2"/>
    <x v="1189"/>
  </r>
  <r>
    <x v="1195"/>
    <x v="643"/>
    <x v="5"/>
    <x v="1"/>
    <x v="3"/>
    <x v="1184"/>
    <x v="6"/>
    <x v="2"/>
    <x v="1188"/>
    <x v="652"/>
    <x v="2"/>
    <x v="1"/>
    <x v="1195"/>
    <x v="5"/>
    <x v="1"/>
    <x v="4"/>
    <x v="1190"/>
  </r>
  <r>
    <x v="1196"/>
    <x v="668"/>
    <x v="9"/>
    <x v="1"/>
    <x v="0"/>
    <x v="1185"/>
    <x v="0"/>
    <x v="1"/>
    <x v="1189"/>
    <x v="320"/>
    <x v="1"/>
    <x v="1"/>
    <x v="1196"/>
    <x v="3"/>
    <x v="2"/>
    <x v="3"/>
    <x v="1191"/>
  </r>
  <r>
    <x v="1197"/>
    <x v="669"/>
    <x v="10"/>
    <x v="0"/>
    <x v="1"/>
    <x v="1186"/>
    <x v="2"/>
    <x v="1"/>
    <x v="1190"/>
    <x v="3"/>
    <x v="1"/>
    <x v="3"/>
    <x v="1197"/>
    <x v="7"/>
    <x v="1"/>
    <x v="0"/>
    <x v="1192"/>
  </r>
  <r>
    <x v="1198"/>
    <x v="670"/>
    <x v="1"/>
    <x v="1"/>
    <x v="1"/>
    <x v="1187"/>
    <x v="3"/>
    <x v="3"/>
    <x v="1191"/>
    <x v="653"/>
    <x v="0"/>
    <x v="1"/>
    <x v="1198"/>
    <x v="4"/>
    <x v="3"/>
    <x v="0"/>
    <x v="1193"/>
  </r>
  <r>
    <x v="1199"/>
    <x v="236"/>
    <x v="5"/>
    <x v="0"/>
    <x v="3"/>
    <x v="1188"/>
    <x v="2"/>
    <x v="3"/>
    <x v="1192"/>
    <x v="654"/>
    <x v="3"/>
    <x v="2"/>
    <x v="1199"/>
    <x v="5"/>
    <x v="0"/>
    <x v="1"/>
    <x v="11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G11" firstHeaderRow="0" firstDataRow="1" firstDataCol="1"/>
  <pivotFields count="17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dataField="1" compact="0" showAll="0">
      <items count="8">
        <item x="2"/>
        <item x="4"/>
        <item x="1"/>
        <item x="0"/>
        <item x="5"/>
        <item x="6"/>
        <item x="3"/>
        <item t="default"/>
      </items>
    </pivotField>
    <pivotField compact="0" numFmtId="179" showAll="0">
      <items count="6">
        <item x="2"/>
        <item x="1"/>
        <item x="4"/>
        <item x="3"/>
        <item x="0"/>
        <item t="default"/>
      </items>
    </pivotField>
    <pivotField dataField="1" compact="0" numFmtId="44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numFmtId="179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dataField="1" compact="0" numFmtId="4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% of Product" fld="6" subtotal="count" showDataAs="percentOfTotal" baseField="0" baseItem="0" numFmtId="10"/>
    <dataField name="Count of OrderID" fld="0" subtotal="count" baseField="0" baseItem="0"/>
    <dataField name="Sum of Unit Price" fld="8" baseField="0" baseItem="0"/>
    <dataField name="% of Unit Price" fld="8" showDataAs="percentOfTotal" baseField="0" baseItem="0" numFmtId="10"/>
    <dataField name="Sum of Total Price" fld="16" baseField="0" baseItem="0"/>
    <dataField name="%  of Total Price" fld="16" showDataAs="percentOfTotal" baseField="0" baseItem="0" numFmtId="10"/>
  </dataFields>
  <formats count="6">
    <format dxfId="0">
      <pivotArea collapsedLevelsAreSubtotals="1" fieldPosition="0">
        <references count="2">
          <reference field="6" count="1" selected="0">
            <x v="1"/>
          </reference>
          <reference field="4294967294" count="1" selected="0">
            <x v="4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dataOnly="0" labelOnly="1" fieldPosition="0">
        <references count="1">
          <reference field="4294967294" count="1">
            <x v="2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13:M22" firstHeaderRow="1" firstDataRow="1" firstDataCol="1"/>
  <pivotFields count="4"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ortType="descending" showAll="0">
      <items count="9">
        <item x="1"/>
        <item x="7"/>
        <item x="6"/>
        <item x="5"/>
        <item x="4"/>
        <item x="3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2"/>
  </rowFields>
  <rowItems count="9">
    <i>
      <x v="7"/>
    </i>
    <i>
      <x/>
    </i>
    <i>
      <x v="6"/>
    </i>
    <i>
      <x v="5"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Sum of C: Frequency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1:C45" firstHeaderRow="1" firstDataRow="1" firstDataCol="2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/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  <pivotField compact="0" numFmtId="179" showAll="0"/>
    <pivotField compact="0" numFmtId="44" showAll="0"/>
    <pivotField compact="0" showAll="0"/>
    <pivotField compact="0" showAll="0"/>
    <pivotField compact="0" showAll="0"/>
    <pivotField compact="0" showAll="0"/>
    <pivotField compact="0" numFmtId="179" showAll="0"/>
    <pivotField compact="0" showAll="0"/>
    <pivotField compact="0" showAll="0"/>
    <pivotField dataField="1" compact="0" numFmtId="4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Fields count="2">
    <field x="3"/>
    <field x="4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t="grand">
      <x/>
    </i>
  </rowItems>
  <colItems count="1">
    <i/>
  </colItems>
  <dataFields count="1">
    <dataField name="Sum of Total Price" fld="16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ayment Metho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J9" firstHeaderRow="1" firstDataRow="1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44" showAll="0"/>
    <pivotField compact="0" showAll="0"/>
    <pivotField axis="axisRow" dataField="1" compact="0" sortType="descending" showAll="0">
      <items count="6">
        <item x="4"/>
        <item x="2"/>
        <item x="0"/>
        <item x="3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79" showAll="0"/>
    <pivotField compact="0" showAll="0"/>
    <pivotField compact="0" showAll="0"/>
    <pivotField compact="0" numFmtId="44" showAll="0"/>
  </pivotFields>
  <rowFields count="1">
    <field x="10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 Method" fld="1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Order Statu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3:B19" firstHeaderRow="1" firstDataRow="1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44" showAll="0"/>
    <pivotField compact="0" showAll="0"/>
    <pivotField compact="0" showAll="0"/>
    <pivotField axis="axisRow" dataField="1" compact="0" sortType="descending" showAll="0">
      <items count="6">
        <item x="1"/>
        <item x="3"/>
        <item x="4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179" showAll="0"/>
    <pivotField compact="0" showAll="0"/>
    <pivotField compact="0" showAll="0"/>
    <pivotField compact="0" numFmtId="44" showAll="0"/>
  </pivotFields>
  <rowFields count="1">
    <field x="11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 Status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Coupon Cod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3:E18" firstHeaderRow="1" firstDataRow="1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44" showAll="0"/>
    <pivotField compact="0" showAll="0"/>
    <pivotField compact="0" showAll="0"/>
    <pivotField compact="0" showAll="0"/>
    <pivotField compact="0" showAll="0"/>
    <pivotField compact="0" numFmtId="179" showAll="0"/>
    <pivotField axis="axisRow" dataField="1" compact="0" sortType="descending" showAll="0">
      <items count="5">
        <item x="1"/>
        <item x="2"/>
        <item x="0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44" showAll="0"/>
  </pivotFields>
  <rowFields count="1">
    <field x="14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Coupon Code" fld="1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Referral Sour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13:H19" firstHeaderRow="1" firstDataRow="1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44" showAll="0"/>
    <pivotField compact="0" showAll="0"/>
    <pivotField compact="0" showAll="0"/>
    <pivotField compact="0" showAll="0"/>
    <pivotField compact="0" showAll="0"/>
    <pivotField compact="0" numFmtId="179" showAll="0"/>
    <pivotField compact="0" showAll="0"/>
    <pivotField axis="axisRow" dataField="1" compact="0" sortType="descending" showAll="0">
      <items count="6">
        <item x="2"/>
        <item x="3"/>
        <item x="4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showAll="0"/>
  </pivotFields>
  <rowFields count="1">
    <field x="15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Referral Source" fld="1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Month &amp; Year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21:I55" firstHeaderRow="1" firstDataRow="1" firstDataCol="2"/>
  <pivotFields count="17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axis="axisRow" compact="0" sortType="ascending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compact="0" sortType="descending" showAll="0">
      <items count="4">
        <item x="2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79" showAll="0">
      <items count="6">
        <item x="2"/>
        <item x="1"/>
        <item x="4"/>
        <item x="3"/>
        <item x="0"/>
        <item t="default"/>
      </items>
    </pivotField>
    <pivotField compact="0" numFmtId="44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numFmtId="179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numFmtId="4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Fields count="2">
    <field x="3"/>
    <field x="2"/>
  </rowFields>
  <rowItems count="34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Revenue by Produc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1:B29" firstHeaderRow="1" firstDataRow="1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8">
        <item x="2"/>
        <item x="4"/>
        <item x="1"/>
        <item x="0"/>
        <item x="5"/>
        <item x="6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79" showAll="0"/>
    <pivotField compact="0" numFmtId="44" showAll="0"/>
    <pivotField compact="0" showAll="0"/>
    <pivotField compact="0" showAll="0"/>
    <pivotField compact="0" showAll="0"/>
    <pivotField compact="0" showAll="0"/>
    <pivotField compact="0" numFmtId="179" showAll="0"/>
    <pivotField compact="0" showAll="0"/>
    <pivotField compact="0" showAll="0"/>
    <pivotField dataField="1" compact="0" numFmtId="4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Fields count="1">
    <field x="6"/>
  </rowFields>
  <rowItems count="8">
    <i>
      <x v="6"/>
    </i>
    <i>
      <x v="1"/>
    </i>
    <i>
      <x v="4"/>
    </i>
    <i>
      <x/>
    </i>
    <i>
      <x v="3"/>
    </i>
    <i>
      <x v="5"/>
    </i>
    <i>
      <x v="2"/>
    </i>
    <i t="grand">
      <x/>
    </i>
  </rowItems>
  <colItems count="1">
    <i/>
  </colItems>
  <dataFields count="1">
    <dataField name="Revenue" fld="16" baseField="0" baseItem="0"/>
  </dataFields>
  <formats count="12">
    <format dxfId="6">
      <pivotArea collapsedLevelsAreSubtotals="1" fieldPosition="0">
        <references count="1">
          <reference field="6" count="1" selected="0">
            <x v="6"/>
          </reference>
        </references>
      </pivotArea>
    </format>
    <format dxfId="7">
      <pivotArea collapsedLevelsAreSubtotals="1" fieldPosition="0">
        <references count="1">
          <reference field="6" count="1" selected="0">
            <x v="5"/>
          </reference>
        </references>
      </pivotArea>
    </format>
    <format dxfId="8">
      <pivotArea collapsedLevelsAreSubtotals="1" fieldPosition="0">
        <references count="1">
          <reference field="6" count="1" selected="0">
            <x v="4"/>
          </reference>
        </references>
      </pivotArea>
    </format>
    <format dxfId="9">
      <pivotArea collapsedLevelsAreSubtotals="1" fieldPosition="0">
        <references count="1">
          <reference field="6" count="1" selected="0">
            <x v="3"/>
          </reference>
        </references>
      </pivotArea>
    </format>
    <format dxfId="10">
      <pivotArea collapsedLevelsAreSubtotals="1" fieldPosition="0">
        <references count="1">
          <reference field="6" count="1" selected="0">
            <x v="2"/>
          </reference>
        </references>
      </pivotArea>
    </format>
    <format dxfId="11">
      <pivotArea collapsedLevelsAreSubtotals="1" fieldPosition="0">
        <references count="1">
          <reference field="6" count="1" selected="0">
            <x v="1"/>
          </reference>
        </references>
      </pivotArea>
    </format>
    <format dxfId="12">
      <pivotArea collapsedLevelsAreSubtotals="1" fieldPosition="0">
        <references count="1">
          <reference field="6" count="1" selected="0">
            <x v="0"/>
          </reference>
        </references>
      </pivotArea>
    </format>
    <format dxfId="13">
      <pivotArea grandRow="1"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No. of Orders by Produc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21:E29" firstHeaderRow="1" firstDataRow="1" firstDataCol="1"/>
  <pivotFields count="17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8">
        <item x="2"/>
        <item x="4"/>
        <item x="1"/>
        <item x="0"/>
        <item x="5"/>
        <item x="6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79" showAll="0"/>
    <pivotField compact="0" numFmtId="44" showAll="0"/>
    <pivotField compact="0" showAll="0"/>
    <pivotField compact="0" showAll="0"/>
    <pivotField compact="0" showAll="0"/>
    <pivotField compact="0" showAll="0"/>
    <pivotField compact="0" numFmtId="179" showAll="0"/>
    <pivotField compact="0" showAll="0"/>
    <pivotField compact="0" showAll="0"/>
    <pivotField compact="0" numFmtId="44" showAll="0"/>
  </pivotFields>
  <rowFields count="1">
    <field x="6"/>
  </rowFields>
  <rowItems count="8">
    <i>
      <x v="1"/>
    </i>
    <i>
      <x/>
    </i>
    <i>
      <x v="6"/>
    </i>
    <i>
      <x v="4"/>
    </i>
    <i>
      <x v="5"/>
    </i>
    <i>
      <x v="3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1201" totalsRowShown="0">
  <autoFilter xmlns:etc="http://www.wps.cn/officeDocument/2017/etCustomData" ref="A1:Q1201" etc:filterBottomFollowUsedRange="0"/>
  <tableColumns count="17">
    <tableColumn id="1" name="OrderID"/>
    <tableColumn id="2" name="Date" dataDxfId="18"/>
    <tableColumn id="15" name="Month" dataDxfId="19">
      <calculatedColumnFormula>TEXT(B2,"MMM")</calculatedColumnFormula>
    </tableColumn>
    <tableColumn id="16" name="Year" dataDxfId="20">
      <calculatedColumnFormula>TEXT(B2,"YYYY")</calculatedColumnFormula>
    </tableColumn>
    <tableColumn id="17" name="Quarter" dataDxfId="21">
      <calculatedColumnFormula>"Q"&amp;ROUNDUP(MONTH(B2)/3,0)</calculatedColumnFormula>
    </tableColumn>
    <tableColumn id="3" name="CustomerID"/>
    <tableColumn id="4" name="Product" dataDxfId="22"/>
    <tableColumn id="5" name="Quantity" dataDxfId="23"/>
    <tableColumn id="6" name="Unit Price" dataDxfId="24"/>
    <tableColumn id="7" name="Shipping Address"/>
    <tableColumn id="8" name="Payment Method" dataDxfId="25"/>
    <tableColumn id="9" name="Order Status" dataDxfId="26"/>
    <tableColumn id="10" name="Tracking Number"/>
    <tableColumn id="11" name="Items In Cart" dataDxfId="27"/>
    <tableColumn id="12" name="Coupon Code"/>
    <tableColumn id="13" name="Referral Source" dataDxfId="28"/>
    <tableColumn id="14" name="Total Price" dataDxfId="2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Table1_7" displayName="Table1_7" ref="A1:S1201" totalsRowShown="0">
  <autoFilter xmlns:etc="http://www.wps.cn/officeDocument/2017/etCustomData" ref="A1:S1201" etc:filterBottomFollowUsedRange="0">
    <filterColumn colId="16">
      <customFilters>
        <customFilter operator="equal" val="Potential Outlier"/>
      </customFilters>
    </filterColumn>
  </autoFilter>
  <tableColumns count="19">
    <tableColumn id="1" name="OrderID"/>
    <tableColumn id="2" name="Date"/>
    <tableColumn id="3" name="Month">
      <calculatedColumnFormula>TEXT(B2,"MMM")</calculatedColumnFormula>
    </tableColumn>
    <tableColumn id="4" name="Year">
      <calculatedColumnFormula>TEXT(B2,"YYYY")</calculatedColumnFormula>
    </tableColumn>
    <tableColumn id="5" name="CustomerID"/>
    <tableColumn id="6" name="Product"/>
    <tableColumn id="7" name="Quantity"/>
    <tableColumn id="8" name="Unit Price"/>
    <tableColumn id="9" name="Shipping Address"/>
    <tableColumn id="10" name="Payment Method"/>
    <tableColumn id="11" name="Order Status"/>
    <tableColumn id="12" name="Tracking Number"/>
    <tableColumn id="13" name="Items In Cart"/>
    <tableColumn id="14" name="Coupon Code"/>
    <tableColumn id="15" name="Referral Source"/>
    <tableColumn id="16" name="Total Price"/>
    <tableColumn id="17" name="Total Price Outlier Check" dataDxfId="30">
      <calculatedColumnFormula>IF(OR(P2&lt;'Descriptive Statistics'!$H$17,P2&gt;'Descriptive Statistics'!$H$18),"Potential Outlier","Within Range")</calculatedColumnFormula>
    </tableColumn>
    <tableColumn id="18" name="Quantity Outlier Check" dataDxfId="31">
      <calculatedColumnFormula>IF(OR(G2&lt;'Descriptive Statistics'!$I$17,G2&gt;'Descriptive Statistics'!$I$18),"Potential Outlier","Within Range")</calculatedColumnFormula>
    </tableColumn>
    <tableColumn id="19" name="Unit Price Outlier Check" dataDxfId="32">
      <calculatedColumnFormula>IF(OR(H2&lt;'Descriptive Statistics'!$J$17,H2&gt;'Descriptive Statistics'!$J$18),"Potential Outlier","Within Range")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2:B5" totalsRowShown="0">
  <autoFilter xmlns:etc="http://www.wps.cn/officeDocument/2017/etCustomData" ref="A2:B5" etc:filterBottomFollowUsedRange="0"/>
  <tableColumns count="2">
    <tableColumn id="1" name="Measure"/>
    <tableColumn id="2" name="Valu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D2:E8" totalsRowShown="0">
  <autoFilter xmlns:etc="http://www.wps.cn/officeDocument/2017/etCustomData" ref="D2:E8" etc:filterBottomFollowUsedRange="0"/>
  <tableColumns count="2">
    <tableColumn id="1" name="Total Price Statistics"/>
    <tableColumn id="2" name="Valu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G2:H10" totalsRowShown="0">
  <autoFilter xmlns:etc="http://www.wps.cn/officeDocument/2017/etCustomData" ref="G2:H10" etc:filterBottomFollowUsedRange="0"/>
  <tableColumns count="2">
    <tableColumn id="1" name="Quantity Statistics"/>
    <tableColumn id="2" name="Valu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J2:K10" totalsRowShown="0">
  <autoFilter xmlns:etc="http://www.wps.cn/officeDocument/2017/etCustomData" ref="J2:K10" etc:filterBottomFollowUsedRange="0"/>
  <tableColumns count="2">
    <tableColumn id="1" name="Cart Items Statistics"/>
    <tableColumn id="2" name="Valu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G12:J18" totalsRowShown="0">
  <autoFilter xmlns:etc="http://www.wps.cn/officeDocument/2017/etCustomData" ref="G12:J18" etc:filterBottomFollowUsedRange="0"/>
  <tableColumns count="4">
    <tableColumn id="1" name="Outlier Check"/>
    <tableColumn id="2" name="Total Price"/>
    <tableColumn id="3" name="Quantity"/>
    <tableColumn id="4" name="Unit Pric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D10:E16" totalsRowShown="0">
  <autoFilter xmlns:etc="http://www.wps.cn/officeDocument/2017/etCustomData" ref="D10:E16" etc:filterBottomFollowUsedRange="0"/>
  <tableColumns count="2">
    <tableColumn id="1" name="Unit Price"/>
    <tableColumn id="2" name="Valu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7:B14" totalsRowShown="0">
  <autoFilter xmlns:etc="http://www.wps.cn/officeDocument/2017/etCustomData" ref="A7:B14" etc:filterBottomFollowUsedRange="0"/>
  <tableColumns count="2">
    <tableColumn id="1" name="KPI"/>
    <tableColumn id="2" name="Values" dataDxfId="3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3" name="Table13" displayName="Table13" ref="A18:D28" totalsRowShown="0">
  <autoFilter xmlns:etc="http://www.wps.cn/officeDocument/2017/etCustomData" ref="A18:D28" etc:filterBottomFollowUsedRange="0"/>
  <tableColumns count="4">
    <tableColumn id="1" name="Quarter"/>
    <tableColumn id="2" name="Revenue" dataDxfId="34"/>
    <tableColumn id="3" name="Orders"/>
    <tableColumn id="4" name="AOV" dataDxfId="35">
      <calculatedColumnFormula>B19/C19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7" name="Table7" displayName="Table7" ref="L3:O11" totalsRowShown="0">
  <autoFilter xmlns:etc="http://www.wps.cn/officeDocument/2017/etCustomData" ref="L3:O11" etc:filterBottomFollowUsedRange="0"/>
  <tableColumns count="4">
    <tableColumn id="1" name="A: Lower Bound" dataDxfId="36"/>
    <tableColumn id="2" name="B: Upper Bound" dataDxfId="37"/>
    <tableColumn id="4" name="Bins" dataDxfId="38">
      <calculatedColumnFormula>L4&amp;"-"&amp;M4</calculatedColumnFormula>
    </tableColumn>
    <tableColumn id="3" name="C: Frequency" dataDxfId="39">
      <calculatedColumnFormula>COUNTIFS('Cleaned Sheet'!$Q$2:$Q$1201,"&gt;="&amp;L4,'Cleaned Sheet'!$Q$2:$Q$1201,"&lt;"&amp;M4)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7" Type="http://schemas.openxmlformats.org/officeDocument/2006/relationships/table" Target="../tables/table9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table" Target="../tables/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R4" sqref="R4"/>
    </sheetView>
  </sheetViews>
  <sheetFormatPr defaultColWidth="8.72727272727273" defaultRowHeight="14.5"/>
  <cols>
    <col min="1" max="1" width="8.36363636363636" customWidth="1"/>
    <col min="2" max="2" width="11.3636363636364" customWidth="1"/>
    <col min="3" max="3" width="8.09090909090909" customWidth="1"/>
    <col min="4" max="4" width="7.45454545454545" customWidth="1"/>
    <col min="5" max="5" width="8" customWidth="1"/>
    <col min="6" max="6" width="8.27272727272727" customWidth="1"/>
    <col min="7" max="7" width="8.36363636363636" customWidth="1"/>
    <col min="8" max="8" width="8.09090909090909" customWidth="1"/>
    <col min="9" max="9" width="8.63636363636364" customWidth="1"/>
    <col min="10" max="10" width="8.72727272727273" customWidth="1"/>
    <col min="11" max="11" width="8.09090909090909" customWidth="1"/>
    <col min="12" max="12" width="8.36363636363636" customWidth="1"/>
    <col min="13" max="14" width="8.54545454545454" customWidth="1"/>
  </cols>
  <sheetData>
    <row r="1" ht="29.75" spans="1:14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</row>
    <row r="2" ht="29.75" spans="1:14">
      <c r="A2" s="29" t="s">
        <v>14</v>
      </c>
      <c r="B2" s="30">
        <v>44930</v>
      </c>
      <c r="C2" s="29" t="s">
        <v>15</v>
      </c>
      <c r="D2" s="29" t="s">
        <v>16</v>
      </c>
      <c r="E2" s="31">
        <v>5</v>
      </c>
      <c r="F2" s="31">
        <v>570.62</v>
      </c>
      <c r="G2" s="29" t="s">
        <v>17</v>
      </c>
      <c r="H2" s="29" t="s">
        <v>18</v>
      </c>
      <c r="I2" s="29" t="s">
        <v>19</v>
      </c>
      <c r="J2" s="29" t="s">
        <v>20</v>
      </c>
      <c r="K2" s="31">
        <v>7</v>
      </c>
      <c r="L2" s="29" t="s">
        <v>21</v>
      </c>
      <c r="M2" s="29" t="s">
        <v>22</v>
      </c>
      <c r="N2" s="31">
        <v>2853.1</v>
      </c>
    </row>
    <row r="3" ht="29.75" spans="1:14">
      <c r="A3" s="29" t="s">
        <v>23</v>
      </c>
      <c r="B3" s="30">
        <v>45527</v>
      </c>
      <c r="C3" s="29" t="s">
        <v>24</v>
      </c>
      <c r="D3" s="29" t="s">
        <v>25</v>
      </c>
      <c r="E3" s="31">
        <v>2</v>
      </c>
      <c r="F3" s="31">
        <v>151.35</v>
      </c>
      <c r="G3" s="29" t="s">
        <v>26</v>
      </c>
      <c r="H3" s="29" t="s">
        <v>27</v>
      </c>
      <c r="I3" s="29" t="s">
        <v>19</v>
      </c>
      <c r="J3" s="29" t="s">
        <v>28</v>
      </c>
      <c r="K3" s="31">
        <v>3</v>
      </c>
      <c r="L3" s="29" t="s">
        <v>21</v>
      </c>
      <c r="M3" s="29" t="s">
        <v>29</v>
      </c>
      <c r="N3" s="31">
        <v>302.7</v>
      </c>
    </row>
    <row r="4" ht="29.75" spans="1:14">
      <c r="A4" s="29" t="s">
        <v>30</v>
      </c>
      <c r="B4" s="30">
        <v>45349</v>
      </c>
      <c r="C4" s="29" t="s">
        <v>31</v>
      </c>
      <c r="D4" s="29" t="s">
        <v>32</v>
      </c>
      <c r="E4" s="31">
        <v>5</v>
      </c>
      <c r="F4" s="31">
        <v>550.68</v>
      </c>
      <c r="G4" s="29" t="s">
        <v>33</v>
      </c>
      <c r="H4" s="29" t="s">
        <v>34</v>
      </c>
      <c r="I4" s="29" t="s">
        <v>35</v>
      </c>
      <c r="J4" s="29" t="s">
        <v>36</v>
      </c>
      <c r="K4" s="31">
        <v>8</v>
      </c>
      <c r="L4" s="29" t="s">
        <v>37</v>
      </c>
      <c r="M4" s="29" t="s">
        <v>38</v>
      </c>
      <c r="N4" s="31">
        <v>2753.4</v>
      </c>
    </row>
    <row r="5" ht="29.75" spans="1:14">
      <c r="A5" s="29" t="s">
        <v>39</v>
      </c>
      <c r="B5" s="30">
        <v>45214</v>
      </c>
      <c r="C5" s="29" t="s">
        <v>40</v>
      </c>
      <c r="D5" s="29" t="s">
        <v>41</v>
      </c>
      <c r="E5" s="31">
        <v>1</v>
      </c>
      <c r="F5" s="31">
        <v>273.19</v>
      </c>
      <c r="G5" s="29" t="s">
        <v>42</v>
      </c>
      <c r="H5" s="29" t="s">
        <v>18</v>
      </c>
      <c r="I5" s="29" t="s">
        <v>43</v>
      </c>
      <c r="J5" s="29" t="s">
        <v>44</v>
      </c>
      <c r="K5" s="31">
        <v>5</v>
      </c>
      <c r="L5" s="29" t="s">
        <v>21</v>
      </c>
      <c r="M5" s="29" t="s">
        <v>45</v>
      </c>
      <c r="N5" s="31">
        <v>273.19</v>
      </c>
    </row>
    <row r="6" ht="29.75" spans="1:14">
      <c r="A6" s="29" t="s">
        <v>46</v>
      </c>
      <c r="B6" s="30">
        <v>45785</v>
      </c>
      <c r="C6" s="29" t="s">
        <v>47</v>
      </c>
      <c r="D6" s="29" t="s">
        <v>48</v>
      </c>
      <c r="E6" s="31">
        <v>4</v>
      </c>
      <c r="F6" s="31">
        <v>626.01</v>
      </c>
      <c r="G6" s="29" t="s">
        <v>49</v>
      </c>
      <c r="H6" s="29" t="s">
        <v>27</v>
      </c>
      <c r="I6" s="29" t="s">
        <v>50</v>
      </c>
      <c r="J6" s="29" t="s">
        <v>51</v>
      </c>
      <c r="K6" s="31">
        <v>8</v>
      </c>
      <c r="L6" s="29" t="s">
        <v>21</v>
      </c>
      <c r="M6" s="29" t="s">
        <v>38</v>
      </c>
      <c r="N6" s="31">
        <v>2504.04</v>
      </c>
    </row>
    <row r="7" ht="29.75" spans="1:14">
      <c r="A7" s="29" t="s">
        <v>52</v>
      </c>
      <c r="B7" s="30">
        <v>45222</v>
      </c>
      <c r="C7" s="29" t="s">
        <v>53</v>
      </c>
      <c r="D7" s="29" t="s">
        <v>25</v>
      </c>
      <c r="E7" s="31">
        <v>2</v>
      </c>
      <c r="F7" s="31">
        <v>245.86</v>
      </c>
      <c r="G7" s="29" t="s">
        <v>54</v>
      </c>
      <c r="H7" s="29" t="s">
        <v>34</v>
      </c>
      <c r="I7" s="29" t="s">
        <v>19</v>
      </c>
      <c r="J7" s="29" t="s">
        <v>55</v>
      </c>
      <c r="K7" s="31">
        <v>4</v>
      </c>
      <c r="L7" s="29" t="s">
        <v>21</v>
      </c>
      <c r="M7" s="29" t="s">
        <v>22</v>
      </c>
      <c r="N7" s="31">
        <v>491.72</v>
      </c>
    </row>
    <row r="8" ht="29.75" spans="1:14">
      <c r="A8" s="29" t="s">
        <v>56</v>
      </c>
      <c r="B8" s="30">
        <v>45825</v>
      </c>
      <c r="C8" s="29" t="s">
        <v>57</v>
      </c>
      <c r="D8" s="29" t="s">
        <v>58</v>
      </c>
      <c r="E8" s="31">
        <v>1</v>
      </c>
      <c r="F8" s="31">
        <v>664.42</v>
      </c>
      <c r="G8" s="29" t="s">
        <v>59</v>
      </c>
      <c r="H8" s="29" t="s">
        <v>60</v>
      </c>
      <c r="I8" s="29" t="s">
        <v>43</v>
      </c>
      <c r="J8" s="29" t="s">
        <v>61</v>
      </c>
      <c r="K8" s="31">
        <v>6</v>
      </c>
      <c r="L8" s="29" t="s">
        <v>21</v>
      </c>
      <c r="M8" s="29" t="s">
        <v>45</v>
      </c>
      <c r="N8" s="31">
        <v>664.42</v>
      </c>
    </row>
    <row r="9" ht="29.75" spans="1:14">
      <c r="A9" s="29" t="s">
        <v>62</v>
      </c>
      <c r="B9" s="30">
        <v>45058</v>
      </c>
      <c r="C9" s="29" t="s">
        <v>63</v>
      </c>
      <c r="D9" s="29" t="s">
        <v>16</v>
      </c>
      <c r="E9" s="31">
        <v>5</v>
      </c>
      <c r="F9" s="31">
        <v>149.55</v>
      </c>
      <c r="G9" s="29" t="s">
        <v>64</v>
      </c>
      <c r="H9" s="29" t="s">
        <v>65</v>
      </c>
      <c r="I9" s="29" t="s">
        <v>19</v>
      </c>
      <c r="J9" s="29" t="s">
        <v>66</v>
      </c>
      <c r="K9" s="31">
        <v>9</v>
      </c>
      <c r="L9" s="29" t="s">
        <v>37</v>
      </c>
      <c r="M9" s="29" t="s">
        <v>45</v>
      </c>
      <c r="N9" s="31">
        <v>747.75</v>
      </c>
    </row>
    <row r="10" ht="29.75" spans="1:14">
      <c r="A10" s="29" t="s">
        <v>67</v>
      </c>
      <c r="B10" s="30">
        <v>45749</v>
      </c>
      <c r="C10" s="29" t="s">
        <v>68</v>
      </c>
      <c r="D10" s="29" t="s">
        <v>25</v>
      </c>
      <c r="E10" s="31">
        <v>2</v>
      </c>
      <c r="F10" s="31">
        <v>134.28</v>
      </c>
      <c r="G10" s="29" t="s">
        <v>69</v>
      </c>
      <c r="H10" s="29" t="s">
        <v>60</v>
      </c>
      <c r="I10" s="29" t="s">
        <v>35</v>
      </c>
      <c r="J10" s="29" t="s">
        <v>70</v>
      </c>
      <c r="K10" s="31">
        <v>2</v>
      </c>
      <c r="L10" s="29"/>
      <c r="M10" s="29" t="s">
        <v>38</v>
      </c>
      <c r="N10" s="31">
        <v>268.56</v>
      </c>
    </row>
    <row r="11" ht="29.75" spans="1:14">
      <c r="A11" s="29" t="s">
        <v>71</v>
      </c>
      <c r="B11" s="30">
        <v>45251</v>
      </c>
      <c r="C11" s="29" t="s">
        <v>72</v>
      </c>
      <c r="D11" s="29" t="s">
        <v>73</v>
      </c>
      <c r="E11" s="31">
        <v>4</v>
      </c>
      <c r="F11" s="31">
        <v>509.38</v>
      </c>
      <c r="G11" s="29" t="s">
        <v>74</v>
      </c>
      <c r="H11" s="29" t="s">
        <v>34</v>
      </c>
      <c r="I11" s="29" t="s">
        <v>19</v>
      </c>
      <c r="J11" s="29" t="s">
        <v>75</v>
      </c>
      <c r="K11" s="31">
        <v>6</v>
      </c>
      <c r="L11" s="29" t="s">
        <v>21</v>
      </c>
      <c r="M11" s="29" t="s">
        <v>76</v>
      </c>
      <c r="N11" s="31">
        <v>2037.52</v>
      </c>
    </row>
    <row r="12" ht="29.75" spans="1:14">
      <c r="A12" s="29" t="s">
        <v>77</v>
      </c>
      <c r="B12" s="30">
        <v>45289</v>
      </c>
      <c r="C12" s="29" t="s">
        <v>78</v>
      </c>
      <c r="D12" s="29" t="s">
        <v>32</v>
      </c>
      <c r="E12" s="31">
        <v>5</v>
      </c>
      <c r="F12" s="31">
        <v>625.97</v>
      </c>
      <c r="G12" s="29" t="s">
        <v>79</v>
      </c>
      <c r="H12" s="29" t="s">
        <v>34</v>
      </c>
      <c r="I12" s="29" t="s">
        <v>43</v>
      </c>
      <c r="J12" s="29" t="s">
        <v>80</v>
      </c>
      <c r="K12" s="31">
        <v>9</v>
      </c>
      <c r="L12" s="29" t="s">
        <v>81</v>
      </c>
      <c r="M12" s="29" t="s">
        <v>22</v>
      </c>
      <c r="N12" s="31">
        <v>3129.85</v>
      </c>
    </row>
    <row r="13" ht="29.75" spans="1:14">
      <c r="A13" s="29" t="s">
        <v>82</v>
      </c>
      <c r="B13" s="30">
        <v>45339</v>
      </c>
      <c r="C13" s="29" t="s">
        <v>83</v>
      </c>
      <c r="D13" s="29" t="s">
        <v>16</v>
      </c>
      <c r="E13" s="31">
        <v>3</v>
      </c>
      <c r="F13" s="31">
        <v>49.14</v>
      </c>
      <c r="G13" s="29" t="s">
        <v>84</v>
      </c>
      <c r="H13" s="29" t="s">
        <v>27</v>
      </c>
      <c r="I13" s="29" t="s">
        <v>43</v>
      </c>
      <c r="J13" s="29" t="s">
        <v>85</v>
      </c>
      <c r="K13" s="31">
        <v>7</v>
      </c>
      <c r="L13" s="29" t="s">
        <v>21</v>
      </c>
      <c r="M13" s="29" t="s">
        <v>38</v>
      </c>
      <c r="N13" s="31">
        <v>147.42</v>
      </c>
    </row>
    <row r="14" ht="29.75" spans="1:14">
      <c r="A14" s="29" t="s">
        <v>86</v>
      </c>
      <c r="B14" s="30">
        <v>45580</v>
      </c>
      <c r="C14" s="29" t="s">
        <v>87</v>
      </c>
      <c r="D14" s="29" t="s">
        <v>16</v>
      </c>
      <c r="E14" s="31">
        <v>2</v>
      </c>
      <c r="F14" s="31">
        <v>180.5</v>
      </c>
      <c r="G14" s="29" t="s">
        <v>88</v>
      </c>
      <c r="H14" s="29" t="s">
        <v>18</v>
      </c>
      <c r="I14" s="29" t="s">
        <v>89</v>
      </c>
      <c r="J14" s="29" t="s">
        <v>90</v>
      </c>
      <c r="K14" s="31">
        <v>6</v>
      </c>
      <c r="L14" s="29" t="s">
        <v>37</v>
      </c>
      <c r="M14" s="29" t="s">
        <v>29</v>
      </c>
      <c r="N14" s="31">
        <v>361</v>
      </c>
    </row>
    <row r="15" ht="29.75" spans="1:14">
      <c r="A15" s="29" t="s">
        <v>91</v>
      </c>
      <c r="B15" s="30">
        <v>45168</v>
      </c>
      <c r="C15" s="29" t="s">
        <v>92</v>
      </c>
      <c r="D15" s="29" t="s">
        <v>58</v>
      </c>
      <c r="E15" s="31">
        <v>3</v>
      </c>
      <c r="F15" s="31">
        <v>201.49</v>
      </c>
      <c r="G15" s="29" t="s">
        <v>93</v>
      </c>
      <c r="H15" s="29" t="s">
        <v>34</v>
      </c>
      <c r="I15" s="29" t="s">
        <v>43</v>
      </c>
      <c r="J15" s="29" t="s">
        <v>94</v>
      </c>
      <c r="K15" s="31">
        <v>4</v>
      </c>
      <c r="L15" s="29" t="s">
        <v>37</v>
      </c>
      <c r="M15" s="29" t="s">
        <v>45</v>
      </c>
      <c r="N15" s="31">
        <v>604.47</v>
      </c>
    </row>
    <row r="16" ht="29.75" spans="1:14">
      <c r="A16" s="29" t="s">
        <v>95</v>
      </c>
      <c r="B16" s="30">
        <v>45012</v>
      </c>
      <c r="C16" s="29" t="s">
        <v>96</v>
      </c>
      <c r="D16" s="29" t="s">
        <v>32</v>
      </c>
      <c r="E16" s="31">
        <v>2</v>
      </c>
      <c r="F16" s="31">
        <v>393.33</v>
      </c>
      <c r="G16" s="29" t="s">
        <v>97</v>
      </c>
      <c r="H16" s="29" t="s">
        <v>18</v>
      </c>
      <c r="I16" s="29" t="s">
        <v>89</v>
      </c>
      <c r="J16" s="29" t="s">
        <v>98</v>
      </c>
      <c r="K16" s="31">
        <v>3</v>
      </c>
      <c r="L16" s="29" t="s">
        <v>21</v>
      </c>
      <c r="M16" s="29" t="s">
        <v>22</v>
      </c>
      <c r="N16" s="31">
        <v>786.66</v>
      </c>
    </row>
    <row r="17" ht="29.75" spans="1:14">
      <c r="A17" s="29" t="s">
        <v>99</v>
      </c>
      <c r="B17" s="30">
        <v>45124</v>
      </c>
      <c r="C17" s="29" t="s">
        <v>100</v>
      </c>
      <c r="D17" s="29" t="s">
        <v>48</v>
      </c>
      <c r="E17" s="31">
        <v>1</v>
      </c>
      <c r="F17" s="31">
        <v>473.96</v>
      </c>
      <c r="G17" s="29" t="s">
        <v>101</v>
      </c>
      <c r="H17" s="29" t="s">
        <v>65</v>
      </c>
      <c r="I17" s="29" t="s">
        <v>50</v>
      </c>
      <c r="J17" s="29" t="s">
        <v>102</v>
      </c>
      <c r="K17" s="31">
        <v>3</v>
      </c>
      <c r="L17" s="29"/>
      <c r="M17" s="29" t="s">
        <v>76</v>
      </c>
      <c r="N17" s="31">
        <v>473.96</v>
      </c>
    </row>
    <row r="18" ht="29.75" spans="1:14">
      <c r="A18" s="29" t="s">
        <v>103</v>
      </c>
      <c r="B18" s="30">
        <v>44950</v>
      </c>
      <c r="C18" s="29" t="s">
        <v>104</v>
      </c>
      <c r="D18" s="29" t="s">
        <v>48</v>
      </c>
      <c r="E18" s="31">
        <v>2</v>
      </c>
      <c r="F18" s="31">
        <v>533.81</v>
      </c>
      <c r="G18" s="29" t="s">
        <v>105</v>
      </c>
      <c r="H18" s="29" t="s">
        <v>34</v>
      </c>
      <c r="I18" s="29" t="s">
        <v>89</v>
      </c>
      <c r="J18" s="29" t="s">
        <v>106</v>
      </c>
      <c r="K18" s="31">
        <v>3</v>
      </c>
      <c r="L18" s="29" t="s">
        <v>37</v>
      </c>
      <c r="M18" s="29" t="s">
        <v>38</v>
      </c>
      <c r="N18" s="31">
        <v>1067.62</v>
      </c>
    </row>
    <row r="19" ht="29.75" spans="1:14">
      <c r="A19" s="29" t="s">
        <v>107</v>
      </c>
      <c r="B19" s="30">
        <v>45353</v>
      </c>
      <c r="C19" s="29" t="s">
        <v>108</v>
      </c>
      <c r="D19" s="29" t="s">
        <v>32</v>
      </c>
      <c r="E19" s="31">
        <v>1</v>
      </c>
      <c r="F19" s="31">
        <v>423.4</v>
      </c>
      <c r="G19" s="29" t="s">
        <v>109</v>
      </c>
      <c r="H19" s="29" t="s">
        <v>18</v>
      </c>
      <c r="I19" s="29" t="s">
        <v>19</v>
      </c>
      <c r="J19" s="29" t="s">
        <v>110</v>
      </c>
      <c r="K19" s="31">
        <v>3</v>
      </c>
      <c r="L19" s="29"/>
      <c r="M19" s="29" t="s">
        <v>29</v>
      </c>
      <c r="N19" s="31">
        <v>423.4</v>
      </c>
    </row>
    <row r="20" ht="29.75" spans="1:14">
      <c r="A20" s="29" t="s">
        <v>111</v>
      </c>
      <c r="B20" s="30">
        <v>45742</v>
      </c>
      <c r="C20" s="29" t="s">
        <v>112</v>
      </c>
      <c r="D20" s="29" t="s">
        <v>73</v>
      </c>
      <c r="E20" s="31">
        <v>1</v>
      </c>
      <c r="F20" s="31">
        <v>431.44</v>
      </c>
      <c r="G20" s="29" t="s">
        <v>113</v>
      </c>
      <c r="H20" s="29" t="s">
        <v>60</v>
      </c>
      <c r="I20" s="29" t="s">
        <v>89</v>
      </c>
      <c r="J20" s="29" t="s">
        <v>114</v>
      </c>
      <c r="K20" s="31">
        <v>3</v>
      </c>
      <c r="L20" s="29" t="s">
        <v>21</v>
      </c>
      <c r="M20" s="29" t="s">
        <v>45</v>
      </c>
      <c r="N20" s="31">
        <v>431.44</v>
      </c>
    </row>
    <row r="21" ht="29.75" spans="1:14">
      <c r="A21" s="29" t="s">
        <v>115</v>
      </c>
      <c r="B21" s="30">
        <v>44949</v>
      </c>
      <c r="C21" s="29" t="s">
        <v>116</v>
      </c>
      <c r="D21" s="29" t="s">
        <v>16</v>
      </c>
      <c r="E21" s="31">
        <v>5</v>
      </c>
      <c r="F21" s="31">
        <v>224</v>
      </c>
      <c r="G21" s="29" t="s">
        <v>117</v>
      </c>
      <c r="H21" s="29" t="s">
        <v>65</v>
      </c>
      <c r="I21" s="29" t="s">
        <v>43</v>
      </c>
      <c r="J21" s="29" t="s">
        <v>118</v>
      </c>
      <c r="K21" s="31">
        <v>9</v>
      </c>
      <c r="L21" s="29" t="s">
        <v>21</v>
      </c>
      <c r="M21" s="29" t="s">
        <v>76</v>
      </c>
      <c r="N21" s="31">
        <v>1120</v>
      </c>
    </row>
    <row r="22" ht="29.75" spans="1:14">
      <c r="A22" s="29" t="s">
        <v>119</v>
      </c>
      <c r="B22" s="30">
        <v>45054</v>
      </c>
      <c r="C22" s="29" t="s">
        <v>120</v>
      </c>
      <c r="D22" s="29" t="s">
        <v>41</v>
      </c>
      <c r="E22" s="31">
        <v>5</v>
      </c>
      <c r="F22" s="31">
        <v>62.51</v>
      </c>
      <c r="G22" s="29" t="s">
        <v>121</v>
      </c>
      <c r="H22" s="29" t="s">
        <v>65</v>
      </c>
      <c r="I22" s="29" t="s">
        <v>89</v>
      </c>
      <c r="J22" s="29" t="s">
        <v>122</v>
      </c>
      <c r="K22" s="31">
        <v>9</v>
      </c>
      <c r="L22" s="29" t="s">
        <v>81</v>
      </c>
      <c r="M22" s="29" t="s">
        <v>22</v>
      </c>
      <c r="N22" s="31">
        <v>312.55</v>
      </c>
    </row>
    <row r="23" ht="29.75" spans="1:14">
      <c r="A23" s="29" t="s">
        <v>123</v>
      </c>
      <c r="B23" s="30">
        <v>45613</v>
      </c>
      <c r="C23" s="29" t="s">
        <v>124</v>
      </c>
      <c r="D23" s="29" t="s">
        <v>16</v>
      </c>
      <c r="E23" s="31">
        <v>4</v>
      </c>
      <c r="F23" s="31">
        <v>342.95</v>
      </c>
      <c r="G23" s="29" t="s">
        <v>125</v>
      </c>
      <c r="H23" s="29" t="s">
        <v>65</v>
      </c>
      <c r="I23" s="29" t="s">
        <v>50</v>
      </c>
      <c r="J23" s="29" t="s">
        <v>126</v>
      </c>
      <c r="K23" s="31">
        <v>6</v>
      </c>
      <c r="L23" s="29"/>
      <c r="M23" s="29" t="s">
        <v>76</v>
      </c>
      <c r="N23" s="31">
        <v>1371.8</v>
      </c>
    </row>
    <row r="24" ht="29.75" spans="1:14">
      <c r="A24" s="29" t="s">
        <v>127</v>
      </c>
      <c r="B24" s="30">
        <v>44955</v>
      </c>
      <c r="C24" s="29" t="s">
        <v>128</v>
      </c>
      <c r="D24" s="29" t="s">
        <v>16</v>
      </c>
      <c r="E24" s="31">
        <v>2</v>
      </c>
      <c r="F24" s="31">
        <v>49.62</v>
      </c>
      <c r="G24" s="29" t="s">
        <v>129</v>
      </c>
      <c r="H24" s="29" t="s">
        <v>27</v>
      </c>
      <c r="I24" s="29" t="s">
        <v>89</v>
      </c>
      <c r="J24" s="29" t="s">
        <v>130</v>
      </c>
      <c r="K24" s="31">
        <v>2</v>
      </c>
      <c r="L24" s="29" t="s">
        <v>21</v>
      </c>
      <c r="M24" s="29" t="s">
        <v>76</v>
      </c>
      <c r="N24" s="31">
        <v>99.24</v>
      </c>
    </row>
    <row r="25" ht="29.75" spans="1:14">
      <c r="A25" s="29" t="s">
        <v>131</v>
      </c>
      <c r="B25" s="30">
        <v>45756</v>
      </c>
      <c r="C25" s="29" t="s">
        <v>132</v>
      </c>
      <c r="D25" s="29" t="s">
        <v>25</v>
      </c>
      <c r="E25" s="31">
        <v>4</v>
      </c>
      <c r="F25" s="31">
        <v>273.25</v>
      </c>
      <c r="G25" s="29" t="s">
        <v>133</v>
      </c>
      <c r="H25" s="29" t="s">
        <v>18</v>
      </c>
      <c r="I25" s="29" t="s">
        <v>35</v>
      </c>
      <c r="J25" s="29" t="s">
        <v>134</v>
      </c>
      <c r="K25" s="31">
        <v>5</v>
      </c>
      <c r="L25" s="29" t="s">
        <v>37</v>
      </c>
      <c r="M25" s="29" t="s">
        <v>29</v>
      </c>
      <c r="N25" s="31">
        <v>1093</v>
      </c>
    </row>
    <row r="26" ht="29.75" spans="1:14">
      <c r="A26" s="29" t="s">
        <v>135</v>
      </c>
      <c r="B26" s="30">
        <v>45595</v>
      </c>
      <c r="C26" s="29" t="s">
        <v>136</v>
      </c>
      <c r="D26" s="29" t="s">
        <v>58</v>
      </c>
      <c r="E26" s="31">
        <v>2</v>
      </c>
      <c r="F26" s="31">
        <v>230.95</v>
      </c>
      <c r="G26" s="29" t="s">
        <v>137</v>
      </c>
      <c r="H26" s="29" t="s">
        <v>27</v>
      </c>
      <c r="I26" s="29" t="s">
        <v>50</v>
      </c>
      <c r="J26" s="29" t="s">
        <v>138</v>
      </c>
      <c r="K26" s="31">
        <v>3</v>
      </c>
      <c r="L26" s="29" t="s">
        <v>81</v>
      </c>
      <c r="M26" s="29" t="s">
        <v>29</v>
      </c>
      <c r="N26" s="31">
        <v>461.9</v>
      </c>
    </row>
    <row r="27" ht="29.75" spans="1:14">
      <c r="A27" s="29" t="s">
        <v>139</v>
      </c>
      <c r="B27" s="30">
        <v>45497</v>
      </c>
      <c r="C27" s="29" t="s">
        <v>140</v>
      </c>
      <c r="D27" s="29" t="s">
        <v>16</v>
      </c>
      <c r="E27" s="31">
        <v>1</v>
      </c>
      <c r="F27" s="31">
        <v>399.98</v>
      </c>
      <c r="G27" s="29" t="s">
        <v>141</v>
      </c>
      <c r="H27" s="29" t="s">
        <v>18</v>
      </c>
      <c r="I27" s="29" t="s">
        <v>50</v>
      </c>
      <c r="J27" s="29" t="s">
        <v>142</v>
      </c>
      <c r="K27" s="31">
        <v>3</v>
      </c>
      <c r="L27" s="29" t="s">
        <v>81</v>
      </c>
      <c r="M27" s="29" t="s">
        <v>38</v>
      </c>
      <c r="N27" s="31">
        <v>399.98</v>
      </c>
    </row>
    <row r="28" ht="29.75" spans="1:14">
      <c r="A28" s="29" t="s">
        <v>143</v>
      </c>
      <c r="B28" s="30">
        <v>45357</v>
      </c>
      <c r="C28" s="29" t="s">
        <v>144</v>
      </c>
      <c r="D28" s="29" t="s">
        <v>58</v>
      </c>
      <c r="E28" s="31">
        <v>5</v>
      </c>
      <c r="F28" s="31">
        <v>59.55</v>
      </c>
      <c r="G28" s="29" t="s">
        <v>145</v>
      </c>
      <c r="H28" s="29" t="s">
        <v>27</v>
      </c>
      <c r="I28" s="29" t="s">
        <v>50</v>
      </c>
      <c r="J28" s="29" t="s">
        <v>146</v>
      </c>
      <c r="K28" s="31">
        <v>6</v>
      </c>
      <c r="L28" s="29"/>
      <c r="M28" s="29" t="s">
        <v>29</v>
      </c>
      <c r="N28" s="31">
        <v>297.75</v>
      </c>
    </row>
    <row r="29" ht="29.75" spans="1:14">
      <c r="A29" s="29" t="s">
        <v>147</v>
      </c>
      <c r="B29" s="30">
        <v>45344</v>
      </c>
      <c r="C29" s="29" t="s">
        <v>148</v>
      </c>
      <c r="D29" s="29" t="s">
        <v>48</v>
      </c>
      <c r="E29" s="31">
        <v>1</v>
      </c>
      <c r="F29" s="31">
        <v>472.74</v>
      </c>
      <c r="G29" s="29" t="s">
        <v>149</v>
      </c>
      <c r="H29" s="29" t="s">
        <v>27</v>
      </c>
      <c r="I29" s="29" t="s">
        <v>19</v>
      </c>
      <c r="J29" s="29" t="s">
        <v>150</v>
      </c>
      <c r="K29" s="31">
        <v>6</v>
      </c>
      <c r="L29" s="29" t="s">
        <v>81</v>
      </c>
      <c r="M29" s="29" t="s">
        <v>76</v>
      </c>
      <c r="N29" s="31">
        <v>472.74</v>
      </c>
    </row>
    <row r="30" ht="29.75" spans="1:14">
      <c r="A30" s="29" t="s">
        <v>151</v>
      </c>
      <c r="B30" s="30">
        <v>45251</v>
      </c>
      <c r="C30" s="29" t="s">
        <v>152</v>
      </c>
      <c r="D30" s="29" t="s">
        <v>25</v>
      </c>
      <c r="E30" s="31">
        <v>4</v>
      </c>
      <c r="F30" s="31">
        <v>160.07</v>
      </c>
      <c r="G30" s="29" t="s">
        <v>153</v>
      </c>
      <c r="H30" s="29" t="s">
        <v>27</v>
      </c>
      <c r="I30" s="29" t="s">
        <v>89</v>
      </c>
      <c r="J30" s="29" t="s">
        <v>154</v>
      </c>
      <c r="K30" s="31">
        <v>5</v>
      </c>
      <c r="L30" s="29"/>
      <c r="M30" s="29" t="s">
        <v>38</v>
      </c>
      <c r="N30" s="31">
        <v>640.28</v>
      </c>
    </row>
    <row r="31" ht="29.75" spans="1:14">
      <c r="A31" s="29" t="s">
        <v>155</v>
      </c>
      <c r="B31" s="30">
        <v>45555</v>
      </c>
      <c r="C31" s="29" t="s">
        <v>156</v>
      </c>
      <c r="D31" s="29" t="s">
        <v>73</v>
      </c>
      <c r="E31" s="31">
        <v>3</v>
      </c>
      <c r="F31" s="31">
        <v>423.53</v>
      </c>
      <c r="G31" s="29" t="s">
        <v>157</v>
      </c>
      <c r="H31" s="29" t="s">
        <v>34</v>
      </c>
      <c r="I31" s="29" t="s">
        <v>50</v>
      </c>
      <c r="J31" s="29" t="s">
        <v>158</v>
      </c>
      <c r="K31" s="31">
        <v>6</v>
      </c>
      <c r="L31" s="29" t="s">
        <v>21</v>
      </c>
      <c r="M31" s="29" t="s">
        <v>29</v>
      </c>
      <c r="N31" s="31">
        <v>1270.59</v>
      </c>
    </row>
    <row r="32" ht="29.75" spans="1:14">
      <c r="A32" s="29" t="s">
        <v>159</v>
      </c>
      <c r="B32" s="30">
        <v>45738</v>
      </c>
      <c r="C32" s="29" t="s">
        <v>160</v>
      </c>
      <c r="D32" s="29" t="s">
        <v>16</v>
      </c>
      <c r="E32" s="31">
        <v>2</v>
      </c>
      <c r="F32" s="31">
        <v>426.7</v>
      </c>
      <c r="G32" s="29" t="s">
        <v>161</v>
      </c>
      <c r="H32" s="29" t="s">
        <v>27</v>
      </c>
      <c r="I32" s="29" t="s">
        <v>89</v>
      </c>
      <c r="J32" s="29" t="s">
        <v>162</v>
      </c>
      <c r="K32" s="31">
        <v>5</v>
      </c>
      <c r="L32" s="29" t="s">
        <v>21</v>
      </c>
      <c r="M32" s="29" t="s">
        <v>29</v>
      </c>
      <c r="N32" s="31">
        <v>853.4</v>
      </c>
    </row>
    <row r="33" ht="29.75" spans="1:14">
      <c r="A33" s="29" t="s">
        <v>163</v>
      </c>
      <c r="B33" s="30">
        <v>45107</v>
      </c>
      <c r="C33" s="29" t="s">
        <v>164</v>
      </c>
      <c r="D33" s="29" t="s">
        <v>41</v>
      </c>
      <c r="E33" s="31">
        <v>3</v>
      </c>
      <c r="F33" s="31">
        <v>500.08</v>
      </c>
      <c r="G33" s="29" t="s">
        <v>165</v>
      </c>
      <c r="H33" s="29" t="s">
        <v>18</v>
      </c>
      <c r="I33" s="29" t="s">
        <v>43</v>
      </c>
      <c r="J33" s="29" t="s">
        <v>166</v>
      </c>
      <c r="K33" s="31">
        <v>6</v>
      </c>
      <c r="L33" s="29"/>
      <c r="M33" s="29" t="s">
        <v>45</v>
      </c>
      <c r="N33" s="31">
        <v>1500.24</v>
      </c>
    </row>
    <row r="34" ht="29.75" spans="1:14">
      <c r="A34" s="29" t="s">
        <v>167</v>
      </c>
      <c r="B34" s="30">
        <v>45047</v>
      </c>
      <c r="C34" s="29" t="s">
        <v>168</v>
      </c>
      <c r="D34" s="29" t="s">
        <v>32</v>
      </c>
      <c r="E34" s="31">
        <v>5</v>
      </c>
      <c r="F34" s="31">
        <v>536.72</v>
      </c>
      <c r="G34" s="29" t="s">
        <v>169</v>
      </c>
      <c r="H34" s="29" t="s">
        <v>65</v>
      </c>
      <c r="I34" s="29" t="s">
        <v>50</v>
      </c>
      <c r="J34" s="29" t="s">
        <v>170</v>
      </c>
      <c r="K34" s="31">
        <v>10</v>
      </c>
      <c r="L34" s="29"/>
      <c r="M34" s="29" t="s">
        <v>38</v>
      </c>
      <c r="N34" s="31">
        <v>2683.6</v>
      </c>
    </row>
    <row r="35" ht="29.75" spans="1:14">
      <c r="A35" s="29" t="s">
        <v>171</v>
      </c>
      <c r="B35" s="30">
        <v>45082</v>
      </c>
      <c r="C35" s="29" t="s">
        <v>172</v>
      </c>
      <c r="D35" s="29" t="s">
        <v>41</v>
      </c>
      <c r="E35" s="31">
        <v>1</v>
      </c>
      <c r="F35" s="31">
        <v>162.77</v>
      </c>
      <c r="G35" s="29" t="s">
        <v>173</v>
      </c>
      <c r="H35" s="29" t="s">
        <v>27</v>
      </c>
      <c r="I35" s="29" t="s">
        <v>35</v>
      </c>
      <c r="J35" s="29" t="s">
        <v>174</v>
      </c>
      <c r="K35" s="31">
        <v>4</v>
      </c>
      <c r="L35" s="29" t="s">
        <v>81</v>
      </c>
      <c r="M35" s="29" t="s">
        <v>45</v>
      </c>
      <c r="N35" s="31">
        <v>162.77</v>
      </c>
    </row>
    <row r="36" ht="29.75" spans="1:14">
      <c r="A36" s="29" t="s">
        <v>175</v>
      </c>
      <c r="B36" s="30">
        <v>44933</v>
      </c>
      <c r="C36" s="29" t="s">
        <v>176</v>
      </c>
      <c r="D36" s="29" t="s">
        <v>41</v>
      </c>
      <c r="E36" s="31">
        <v>4</v>
      </c>
      <c r="F36" s="31">
        <v>576.52</v>
      </c>
      <c r="G36" s="29" t="s">
        <v>177</v>
      </c>
      <c r="H36" s="29" t="s">
        <v>34</v>
      </c>
      <c r="I36" s="29" t="s">
        <v>89</v>
      </c>
      <c r="J36" s="29" t="s">
        <v>178</v>
      </c>
      <c r="K36" s="31">
        <v>5</v>
      </c>
      <c r="L36" s="29" t="s">
        <v>81</v>
      </c>
      <c r="M36" s="29" t="s">
        <v>45</v>
      </c>
      <c r="N36" s="31">
        <v>2306.08</v>
      </c>
    </row>
    <row r="37" ht="29.75" spans="1:14">
      <c r="A37" s="29" t="s">
        <v>179</v>
      </c>
      <c r="B37" s="30">
        <v>45633</v>
      </c>
      <c r="C37" s="29" t="s">
        <v>180</v>
      </c>
      <c r="D37" s="29" t="s">
        <v>16</v>
      </c>
      <c r="E37" s="31">
        <v>2</v>
      </c>
      <c r="F37" s="31">
        <v>465.15</v>
      </c>
      <c r="G37" s="29" t="s">
        <v>181</v>
      </c>
      <c r="H37" s="29" t="s">
        <v>27</v>
      </c>
      <c r="I37" s="29" t="s">
        <v>19</v>
      </c>
      <c r="J37" s="29" t="s">
        <v>182</v>
      </c>
      <c r="K37" s="31">
        <v>2</v>
      </c>
      <c r="L37" s="29" t="s">
        <v>21</v>
      </c>
      <c r="M37" s="29" t="s">
        <v>45</v>
      </c>
      <c r="N37" s="31">
        <v>930.3</v>
      </c>
    </row>
    <row r="38" ht="29.75" spans="1:14">
      <c r="A38" s="29" t="s">
        <v>183</v>
      </c>
      <c r="B38" s="30">
        <v>45785</v>
      </c>
      <c r="C38" s="29" t="s">
        <v>184</v>
      </c>
      <c r="D38" s="29" t="s">
        <v>58</v>
      </c>
      <c r="E38" s="31">
        <v>2</v>
      </c>
      <c r="F38" s="31">
        <v>534.43</v>
      </c>
      <c r="G38" s="29" t="s">
        <v>185</v>
      </c>
      <c r="H38" s="29" t="s">
        <v>18</v>
      </c>
      <c r="I38" s="29" t="s">
        <v>89</v>
      </c>
      <c r="J38" s="29" t="s">
        <v>186</v>
      </c>
      <c r="K38" s="31">
        <v>5</v>
      </c>
      <c r="L38" s="29"/>
      <c r="M38" s="29" t="s">
        <v>45</v>
      </c>
      <c r="N38" s="31">
        <v>1068.86</v>
      </c>
    </row>
    <row r="39" ht="29.75" spans="1:14">
      <c r="A39" s="29" t="s">
        <v>187</v>
      </c>
      <c r="B39" s="30">
        <v>45579</v>
      </c>
      <c r="C39" s="29" t="s">
        <v>188</v>
      </c>
      <c r="D39" s="29" t="s">
        <v>58</v>
      </c>
      <c r="E39" s="31">
        <v>2</v>
      </c>
      <c r="F39" s="31">
        <v>76.74</v>
      </c>
      <c r="G39" s="29" t="s">
        <v>189</v>
      </c>
      <c r="H39" s="29" t="s">
        <v>65</v>
      </c>
      <c r="I39" s="29" t="s">
        <v>43</v>
      </c>
      <c r="J39" s="29" t="s">
        <v>190</v>
      </c>
      <c r="K39" s="31">
        <v>7</v>
      </c>
      <c r="L39" s="29" t="s">
        <v>21</v>
      </c>
      <c r="M39" s="29" t="s">
        <v>22</v>
      </c>
      <c r="N39" s="31">
        <v>153.48</v>
      </c>
    </row>
    <row r="40" ht="29.75" spans="1:14">
      <c r="A40" s="29" t="s">
        <v>191</v>
      </c>
      <c r="B40" s="30">
        <v>45645</v>
      </c>
      <c r="C40" s="29" t="s">
        <v>192</v>
      </c>
      <c r="D40" s="29" t="s">
        <v>58</v>
      </c>
      <c r="E40" s="31">
        <v>1</v>
      </c>
      <c r="F40" s="31">
        <v>245.89</v>
      </c>
      <c r="G40" s="29" t="s">
        <v>193</v>
      </c>
      <c r="H40" s="29" t="s">
        <v>18</v>
      </c>
      <c r="I40" s="29" t="s">
        <v>50</v>
      </c>
      <c r="J40" s="29" t="s">
        <v>194</v>
      </c>
      <c r="K40" s="31">
        <v>3</v>
      </c>
      <c r="L40" s="29" t="s">
        <v>21</v>
      </c>
      <c r="M40" s="29" t="s">
        <v>76</v>
      </c>
      <c r="N40" s="31">
        <v>245.89</v>
      </c>
    </row>
    <row r="41" ht="29.75" spans="1:14">
      <c r="A41" s="29" t="s">
        <v>195</v>
      </c>
      <c r="B41" s="30">
        <v>45715</v>
      </c>
      <c r="C41" s="29" t="s">
        <v>196</v>
      </c>
      <c r="D41" s="29" t="s">
        <v>48</v>
      </c>
      <c r="E41" s="31">
        <v>3</v>
      </c>
      <c r="F41" s="31">
        <v>256.46</v>
      </c>
      <c r="G41" s="29" t="s">
        <v>197</v>
      </c>
      <c r="H41" s="29" t="s">
        <v>34</v>
      </c>
      <c r="I41" s="29" t="s">
        <v>50</v>
      </c>
      <c r="J41" s="29" t="s">
        <v>198</v>
      </c>
      <c r="K41" s="31">
        <v>4</v>
      </c>
      <c r="L41" s="29" t="s">
        <v>21</v>
      </c>
      <c r="M41" s="29" t="s">
        <v>29</v>
      </c>
      <c r="N41" s="31">
        <v>769.38</v>
      </c>
    </row>
    <row r="42" ht="29.75" spans="1:14">
      <c r="A42" s="29" t="s">
        <v>199</v>
      </c>
      <c r="B42" s="30">
        <v>45158</v>
      </c>
      <c r="C42" s="29" t="s">
        <v>200</v>
      </c>
      <c r="D42" s="29" t="s">
        <v>73</v>
      </c>
      <c r="E42" s="31">
        <v>2</v>
      </c>
      <c r="F42" s="31">
        <v>344.02</v>
      </c>
      <c r="G42" s="29" t="s">
        <v>201</v>
      </c>
      <c r="H42" s="29" t="s">
        <v>27</v>
      </c>
      <c r="I42" s="29" t="s">
        <v>50</v>
      </c>
      <c r="J42" s="29" t="s">
        <v>202</v>
      </c>
      <c r="K42" s="31">
        <v>4</v>
      </c>
      <c r="L42" s="29" t="s">
        <v>37</v>
      </c>
      <c r="M42" s="29" t="s">
        <v>22</v>
      </c>
      <c r="N42" s="31">
        <v>688.04</v>
      </c>
    </row>
    <row r="43" ht="29.75" spans="1:14">
      <c r="A43" s="29" t="s">
        <v>203</v>
      </c>
      <c r="B43" s="30">
        <v>45265</v>
      </c>
      <c r="C43" s="29" t="s">
        <v>204</v>
      </c>
      <c r="D43" s="29" t="s">
        <v>16</v>
      </c>
      <c r="E43" s="31">
        <v>3</v>
      </c>
      <c r="F43" s="31">
        <v>611.45</v>
      </c>
      <c r="G43" s="29" t="s">
        <v>205</v>
      </c>
      <c r="H43" s="29" t="s">
        <v>60</v>
      </c>
      <c r="I43" s="29" t="s">
        <v>89</v>
      </c>
      <c r="J43" s="29" t="s">
        <v>206</v>
      </c>
      <c r="K43" s="31">
        <v>4</v>
      </c>
      <c r="L43" s="29" t="s">
        <v>37</v>
      </c>
      <c r="M43" s="29" t="s">
        <v>22</v>
      </c>
      <c r="N43" s="31">
        <v>1834.35</v>
      </c>
    </row>
    <row r="44" ht="29.75" spans="1:14">
      <c r="A44" s="29" t="s">
        <v>207</v>
      </c>
      <c r="B44" s="30">
        <v>45418</v>
      </c>
      <c r="C44" s="29" t="s">
        <v>208</v>
      </c>
      <c r="D44" s="29" t="s">
        <v>48</v>
      </c>
      <c r="E44" s="31">
        <v>2</v>
      </c>
      <c r="F44" s="31">
        <v>151.66</v>
      </c>
      <c r="G44" s="29" t="s">
        <v>97</v>
      </c>
      <c r="H44" s="29" t="s">
        <v>65</v>
      </c>
      <c r="I44" s="29" t="s">
        <v>35</v>
      </c>
      <c r="J44" s="29" t="s">
        <v>209</v>
      </c>
      <c r="K44" s="31">
        <v>6</v>
      </c>
      <c r="L44" s="29"/>
      <c r="M44" s="29" t="s">
        <v>22</v>
      </c>
      <c r="N44" s="31">
        <v>303.32</v>
      </c>
    </row>
    <row r="45" ht="29.75" spans="1:14">
      <c r="A45" s="29" t="s">
        <v>210</v>
      </c>
      <c r="B45" s="30">
        <v>45274</v>
      </c>
      <c r="C45" s="29" t="s">
        <v>211</v>
      </c>
      <c r="D45" s="29" t="s">
        <v>41</v>
      </c>
      <c r="E45" s="31">
        <v>3</v>
      </c>
      <c r="F45" s="31">
        <v>499.21</v>
      </c>
      <c r="G45" s="29" t="s">
        <v>212</v>
      </c>
      <c r="H45" s="29" t="s">
        <v>27</v>
      </c>
      <c r="I45" s="29" t="s">
        <v>35</v>
      </c>
      <c r="J45" s="29" t="s">
        <v>213</v>
      </c>
      <c r="K45" s="31">
        <v>8</v>
      </c>
      <c r="L45" s="29"/>
      <c r="M45" s="29" t="s">
        <v>22</v>
      </c>
      <c r="N45" s="31">
        <v>1497.63</v>
      </c>
    </row>
    <row r="46" ht="29.75" spans="1:14">
      <c r="A46" s="29" t="s">
        <v>214</v>
      </c>
      <c r="B46" s="30">
        <v>45768</v>
      </c>
      <c r="C46" s="29" t="s">
        <v>215</v>
      </c>
      <c r="D46" s="29" t="s">
        <v>25</v>
      </c>
      <c r="E46" s="31">
        <v>2</v>
      </c>
      <c r="F46" s="31">
        <v>550.18</v>
      </c>
      <c r="G46" s="29" t="s">
        <v>165</v>
      </c>
      <c r="H46" s="29" t="s">
        <v>60</v>
      </c>
      <c r="I46" s="29" t="s">
        <v>43</v>
      </c>
      <c r="J46" s="29" t="s">
        <v>216</v>
      </c>
      <c r="K46" s="31">
        <v>3</v>
      </c>
      <c r="L46" s="29" t="s">
        <v>37</v>
      </c>
      <c r="M46" s="29" t="s">
        <v>29</v>
      </c>
      <c r="N46" s="31">
        <v>1100.36</v>
      </c>
    </row>
    <row r="47" ht="29.75" spans="1:14">
      <c r="A47" s="29" t="s">
        <v>217</v>
      </c>
      <c r="B47" s="30">
        <v>45332</v>
      </c>
      <c r="C47" s="29" t="s">
        <v>218</v>
      </c>
      <c r="D47" s="29" t="s">
        <v>41</v>
      </c>
      <c r="E47" s="31">
        <v>1</v>
      </c>
      <c r="F47" s="31">
        <v>317.25</v>
      </c>
      <c r="G47" s="29" t="s">
        <v>219</v>
      </c>
      <c r="H47" s="29" t="s">
        <v>18</v>
      </c>
      <c r="I47" s="29" t="s">
        <v>43</v>
      </c>
      <c r="J47" s="29" t="s">
        <v>220</v>
      </c>
      <c r="K47" s="31">
        <v>1</v>
      </c>
      <c r="L47" s="29" t="s">
        <v>21</v>
      </c>
      <c r="M47" s="29" t="s">
        <v>45</v>
      </c>
      <c r="N47" s="31">
        <v>317.25</v>
      </c>
    </row>
    <row r="48" ht="29.75" spans="1:14">
      <c r="A48" s="29" t="s">
        <v>221</v>
      </c>
      <c r="B48" s="30">
        <v>45469</v>
      </c>
      <c r="C48" s="29" t="s">
        <v>222</v>
      </c>
      <c r="D48" s="29" t="s">
        <v>16</v>
      </c>
      <c r="E48" s="31">
        <v>4</v>
      </c>
      <c r="F48" s="31">
        <v>550.14</v>
      </c>
      <c r="G48" s="29" t="s">
        <v>223</v>
      </c>
      <c r="H48" s="29" t="s">
        <v>18</v>
      </c>
      <c r="I48" s="29" t="s">
        <v>89</v>
      </c>
      <c r="J48" s="29" t="s">
        <v>224</v>
      </c>
      <c r="K48" s="31">
        <v>4</v>
      </c>
      <c r="L48" s="29" t="s">
        <v>37</v>
      </c>
      <c r="M48" s="29" t="s">
        <v>22</v>
      </c>
      <c r="N48" s="31">
        <v>2200.56</v>
      </c>
    </row>
    <row r="49" ht="29.75" spans="1:14">
      <c r="A49" s="29" t="s">
        <v>225</v>
      </c>
      <c r="B49" s="30">
        <v>45126</v>
      </c>
      <c r="C49" s="29" t="s">
        <v>226</v>
      </c>
      <c r="D49" s="29" t="s">
        <v>73</v>
      </c>
      <c r="E49" s="31">
        <v>2</v>
      </c>
      <c r="F49" s="31">
        <v>209.94</v>
      </c>
      <c r="G49" s="29" t="s">
        <v>227</v>
      </c>
      <c r="H49" s="29" t="s">
        <v>34</v>
      </c>
      <c r="I49" s="29" t="s">
        <v>43</v>
      </c>
      <c r="J49" s="29" t="s">
        <v>228</v>
      </c>
      <c r="K49" s="31">
        <v>3</v>
      </c>
      <c r="L49" s="29" t="s">
        <v>37</v>
      </c>
      <c r="M49" s="29" t="s">
        <v>38</v>
      </c>
      <c r="N49" s="31">
        <v>419.88</v>
      </c>
    </row>
    <row r="50" ht="29.75" spans="1:14">
      <c r="A50" s="29" t="s">
        <v>229</v>
      </c>
      <c r="B50" s="30">
        <v>45164</v>
      </c>
      <c r="C50" s="29" t="s">
        <v>230</v>
      </c>
      <c r="D50" s="29" t="s">
        <v>16</v>
      </c>
      <c r="E50" s="31">
        <v>2</v>
      </c>
      <c r="F50" s="31">
        <v>80.77</v>
      </c>
      <c r="G50" s="29" t="s">
        <v>231</v>
      </c>
      <c r="H50" s="29" t="s">
        <v>18</v>
      </c>
      <c r="I50" s="29" t="s">
        <v>19</v>
      </c>
      <c r="J50" s="29" t="s">
        <v>232</v>
      </c>
      <c r="K50" s="31">
        <v>4</v>
      </c>
      <c r="L50" s="29"/>
      <c r="M50" s="29" t="s">
        <v>76</v>
      </c>
      <c r="N50" s="31">
        <v>161.54</v>
      </c>
    </row>
    <row r="51" ht="29.75" spans="1:14">
      <c r="A51" s="29" t="s">
        <v>233</v>
      </c>
      <c r="B51" s="30">
        <v>45206</v>
      </c>
      <c r="C51" s="29" t="s">
        <v>234</v>
      </c>
      <c r="D51" s="29" t="s">
        <v>48</v>
      </c>
      <c r="E51" s="31">
        <v>1</v>
      </c>
      <c r="F51" s="31">
        <v>30.44</v>
      </c>
      <c r="G51" s="29" t="s">
        <v>129</v>
      </c>
      <c r="H51" s="29" t="s">
        <v>34</v>
      </c>
      <c r="I51" s="29" t="s">
        <v>19</v>
      </c>
      <c r="J51" s="29" t="s">
        <v>235</v>
      </c>
      <c r="K51" s="31">
        <v>1</v>
      </c>
      <c r="L51" s="29" t="s">
        <v>21</v>
      </c>
      <c r="M51" s="29" t="s">
        <v>38</v>
      </c>
      <c r="N51" s="31">
        <v>30.44</v>
      </c>
    </row>
    <row r="52" ht="29.75" spans="1:14">
      <c r="A52" s="29" t="s">
        <v>236</v>
      </c>
      <c r="B52" s="30">
        <v>45138</v>
      </c>
      <c r="C52" s="29" t="s">
        <v>237</v>
      </c>
      <c r="D52" s="29" t="s">
        <v>32</v>
      </c>
      <c r="E52" s="31">
        <v>1</v>
      </c>
      <c r="F52" s="31">
        <v>179.22</v>
      </c>
      <c r="G52" s="29" t="s">
        <v>238</v>
      </c>
      <c r="H52" s="29" t="s">
        <v>27</v>
      </c>
      <c r="I52" s="29" t="s">
        <v>35</v>
      </c>
      <c r="J52" s="29" t="s">
        <v>239</v>
      </c>
      <c r="K52" s="31">
        <v>6</v>
      </c>
      <c r="L52" s="29" t="s">
        <v>37</v>
      </c>
      <c r="M52" s="29" t="s">
        <v>22</v>
      </c>
      <c r="N52" s="31">
        <v>179.22</v>
      </c>
    </row>
    <row r="53" ht="29.75" spans="1:14">
      <c r="A53" s="29" t="s">
        <v>240</v>
      </c>
      <c r="B53" s="30">
        <v>45656</v>
      </c>
      <c r="C53" s="29" t="s">
        <v>241</v>
      </c>
      <c r="D53" s="29" t="s">
        <v>32</v>
      </c>
      <c r="E53" s="31">
        <v>1</v>
      </c>
      <c r="F53" s="31">
        <v>388.33</v>
      </c>
      <c r="G53" s="29" t="s">
        <v>242</v>
      </c>
      <c r="H53" s="29" t="s">
        <v>65</v>
      </c>
      <c r="I53" s="29" t="s">
        <v>43</v>
      </c>
      <c r="J53" s="29" t="s">
        <v>243</v>
      </c>
      <c r="K53" s="31">
        <v>2</v>
      </c>
      <c r="L53" s="29" t="s">
        <v>21</v>
      </c>
      <c r="M53" s="29" t="s">
        <v>45</v>
      </c>
      <c r="N53" s="31">
        <v>388.33</v>
      </c>
    </row>
    <row r="54" ht="29.75" spans="1:14">
      <c r="A54" s="29" t="s">
        <v>244</v>
      </c>
      <c r="B54" s="30">
        <v>45543</v>
      </c>
      <c r="C54" s="29" t="s">
        <v>245</v>
      </c>
      <c r="D54" s="29" t="s">
        <v>32</v>
      </c>
      <c r="E54" s="31">
        <v>1</v>
      </c>
      <c r="F54" s="31">
        <v>586.44</v>
      </c>
      <c r="G54" s="29" t="s">
        <v>246</v>
      </c>
      <c r="H54" s="29" t="s">
        <v>27</v>
      </c>
      <c r="I54" s="29" t="s">
        <v>43</v>
      </c>
      <c r="J54" s="29" t="s">
        <v>247</v>
      </c>
      <c r="K54" s="31">
        <v>5</v>
      </c>
      <c r="L54" s="29" t="s">
        <v>21</v>
      </c>
      <c r="M54" s="29" t="s">
        <v>45</v>
      </c>
      <c r="N54" s="31">
        <v>586.44</v>
      </c>
    </row>
    <row r="55" ht="29.75" spans="1:14">
      <c r="A55" s="29" t="s">
        <v>248</v>
      </c>
      <c r="B55" s="30">
        <v>45430</v>
      </c>
      <c r="C55" s="29" t="s">
        <v>249</v>
      </c>
      <c r="D55" s="29" t="s">
        <v>25</v>
      </c>
      <c r="E55" s="31">
        <v>4</v>
      </c>
      <c r="F55" s="31">
        <v>488.78</v>
      </c>
      <c r="G55" s="29" t="s">
        <v>33</v>
      </c>
      <c r="H55" s="29" t="s">
        <v>27</v>
      </c>
      <c r="I55" s="29" t="s">
        <v>43</v>
      </c>
      <c r="J55" s="29" t="s">
        <v>250</v>
      </c>
      <c r="K55" s="31">
        <v>5</v>
      </c>
      <c r="L55" s="29" t="s">
        <v>37</v>
      </c>
      <c r="M55" s="29" t="s">
        <v>76</v>
      </c>
      <c r="N55" s="31">
        <v>1955.12</v>
      </c>
    </row>
    <row r="56" ht="29.75" spans="1:14">
      <c r="A56" s="29" t="s">
        <v>251</v>
      </c>
      <c r="B56" s="30">
        <v>45743</v>
      </c>
      <c r="C56" s="29" t="s">
        <v>252</v>
      </c>
      <c r="D56" s="29" t="s">
        <v>41</v>
      </c>
      <c r="E56" s="31">
        <v>1</v>
      </c>
      <c r="F56" s="31">
        <v>280.25</v>
      </c>
      <c r="G56" s="29" t="s">
        <v>253</v>
      </c>
      <c r="H56" s="29" t="s">
        <v>27</v>
      </c>
      <c r="I56" s="29" t="s">
        <v>89</v>
      </c>
      <c r="J56" s="29" t="s">
        <v>254</v>
      </c>
      <c r="K56" s="31">
        <v>5</v>
      </c>
      <c r="L56" s="29" t="s">
        <v>81</v>
      </c>
      <c r="M56" s="29" t="s">
        <v>38</v>
      </c>
      <c r="N56" s="31">
        <v>280.25</v>
      </c>
    </row>
    <row r="57" ht="29.75" spans="1:14">
      <c r="A57" s="29" t="s">
        <v>255</v>
      </c>
      <c r="B57" s="30">
        <v>45832</v>
      </c>
      <c r="C57" s="29" t="s">
        <v>256</v>
      </c>
      <c r="D57" s="29" t="s">
        <v>48</v>
      </c>
      <c r="E57" s="31">
        <v>3</v>
      </c>
      <c r="F57" s="31">
        <v>344.4</v>
      </c>
      <c r="G57" s="29" t="s">
        <v>257</v>
      </c>
      <c r="H57" s="29" t="s">
        <v>27</v>
      </c>
      <c r="I57" s="29" t="s">
        <v>35</v>
      </c>
      <c r="J57" s="29" t="s">
        <v>258</v>
      </c>
      <c r="K57" s="31">
        <v>3</v>
      </c>
      <c r="L57" s="29"/>
      <c r="M57" s="29" t="s">
        <v>45</v>
      </c>
      <c r="N57" s="31">
        <v>1033.2</v>
      </c>
    </row>
    <row r="58" ht="29.75" spans="1:14">
      <c r="A58" s="29" t="s">
        <v>259</v>
      </c>
      <c r="B58" s="30">
        <v>45067</v>
      </c>
      <c r="C58" s="29" t="s">
        <v>260</v>
      </c>
      <c r="D58" s="29" t="s">
        <v>32</v>
      </c>
      <c r="E58" s="31">
        <v>3</v>
      </c>
      <c r="F58" s="31">
        <v>479.21</v>
      </c>
      <c r="G58" s="29" t="s">
        <v>261</v>
      </c>
      <c r="H58" s="29" t="s">
        <v>65</v>
      </c>
      <c r="I58" s="29" t="s">
        <v>35</v>
      </c>
      <c r="J58" s="29" t="s">
        <v>262</v>
      </c>
      <c r="K58" s="31">
        <v>5</v>
      </c>
      <c r="L58" s="29" t="s">
        <v>81</v>
      </c>
      <c r="M58" s="29" t="s">
        <v>29</v>
      </c>
      <c r="N58" s="31">
        <v>1437.63</v>
      </c>
    </row>
    <row r="59" ht="29.75" spans="1:14">
      <c r="A59" s="29" t="s">
        <v>263</v>
      </c>
      <c r="B59" s="30">
        <v>44948</v>
      </c>
      <c r="C59" s="29" t="s">
        <v>264</v>
      </c>
      <c r="D59" s="29" t="s">
        <v>48</v>
      </c>
      <c r="E59" s="31">
        <v>5</v>
      </c>
      <c r="F59" s="31">
        <v>314.27</v>
      </c>
      <c r="G59" s="29" t="s">
        <v>265</v>
      </c>
      <c r="H59" s="29" t="s">
        <v>65</v>
      </c>
      <c r="I59" s="29" t="s">
        <v>43</v>
      </c>
      <c r="J59" s="29" t="s">
        <v>266</v>
      </c>
      <c r="K59" s="31">
        <v>6</v>
      </c>
      <c r="L59" s="29" t="s">
        <v>21</v>
      </c>
      <c r="M59" s="29" t="s">
        <v>22</v>
      </c>
      <c r="N59" s="31">
        <v>1571.35</v>
      </c>
    </row>
    <row r="60" ht="29.75" spans="1:14">
      <c r="A60" s="29" t="s">
        <v>267</v>
      </c>
      <c r="B60" s="30">
        <v>44941</v>
      </c>
      <c r="C60" s="29" t="s">
        <v>268</v>
      </c>
      <c r="D60" s="29" t="s">
        <v>25</v>
      </c>
      <c r="E60" s="31">
        <v>4</v>
      </c>
      <c r="F60" s="31">
        <v>474.69</v>
      </c>
      <c r="G60" s="29" t="s">
        <v>269</v>
      </c>
      <c r="H60" s="29" t="s">
        <v>60</v>
      </c>
      <c r="I60" s="29" t="s">
        <v>35</v>
      </c>
      <c r="J60" s="29" t="s">
        <v>270</v>
      </c>
      <c r="K60" s="31">
        <v>6</v>
      </c>
      <c r="L60" s="29" t="s">
        <v>21</v>
      </c>
      <c r="M60" s="29" t="s">
        <v>76</v>
      </c>
      <c r="N60" s="31">
        <v>1898.76</v>
      </c>
    </row>
    <row r="61" ht="29.75" spans="1:14">
      <c r="A61" s="29" t="s">
        <v>271</v>
      </c>
      <c r="B61" s="30">
        <v>45546</v>
      </c>
      <c r="C61" s="29" t="s">
        <v>272</v>
      </c>
      <c r="D61" s="29" t="s">
        <v>41</v>
      </c>
      <c r="E61" s="31">
        <v>4</v>
      </c>
      <c r="F61" s="31">
        <v>593.27</v>
      </c>
      <c r="G61" s="29" t="s">
        <v>273</v>
      </c>
      <c r="H61" s="29" t="s">
        <v>27</v>
      </c>
      <c r="I61" s="29" t="s">
        <v>19</v>
      </c>
      <c r="J61" s="29" t="s">
        <v>274</v>
      </c>
      <c r="K61" s="31">
        <v>5</v>
      </c>
      <c r="L61" s="29"/>
      <c r="M61" s="29" t="s">
        <v>45</v>
      </c>
      <c r="N61" s="31">
        <v>2373.08</v>
      </c>
    </row>
    <row r="62" ht="29.75" spans="1:14">
      <c r="A62" s="29" t="s">
        <v>275</v>
      </c>
      <c r="B62" s="30">
        <v>45525</v>
      </c>
      <c r="C62" s="29" t="s">
        <v>276</v>
      </c>
      <c r="D62" s="29" t="s">
        <v>73</v>
      </c>
      <c r="E62" s="31">
        <v>1</v>
      </c>
      <c r="F62" s="31">
        <v>417.1</v>
      </c>
      <c r="G62" s="29" t="s">
        <v>277</v>
      </c>
      <c r="H62" s="29" t="s">
        <v>18</v>
      </c>
      <c r="I62" s="29" t="s">
        <v>43</v>
      </c>
      <c r="J62" s="29" t="s">
        <v>278</v>
      </c>
      <c r="K62" s="31">
        <v>3</v>
      </c>
      <c r="L62" s="29" t="s">
        <v>37</v>
      </c>
      <c r="M62" s="29" t="s">
        <v>29</v>
      </c>
      <c r="N62" s="31">
        <v>417.1</v>
      </c>
    </row>
    <row r="63" ht="29.75" spans="1:14">
      <c r="A63" s="29" t="s">
        <v>279</v>
      </c>
      <c r="B63" s="30">
        <v>45375</v>
      </c>
      <c r="C63" s="29" t="s">
        <v>280</v>
      </c>
      <c r="D63" s="29" t="s">
        <v>73</v>
      </c>
      <c r="E63" s="31">
        <v>4</v>
      </c>
      <c r="F63" s="31">
        <v>122.2</v>
      </c>
      <c r="G63" s="29" t="s">
        <v>281</v>
      </c>
      <c r="H63" s="29" t="s">
        <v>65</v>
      </c>
      <c r="I63" s="29" t="s">
        <v>50</v>
      </c>
      <c r="J63" s="29" t="s">
        <v>282</v>
      </c>
      <c r="K63" s="31">
        <v>7</v>
      </c>
      <c r="L63" s="29" t="s">
        <v>37</v>
      </c>
      <c r="M63" s="29" t="s">
        <v>45</v>
      </c>
      <c r="N63" s="31">
        <v>488.8</v>
      </c>
    </row>
    <row r="64" ht="29.75" spans="1:14">
      <c r="A64" s="29" t="s">
        <v>283</v>
      </c>
      <c r="B64" s="30">
        <v>45160</v>
      </c>
      <c r="C64" s="29" t="s">
        <v>284</v>
      </c>
      <c r="D64" s="29" t="s">
        <v>73</v>
      </c>
      <c r="E64" s="31">
        <v>2</v>
      </c>
      <c r="F64" s="31">
        <v>43.15</v>
      </c>
      <c r="G64" s="29" t="s">
        <v>285</v>
      </c>
      <c r="H64" s="29" t="s">
        <v>18</v>
      </c>
      <c r="I64" s="29" t="s">
        <v>89</v>
      </c>
      <c r="J64" s="29" t="s">
        <v>286</v>
      </c>
      <c r="K64" s="31">
        <v>3</v>
      </c>
      <c r="L64" s="29" t="s">
        <v>81</v>
      </c>
      <c r="M64" s="29" t="s">
        <v>38</v>
      </c>
      <c r="N64" s="31">
        <v>86.3</v>
      </c>
    </row>
    <row r="65" ht="29.75" spans="1:14">
      <c r="A65" s="29" t="s">
        <v>287</v>
      </c>
      <c r="B65" s="30">
        <v>45690</v>
      </c>
      <c r="C65" s="29" t="s">
        <v>288</v>
      </c>
      <c r="D65" s="29" t="s">
        <v>41</v>
      </c>
      <c r="E65" s="31">
        <v>1</v>
      </c>
      <c r="F65" s="31">
        <v>564.86</v>
      </c>
      <c r="G65" s="29" t="s">
        <v>289</v>
      </c>
      <c r="H65" s="29" t="s">
        <v>18</v>
      </c>
      <c r="I65" s="29" t="s">
        <v>19</v>
      </c>
      <c r="J65" s="29" t="s">
        <v>290</v>
      </c>
      <c r="K65" s="31">
        <v>6</v>
      </c>
      <c r="L65" s="29" t="s">
        <v>81</v>
      </c>
      <c r="M65" s="29" t="s">
        <v>29</v>
      </c>
      <c r="N65" s="31">
        <v>564.86</v>
      </c>
    </row>
    <row r="66" ht="29.75" spans="1:14">
      <c r="A66" s="29" t="s">
        <v>291</v>
      </c>
      <c r="B66" s="30">
        <v>45833</v>
      </c>
      <c r="C66" s="29" t="s">
        <v>292</v>
      </c>
      <c r="D66" s="29" t="s">
        <v>48</v>
      </c>
      <c r="E66" s="31">
        <v>3</v>
      </c>
      <c r="F66" s="31">
        <v>130.61</v>
      </c>
      <c r="G66" s="29" t="s">
        <v>293</v>
      </c>
      <c r="H66" s="29" t="s">
        <v>18</v>
      </c>
      <c r="I66" s="29" t="s">
        <v>35</v>
      </c>
      <c r="J66" s="29" t="s">
        <v>294</v>
      </c>
      <c r="K66" s="31">
        <v>4</v>
      </c>
      <c r="L66" s="29" t="s">
        <v>37</v>
      </c>
      <c r="M66" s="29" t="s">
        <v>45</v>
      </c>
      <c r="N66" s="31">
        <v>391.83</v>
      </c>
    </row>
    <row r="67" ht="29.75" spans="1:14">
      <c r="A67" s="29" t="s">
        <v>295</v>
      </c>
      <c r="B67" s="30">
        <v>45290</v>
      </c>
      <c r="C67" s="29" t="s">
        <v>296</v>
      </c>
      <c r="D67" s="29" t="s">
        <v>16</v>
      </c>
      <c r="E67" s="31">
        <v>5</v>
      </c>
      <c r="F67" s="31">
        <v>81.7</v>
      </c>
      <c r="G67" s="29" t="s">
        <v>297</v>
      </c>
      <c r="H67" s="29" t="s">
        <v>34</v>
      </c>
      <c r="I67" s="29" t="s">
        <v>50</v>
      </c>
      <c r="J67" s="29" t="s">
        <v>298</v>
      </c>
      <c r="K67" s="31">
        <v>6</v>
      </c>
      <c r="L67" s="29"/>
      <c r="M67" s="29" t="s">
        <v>22</v>
      </c>
      <c r="N67" s="31">
        <v>408.5</v>
      </c>
    </row>
    <row r="68" ht="29.75" spans="1:14">
      <c r="A68" s="29" t="s">
        <v>299</v>
      </c>
      <c r="B68" s="30">
        <v>45611</v>
      </c>
      <c r="C68" s="29" t="s">
        <v>300</v>
      </c>
      <c r="D68" s="29" t="s">
        <v>41</v>
      </c>
      <c r="E68" s="31">
        <v>5</v>
      </c>
      <c r="F68" s="31">
        <v>127.18</v>
      </c>
      <c r="G68" s="29" t="s">
        <v>301</v>
      </c>
      <c r="H68" s="29" t="s">
        <v>65</v>
      </c>
      <c r="I68" s="29" t="s">
        <v>35</v>
      </c>
      <c r="J68" s="29" t="s">
        <v>302</v>
      </c>
      <c r="K68" s="31">
        <v>9</v>
      </c>
      <c r="L68" s="29" t="s">
        <v>21</v>
      </c>
      <c r="M68" s="29" t="s">
        <v>29</v>
      </c>
      <c r="N68" s="31">
        <v>635.9</v>
      </c>
    </row>
    <row r="69" ht="29.75" spans="1:14">
      <c r="A69" s="29" t="s">
        <v>303</v>
      </c>
      <c r="B69" s="30">
        <v>45635</v>
      </c>
      <c r="C69" s="29" t="s">
        <v>304</v>
      </c>
      <c r="D69" s="29" t="s">
        <v>48</v>
      </c>
      <c r="E69" s="31">
        <v>4</v>
      </c>
      <c r="F69" s="31">
        <v>12.1</v>
      </c>
      <c r="G69" s="29" t="s">
        <v>305</v>
      </c>
      <c r="H69" s="29" t="s">
        <v>18</v>
      </c>
      <c r="I69" s="29" t="s">
        <v>35</v>
      </c>
      <c r="J69" s="29" t="s">
        <v>306</v>
      </c>
      <c r="K69" s="31">
        <v>8</v>
      </c>
      <c r="L69" s="29"/>
      <c r="M69" s="29" t="s">
        <v>76</v>
      </c>
      <c r="N69" s="31">
        <v>48.4</v>
      </c>
    </row>
    <row r="70" ht="29.75" spans="1:14">
      <c r="A70" s="29" t="s">
        <v>307</v>
      </c>
      <c r="B70" s="30">
        <v>45271</v>
      </c>
      <c r="C70" s="29" t="s">
        <v>308</v>
      </c>
      <c r="D70" s="29" t="s">
        <v>41</v>
      </c>
      <c r="E70" s="31">
        <v>3</v>
      </c>
      <c r="F70" s="31">
        <v>490.92</v>
      </c>
      <c r="G70" s="29" t="s">
        <v>141</v>
      </c>
      <c r="H70" s="29" t="s">
        <v>34</v>
      </c>
      <c r="I70" s="29" t="s">
        <v>89</v>
      </c>
      <c r="J70" s="29" t="s">
        <v>309</v>
      </c>
      <c r="K70" s="31">
        <v>5</v>
      </c>
      <c r="L70" s="29" t="s">
        <v>37</v>
      </c>
      <c r="M70" s="29" t="s">
        <v>38</v>
      </c>
      <c r="N70" s="31">
        <v>1472.76</v>
      </c>
    </row>
    <row r="71" ht="29.75" spans="1:14">
      <c r="A71" s="29" t="s">
        <v>310</v>
      </c>
      <c r="B71" s="30">
        <v>45057</v>
      </c>
      <c r="C71" s="29" t="s">
        <v>311</v>
      </c>
      <c r="D71" s="29" t="s">
        <v>16</v>
      </c>
      <c r="E71" s="31">
        <v>3</v>
      </c>
      <c r="F71" s="31">
        <v>478.65</v>
      </c>
      <c r="G71" s="29" t="s">
        <v>312</v>
      </c>
      <c r="H71" s="29" t="s">
        <v>27</v>
      </c>
      <c r="I71" s="29" t="s">
        <v>19</v>
      </c>
      <c r="J71" s="29" t="s">
        <v>313</v>
      </c>
      <c r="K71" s="31">
        <v>4</v>
      </c>
      <c r="L71" s="29"/>
      <c r="M71" s="29" t="s">
        <v>29</v>
      </c>
      <c r="N71" s="31">
        <v>1435.95</v>
      </c>
    </row>
    <row r="72" ht="29.75" spans="1:14">
      <c r="A72" s="29" t="s">
        <v>314</v>
      </c>
      <c r="B72" s="30">
        <v>45072</v>
      </c>
      <c r="C72" s="29" t="s">
        <v>315</v>
      </c>
      <c r="D72" s="29" t="s">
        <v>73</v>
      </c>
      <c r="E72" s="31">
        <v>1</v>
      </c>
      <c r="F72" s="31">
        <v>629.21</v>
      </c>
      <c r="G72" s="29" t="s">
        <v>316</v>
      </c>
      <c r="H72" s="29" t="s">
        <v>60</v>
      </c>
      <c r="I72" s="29" t="s">
        <v>89</v>
      </c>
      <c r="J72" s="29" t="s">
        <v>317</v>
      </c>
      <c r="K72" s="31">
        <v>2</v>
      </c>
      <c r="L72" s="29" t="s">
        <v>37</v>
      </c>
      <c r="M72" s="29" t="s">
        <v>22</v>
      </c>
      <c r="N72" s="31">
        <v>629.21</v>
      </c>
    </row>
    <row r="73" ht="29.75" spans="1:14">
      <c r="A73" s="29" t="s">
        <v>318</v>
      </c>
      <c r="B73" s="30">
        <v>45818</v>
      </c>
      <c r="C73" s="29" t="s">
        <v>319</v>
      </c>
      <c r="D73" s="29" t="s">
        <v>16</v>
      </c>
      <c r="E73" s="31">
        <v>3</v>
      </c>
      <c r="F73" s="31">
        <v>434.45</v>
      </c>
      <c r="G73" s="29" t="s">
        <v>320</v>
      </c>
      <c r="H73" s="29" t="s">
        <v>34</v>
      </c>
      <c r="I73" s="29" t="s">
        <v>89</v>
      </c>
      <c r="J73" s="29" t="s">
        <v>321</v>
      </c>
      <c r="K73" s="31">
        <v>4</v>
      </c>
      <c r="L73" s="29"/>
      <c r="M73" s="29" t="s">
        <v>29</v>
      </c>
      <c r="N73" s="31">
        <v>1303.35</v>
      </c>
    </row>
    <row r="74" ht="29.75" spans="1:14">
      <c r="A74" s="29" t="s">
        <v>322</v>
      </c>
      <c r="B74" s="30">
        <v>45648</v>
      </c>
      <c r="C74" s="29" t="s">
        <v>323</v>
      </c>
      <c r="D74" s="29" t="s">
        <v>32</v>
      </c>
      <c r="E74" s="31">
        <v>4</v>
      </c>
      <c r="F74" s="31">
        <v>589.44</v>
      </c>
      <c r="G74" s="29" t="s">
        <v>101</v>
      </c>
      <c r="H74" s="29" t="s">
        <v>60</v>
      </c>
      <c r="I74" s="29" t="s">
        <v>43</v>
      </c>
      <c r="J74" s="29" t="s">
        <v>324</v>
      </c>
      <c r="K74" s="31">
        <v>5</v>
      </c>
      <c r="L74" s="29"/>
      <c r="M74" s="29" t="s">
        <v>45</v>
      </c>
      <c r="N74" s="31">
        <v>2357.76</v>
      </c>
    </row>
    <row r="75" ht="29.75" spans="1:14">
      <c r="A75" s="29" t="s">
        <v>325</v>
      </c>
      <c r="B75" s="30">
        <v>45049</v>
      </c>
      <c r="C75" s="29" t="s">
        <v>326</v>
      </c>
      <c r="D75" s="29" t="s">
        <v>16</v>
      </c>
      <c r="E75" s="31">
        <v>4</v>
      </c>
      <c r="F75" s="31">
        <v>433.45</v>
      </c>
      <c r="G75" s="29" t="s">
        <v>327</v>
      </c>
      <c r="H75" s="29" t="s">
        <v>60</v>
      </c>
      <c r="I75" s="29" t="s">
        <v>35</v>
      </c>
      <c r="J75" s="29" t="s">
        <v>328</v>
      </c>
      <c r="K75" s="31">
        <v>4</v>
      </c>
      <c r="L75" s="29"/>
      <c r="M75" s="29" t="s">
        <v>45</v>
      </c>
      <c r="N75" s="31">
        <v>1733.8</v>
      </c>
    </row>
    <row r="76" ht="29.75" spans="1:14">
      <c r="A76" s="29" t="s">
        <v>329</v>
      </c>
      <c r="B76" s="30">
        <v>45101</v>
      </c>
      <c r="C76" s="29" t="s">
        <v>330</v>
      </c>
      <c r="D76" s="29" t="s">
        <v>25</v>
      </c>
      <c r="E76" s="31">
        <v>5</v>
      </c>
      <c r="F76" s="31">
        <v>90.87</v>
      </c>
      <c r="G76" s="29" t="s">
        <v>331</v>
      </c>
      <c r="H76" s="29" t="s">
        <v>65</v>
      </c>
      <c r="I76" s="29" t="s">
        <v>89</v>
      </c>
      <c r="J76" s="29" t="s">
        <v>332</v>
      </c>
      <c r="K76" s="31">
        <v>5</v>
      </c>
      <c r="L76" s="29"/>
      <c r="M76" s="29" t="s">
        <v>22</v>
      </c>
      <c r="N76" s="31">
        <v>454.35</v>
      </c>
    </row>
    <row r="77" ht="29.75" spans="1:14">
      <c r="A77" s="29" t="s">
        <v>333</v>
      </c>
      <c r="B77" s="30">
        <v>45195</v>
      </c>
      <c r="C77" s="29" t="s">
        <v>334</v>
      </c>
      <c r="D77" s="29" t="s">
        <v>32</v>
      </c>
      <c r="E77" s="31">
        <v>3</v>
      </c>
      <c r="F77" s="31">
        <v>398.17</v>
      </c>
      <c r="G77" s="29" t="s">
        <v>335</v>
      </c>
      <c r="H77" s="29" t="s">
        <v>18</v>
      </c>
      <c r="I77" s="29" t="s">
        <v>50</v>
      </c>
      <c r="J77" s="29" t="s">
        <v>336</v>
      </c>
      <c r="K77" s="31">
        <v>5</v>
      </c>
      <c r="L77" s="29" t="s">
        <v>21</v>
      </c>
      <c r="M77" s="29" t="s">
        <v>38</v>
      </c>
      <c r="N77" s="31">
        <v>1194.51</v>
      </c>
    </row>
    <row r="78" ht="29.75" spans="1:14">
      <c r="A78" s="29" t="s">
        <v>337</v>
      </c>
      <c r="B78" s="30">
        <v>45382</v>
      </c>
      <c r="C78" s="29" t="s">
        <v>338</v>
      </c>
      <c r="D78" s="29" t="s">
        <v>58</v>
      </c>
      <c r="E78" s="31">
        <v>4</v>
      </c>
      <c r="F78" s="31">
        <v>382.88</v>
      </c>
      <c r="G78" s="29" t="s">
        <v>339</v>
      </c>
      <c r="H78" s="29" t="s">
        <v>65</v>
      </c>
      <c r="I78" s="29" t="s">
        <v>35</v>
      </c>
      <c r="J78" s="29" t="s">
        <v>340</v>
      </c>
      <c r="K78" s="31">
        <v>6</v>
      </c>
      <c r="L78" s="29" t="s">
        <v>81</v>
      </c>
      <c r="M78" s="29" t="s">
        <v>38</v>
      </c>
      <c r="N78" s="31">
        <v>1531.52</v>
      </c>
    </row>
    <row r="79" ht="29.75" spans="1:14">
      <c r="A79" s="29" t="s">
        <v>341</v>
      </c>
      <c r="B79" s="30">
        <v>45436</v>
      </c>
      <c r="C79" s="29" t="s">
        <v>342</v>
      </c>
      <c r="D79" s="29" t="s">
        <v>25</v>
      </c>
      <c r="E79" s="31">
        <v>1</v>
      </c>
      <c r="F79" s="31">
        <v>583.18</v>
      </c>
      <c r="G79" s="29" t="s">
        <v>343</v>
      </c>
      <c r="H79" s="29" t="s">
        <v>34</v>
      </c>
      <c r="I79" s="29" t="s">
        <v>43</v>
      </c>
      <c r="J79" s="29" t="s">
        <v>344</v>
      </c>
      <c r="K79" s="31">
        <v>5</v>
      </c>
      <c r="L79" s="29"/>
      <c r="M79" s="29" t="s">
        <v>76</v>
      </c>
      <c r="N79" s="31">
        <v>583.18</v>
      </c>
    </row>
    <row r="80" ht="29.75" spans="1:14">
      <c r="A80" s="29" t="s">
        <v>345</v>
      </c>
      <c r="B80" s="30">
        <v>45510</v>
      </c>
      <c r="C80" s="29" t="s">
        <v>346</v>
      </c>
      <c r="D80" s="29" t="s">
        <v>48</v>
      </c>
      <c r="E80" s="31">
        <v>4</v>
      </c>
      <c r="F80" s="31">
        <v>175.36</v>
      </c>
      <c r="G80" s="29" t="s">
        <v>347</v>
      </c>
      <c r="H80" s="29" t="s">
        <v>18</v>
      </c>
      <c r="I80" s="29" t="s">
        <v>50</v>
      </c>
      <c r="J80" s="29" t="s">
        <v>348</v>
      </c>
      <c r="K80" s="31">
        <v>4</v>
      </c>
      <c r="L80" s="29" t="s">
        <v>37</v>
      </c>
      <c r="M80" s="29" t="s">
        <v>22</v>
      </c>
      <c r="N80" s="31">
        <v>701.44</v>
      </c>
    </row>
    <row r="81" ht="29.75" spans="1:14">
      <c r="A81" s="29" t="s">
        <v>349</v>
      </c>
      <c r="B81" s="30">
        <v>45726</v>
      </c>
      <c r="C81" s="29" t="s">
        <v>350</v>
      </c>
      <c r="D81" s="29" t="s">
        <v>32</v>
      </c>
      <c r="E81" s="31">
        <v>2</v>
      </c>
      <c r="F81" s="31">
        <v>311.91</v>
      </c>
      <c r="G81" s="29" t="s">
        <v>351</v>
      </c>
      <c r="H81" s="29" t="s">
        <v>27</v>
      </c>
      <c r="I81" s="29" t="s">
        <v>19</v>
      </c>
      <c r="J81" s="29" t="s">
        <v>352</v>
      </c>
      <c r="K81" s="31">
        <v>2</v>
      </c>
      <c r="L81" s="29"/>
      <c r="M81" s="29" t="s">
        <v>45</v>
      </c>
      <c r="N81" s="31">
        <v>623.82</v>
      </c>
    </row>
    <row r="82" ht="29.75" spans="1:14">
      <c r="A82" s="29" t="s">
        <v>353</v>
      </c>
      <c r="B82" s="30">
        <v>45104</v>
      </c>
      <c r="C82" s="29" t="s">
        <v>354</v>
      </c>
      <c r="D82" s="29" t="s">
        <v>25</v>
      </c>
      <c r="E82" s="31">
        <v>3</v>
      </c>
      <c r="F82" s="31">
        <v>589.56</v>
      </c>
      <c r="G82" s="29" t="s">
        <v>355</v>
      </c>
      <c r="H82" s="29" t="s">
        <v>27</v>
      </c>
      <c r="I82" s="29" t="s">
        <v>43</v>
      </c>
      <c r="J82" s="29" t="s">
        <v>356</v>
      </c>
      <c r="K82" s="31">
        <v>6</v>
      </c>
      <c r="L82" s="29"/>
      <c r="M82" s="29" t="s">
        <v>45</v>
      </c>
      <c r="N82" s="31">
        <v>1768.68</v>
      </c>
    </row>
    <row r="83" ht="29.75" spans="1:14">
      <c r="A83" s="29" t="s">
        <v>357</v>
      </c>
      <c r="B83" s="30">
        <v>45085</v>
      </c>
      <c r="C83" s="29" t="s">
        <v>358</v>
      </c>
      <c r="D83" s="29" t="s">
        <v>16</v>
      </c>
      <c r="E83" s="31">
        <v>2</v>
      </c>
      <c r="F83" s="31">
        <v>394.3</v>
      </c>
      <c r="G83" s="29" t="s">
        <v>359</v>
      </c>
      <c r="H83" s="29" t="s">
        <v>65</v>
      </c>
      <c r="I83" s="29" t="s">
        <v>19</v>
      </c>
      <c r="J83" s="29" t="s">
        <v>360</v>
      </c>
      <c r="K83" s="31">
        <v>6</v>
      </c>
      <c r="L83" s="29" t="s">
        <v>37</v>
      </c>
      <c r="M83" s="29" t="s">
        <v>38</v>
      </c>
      <c r="N83" s="31">
        <v>788.6</v>
      </c>
    </row>
    <row r="84" ht="29.75" spans="1:14">
      <c r="A84" s="29" t="s">
        <v>361</v>
      </c>
      <c r="B84" s="30">
        <v>45296</v>
      </c>
      <c r="C84" s="29" t="s">
        <v>362</v>
      </c>
      <c r="D84" s="29" t="s">
        <v>32</v>
      </c>
      <c r="E84" s="31">
        <v>4</v>
      </c>
      <c r="F84" s="31">
        <v>565.2</v>
      </c>
      <c r="G84" s="29" t="s">
        <v>363</v>
      </c>
      <c r="H84" s="29" t="s">
        <v>18</v>
      </c>
      <c r="I84" s="29" t="s">
        <v>19</v>
      </c>
      <c r="J84" s="29" t="s">
        <v>364</v>
      </c>
      <c r="K84" s="31">
        <v>9</v>
      </c>
      <c r="L84" s="29" t="s">
        <v>21</v>
      </c>
      <c r="M84" s="29" t="s">
        <v>76</v>
      </c>
      <c r="N84" s="31">
        <v>2260.8</v>
      </c>
    </row>
    <row r="85" ht="29.75" spans="1:14">
      <c r="A85" s="29" t="s">
        <v>365</v>
      </c>
      <c r="B85" s="30">
        <v>45160</v>
      </c>
      <c r="C85" s="29" t="s">
        <v>366</v>
      </c>
      <c r="D85" s="29" t="s">
        <v>58</v>
      </c>
      <c r="E85" s="31">
        <v>4</v>
      </c>
      <c r="F85" s="31">
        <v>540.41</v>
      </c>
      <c r="G85" s="29" t="s">
        <v>367</v>
      </c>
      <c r="H85" s="29" t="s">
        <v>34</v>
      </c>
      <c r="I85" s="29" t="s">
        <v>35</v>
      </c>
      <c r="J85" s="29" t="s">
        <v>368</v>
      </c>
      <c r="K85" s="31">
        <v>6</v>
      </c>
      <c r="L85" s="29"/>
      <c r="M85" s="29" t="s">
        <v>29</v>
      </c>
      <c r="N85" s="31">
        <v>2161.64</v>
      </c>
    </row>
    <row r="86" ht="29.75" spans="1:14">
      <c r="A86" s="29" t="s">
        <v>369</v>
      </c>
      <c r="B86" s="30">
        <v>45166</v>
      </c>
      <c r="C86" s="29" t="s">
        <v>370</v>
      </c>
      <c r="D86" s="29" t="s">
        <v>16</v>
      </c>
      <c r="E86" s="31">
        <v>2</v>
      </c>
      <c r="F86" s="31">
        <v>165.49</v>
      </c>
      <c r="G86" s="29" t="s">
        <v>371</v>
      </c>
      <c r="H86" s="29" t="s">
        <v>27</v>
      </c>
      <c r="I86" s="29" t="s">
        <v>19</v>
      </c>
      <c r="J86" s="29" t="s">
        <v>372</v>
      </c>
      <c r="K86" s="31">
        <v>4</v>
      </c>
      <c r="L86" s="29" t="s">
        <v>81</v>
      </c>
      <c r="M86" s="29" t="s">
        <v>22</v>
      </c>
      <c r="N86" s="31">
        <v>330.98</v>
      </c>
    </row>
    <row r="87" ht="29.75" spans="1:14">
      <c r="A87" s="29" t="s">
        <v>373</v>
      </c>
      <c r="B87" s="30">
        <v>45544</v>
      </c>
      <c r="C87" s="29" t="s">
        <v>374</v>
      </c>
      <c r="D87" s="29" t="s">
        <v>32</v>
      </c>
      <c r="E87" s="31">
        <v>3</v>
      </c>
      <c r="F87" s="31">
        <v>146.73</v>
      </c>
      <c r="G87" s="29" t="s">
        <v>375</v>
      </c>
      <c r="H87" s="29" t="s">
        <v>65</v>
      </c>
      <c r="I87" s="29" t="s">
        <v>50</v>
      </c>
      <c r="J87" s="29" t="s">
        <v>376</v>
      </c>
      <c r="K87" s="31">
        <v>8</v>
      </c>
      <c r="L87" s="29" t="s">
        <v>37</v>
      </c>
      <c r="M87" s="29" t="s">
        <v>38</v>
      </c>
      <c r="N87" s="31">
        <v>440.19</v>
      </c>
    </row>
    <row r="88" ht="29.75" spans="1:14">
      <c r="A88" s="29" t="s">
        <v>377</v>
      </c>
      <c r="B88" s="30">
        <v>45462</v>
      </c>
      <c r="C88" s="29" t="s">
        <v>378</v>
      </c>
      <c r="D88" s="29" t="s">
        <v>48</v>
      </c>
      <c r="E88" s="31">
        <v>5</v>
      </c>
      <c r="F88" s="31">
        <v>643.03</v>
      </c>
      <c r="G88" s="29" t="s">
        <v>379</v>
      </c>
      <c r="H88" s="29" t="s">
        <v>27</v>
      </c>
      <c r="I88" s="29" t="s">
        <v>35</v>
      </c>
      <c r="J88" s="29" t="s">
        <v>380</v>
      </c>
      <c r="K88" s="31">
        <v>5</v>
      </c>
      <c r="L88" s="29" t="s">
        <v>37</v>
      </c>
      <c r="M88" s="29" t="s">
        <v>29</v>
      </c>
      <c r="N88" s="31">
        <v>3215.15</v>
      </c>
    </row>
    <row r="89" ht="29.75" spans="1:14">
      <c r="A89" s="29" t="s">
        <v>381</v>
      </c>
      <c r="B89" s="30">
        <v>45575</v>
      </c>
      <c r="C89" s="29" t="s">
        <v>382</v>
      </c>
      <c r="D89" s="29" t="s">
        <v>32</v>
      </c>
      <c r="E89" s="31">
        <v>3</v>
      </c>
      <c r="F89" s="31">
        <v>225.11</v>
      </c>
      <c r="G89" s="29" t="s">
        <v>383</v>
      </c>
      <c r="H89" s="29" t="s">
        <v>65</v>
      </c>
      <c r="I89" s="29" t="s">
        <v>19</v>
      </c>
      <c r="J89" s="29" t="s">
        <v>384</v>
      </c>
      <c r="K89" s="31">
        <v>4</v>
      </c>
      <c r="L89" s="29" t="s">
        <v>21</v>
      </c>
      <c r="M89" s="29" t="s">
        <v>45</v>
      </c>
      <c r="N89" s="31">
        <v>675.33</v>
      </c>
    </row>
    <row r="90" ht="29.75" spans="1:14">
      <c r="A90" s="29" t="s">
        <v>385</v>
      </c>
      <c r="B90" s="30">
        <v>45813</v>
      </c>
      <c r="C90" s="29" t="s">
        <v>386</v>
      </c>
      <c r="D90" s="29" t="s">
        <v>73</v>
      </c>
      <c r="E90" s="31">
        <v>3</v>
      </c>
      <c r="F90" s="31">
        <v>114.81</v>
      </c>
      <c r="G90" s="29" t="s">
        <v>387</v>
      </c>
      <c r="H90" s="29" t="s">
        <v>60</v>
      </c>
      <c r="I90" s="29" t="s">
        <v>35</v>
      </c>
      <c r="J90" s="29" t="s">
        <v>388</v>
      </c>
      <c r="K90" s="31">
        <v>7</v>
      </c>
      <c r="L90" s="29"/>
      <c r="M90" s="29" t="s">
        <v>76</v>
      </c>
      <c r="N90" s="31">
        <v>344.43</v>
      </c>
    </row>
    <row r="91" ht="29.75" spans="1:14">
      <c r="A91" s="29" t="s">
        <v>389</v>
      </c>
      <c r="B91" s="30">
        <v>45713</v>
      </c>
      <c r="C91" s="29" t="s">
        <v>390</v>
      </c>
      <c r="D91" s="29" t="s">
        <v>48</v>
      </c>
      <c r="E91" s="31">
        <v>5</v>
      </c>
      <c r="F91" s="31">
        <v>455.33</v>
      </c>
      <c r="G91" s="29" t="s">
        <v>391</v>
      </c>
      <c r="H91" s="29" t="s">
        <v>34</v>
      </c>
      <c r="I91" s="29" t="s">
        <v>35</v>
      </c>
      <c r="J91" s="29" t="s">
        <v>392</v>
      </c>
      <c r="K91" s="31">
        <v>8</v>
      </c>
      <c r="L91" s="29" t="s">
        <v>37</v>
      </c>
      <c r="M91" s="29" t="s">
        <v>76</v>
      </c>
      <c r="N91" s="31">
        <v>2276.65</v>
      </c>
    </row>
    <row r="92" ht="29.75" spans="1:14">
      <c r="A92" s="29" t="s">
        <v>393</v>
      </c>
      <c r="B92" s="30">
        <v>45187</v>
      </c>
      <c r="C92" s="29" t="s">
        <v>394</v>
      </c>
      <c r="D92" s="29" t="s">
        <v>41</v>
      </c>
      <c r="E92" s="31">
        <v>4</v>
      </c>
      <c r="F92" s="31">
        <v>182.08</v>
      </c>
      <c r="G92" s="29" t="s">
        <v>395</v>
      </c>
      <c r="H92" s="29" t="s">
        <v>60</v>
      </c>
      <c r="I92" s="29" t="s">
        <v>50</v>
      </c>
      <c r="J92" s="29" t="s">
        <v>396</v>
      </c>
      <c r="K92" s="31">
        <v>4</v>
      </c>
      <c r="L92" s="29" t="s">
        <v>21</v>
      </c>
      <c r="M92" s="29" t="s">
        <v>38</v>
      </c>
      <c r="N92" s="31">
        <v>728.32</v>
      </c>
    </row>
    <row r="93" ht="29.75" spans="1:14">
      <c r="A93" s="29" t="s">
        <v>397</v>
      </c>
      <c r="B93" s="30">
        <v>45000</v>
      </c>
      <c r="C93" s="29" t="s">
        <v>398</v>
      </c>
      <c r="D93" s="29" t="s">
        <v>58</v>
      </c>
      <c r="E93" s="31">
        <v>5</v>
      </c>
      <c r="F93" s="31">
        <v>492.75</v>
      </c>
      <c r="G93" s="29" t="s">
        <v>399</v>
      </c>
      <c r="H93" s="29" t="s">
        <v>65</v>
      </c>
      <c r="I93" s="29" t="s">
        <v>19</v>
      </c>
      <c r="J93" s="29" t="s">
        <v>400</v>
      </c>
      <c r="K93" s="31">
        <v>6</v>
      </c>
      <c r="L93" s="29" t="s">
        <v>81</v>
      </c>
      <c r="M93" s="29" t="s">
        <v>29</v>
      </c>
      <c r="N93" s="31">
        <v>2463.75</v>
      </c>
    </row>
    <row r="94" ht="29.75" spans="1:14">
      <c r="A94" s="29" t="s">
        <v>401</v>
      </c>
      <c r="B94" s="30">
        <v>45453</v>
      </c>
      <c r="C94" s="29" t="s">
        <v>402</v>
      </c>
      <c r="D94" s="29" t="s">
        <v>48</v>
      </c>
      <c r="E94" s="31">
        <v>4</v>
      </c>
      <c r="F94" s="31">
        <v>48.61</v>
      </c>
      <c r="G94" s="29" t="s">
        <v>403</v>
      </c>
      <c r="H94" s="29" t="s">
        <v>27</v>
      </c>
      <c r="I94" s="29" t="s">
        <v>19</v>
      </c>
      <c r="J94" s="29" t="s">
        <v>404</v>
      </c>
      <c r="K94" s="31">
        <v>7</v>
      </c>
      <c r="L94" s="29" t="s">
        <v>37</v>
      </c>
      <c r="M94" s="29" t="s">
        <v>45</v>
      </c>
      <c r="N94" s="31">
        <v>194.44</v>
      </c>
    </row>
    <row r="95" ht="29.75" spans="1:14">
      <c r="A95" s="29" t="s">
        <v>405</v>
      </c>
      <c r="B95" s="30">
        <v>44940</v>
      </c>
      <c r="C95" s="29" t="s">
        <v>406</v>
      </c>
      <c r="D95" s="29" t="s">
        <v>73</v>
      </c>
      <c r="E95" s="31">
        <v>4</v>
      </c>
      <c r="F95" s="31">
        <v>431.01</v>
      </c>
      <c r="G95" s="29" t="s">
        <v>407</v>
      </c>
      <c r="H95" s="29" t="s">
        <v>34</v>
      </c>
      <c r="I95" s="29" t="s">
        <v>43</v>
      </c>
      <c r="J95" s="29" t="s">
        <v>408</v>
      </c>
      <c r="K95" s="31">
        <v>7</v>
      </c>
      <c r="L95" s="29"/>
      <c r="M95" s="29" t="s">
        <v>29</v>
      </c>
      <c r="N95" s="31">
        <v>1724.04</v>
      </c>
    </row>
    <row r="96" ht="29.75" spans="1:14">
      <c r="A96" s="29" t="s">
        <v>409</v>
      </c>
      <c r="B96" s="30">
        <v>44968</v>
      </c>
      <c r="C96" s="29" t="s">
        <v>410</v>
      </c>
      <c r="D96" s="29" t="s">
        <v>41</v>
      </c>
      <c r="E96" s="31">
        <v>1</v>
      </c>
      <c r="F96" s="31">
        <v>531.18</v>
      </c>
      <c r="G96" s="29" t="s">
        <v>411</v>
      </c>
      <c r="H96" s="29" t="s">
        <v>60</v>
      </c>
      <c r="I96" s="29" t="s">
        <v>43</v>
      </c>
      <c r="J96" s="29" t="s">
        <v>412</v>
      </c>
      <c r="K96" s="31">
        <v>6</v>
      </c>
      <c r="L96" s="29" t="s">
        <v>81</v>
      </c>
      <c r="M96" s="29" t="s">
        <v>22</v>
      </c>
      <c r="N96" s="31">
        <v>531.18</v>
      </c>
    </row>
    <row r="97" ht="29.75" spans="1:14">
      <c r="A97" s="29" t="s">
        <v>413</v>
      </c>
      <c r="B97" s="30">
        <v>45009</v>
      </c>
      <c r="C97" s="29" t="s">
        <v>414</v>
      </c>
      <c r="D97" s="29" t="s">
        <v>48</v>
      </c>
      <c r="E97" s="31">
        <v>4</v>
      </c>
      <c r="F97" s="31">
        <v>117.51</v>
      </c>
      <c r="G97" s="29" t="s">
        <v>415</v>
      </c>
      <c r="H97" s="29" t="s">
        <v>18</v>
      </c>
      <c r="I97" s="29" t="s">
        <v>43</v>
      </c>
      <c r="J97" s="29" t="s">
        <v>416</v>
      </c>
      <c r="K97" s="31">
        <v>7</v>
      </c>
      <c r="L97" s="29"/>
      <c r="M97" s="29" t="s">
        <v>29</v>
      </c>
      <c r="N97" s="31">
        <v>470.04</v>
      </c>
    </row>
    <row r="98" ht="29.75" spans="1:14">
      <c r="A98" s="29" t="s">
        <v>417</v>
      </c>
      <c r="B98" s="30">
        <v>45444</v>
      </c>
      <c r="C98" s="29" t="s">
        <v>418</v>
      </c>
      <c r="D98" s="29" t="s">
        <v>25</v>
      </c>
      <c r="E98" s="31">
        <v>2</v>
      </c>
      <c r="F98" s="31">
        <v>232.83</v>
      </c>
      <c r="G98" s="29" t="s">
        <v>351</v>
      </c>
      <c r="H98" s="29" t="s">
        <v>60</v>
      </c>
      <c r="I98" s="29" t="s">
        <v>50</v>
      </c>
      <c r="J98" s="29" t="s">
        <v>419</v>
      </c>
      <c r="K98" s="31">
        <v>7</v>
      </c>
      <c r="L98" s="29"/>
      <c r="M98" s="29" t="s">
        <v>22</v>
      </c>
      <c r="N98" s="31">
        <v>465.66</v>
      </c>
    </row>
    <row r="99" ht="29.75" spans="1:14">
      <c r="A99" s="29" t="s">
        <v>420</v>
      </c>
      <c r="B99" s="30">
        <v>45678</v>
      </c>
      <c r="C99" s="29" t="s">
        <v>421</v>
      </c>
      <c r="D99" s="29" t="s">
        <v>32</v>
      </c>
      <c r="E99" s="31">
        <v>5</v>
      </c>
      <c r="F99" s="31">
        <v>619.52</v>
      </c>
      <c r="G99" s="29" t="s">
        <v>422</v>
      </c>
      <c r="H99" s="29" t="s">
        <v>18</v>
      </c>
      <c r="I99" s="29" t="s">
        <v>89</v>
      </c>
      <c r="J99" s="29" t="s">
        <v>423</v>
      </c>
      <c r="K99" s="31">
        <v>9</v>
      </c>
      <c r="L99" s="29"/>
      <c r="M99" s="29" t="s">
        <v>38</v>
      </c>
      <c r="N99" s="31">
        <v>3097.6</v>
      </c>
    </row>
    <row r="100" ht="29.75" spans="1:14">
      <c r="A100" s="29" t="s">
        <v>424</v>
      </c>
      <c r="B100" s="30">
        <v>44940</v>
      </c>
      <c r="C100" s="29" t="s">
        <v>425</v>
      </c>
      <c r="D100" s="29" t="s">
        <v>48</v>
      </c>
      <c r="E100" s="31">
        <v>2</v>
      </c>
      <c r="F100" s="31">
        <v>228.54</v>
      </c>
      <c r="G100" s="29" t="s">
        <v>426</v>
      </c>
      <c r="H100" s="29" t="s">
        <v>18</v>
      </c>
      <c r="I100" s="29" t="s">
        <v>89</v>
      </c>
      <c r="J100" s="29" t="s">
        <v>427</v>
      </c>
      <c r="K100" s="31">
        <v>3</v>
      </c>
      <c r="L100" s="29"/>
      <c r="M100" s="29" t="s">
        <v>38</v>
      </c>
      <c r="N100" s="31">
        <v>457.08</v>
      </c>
    </row>
    <row r="101" ht="29.75" spans="1:14">
      <c r="A101" s="29" t="s">
        <v>428</v>
      </c>
      <c r="B101" s="30">
        <v>45759</v>
      </c>
      <c r="C101" s="29" t="s">
        <v>429</v>
      </c>
      <c r="D101" s="29" t="s">
        <v>48</v>
      </c>
      <c r="E101" s="31">
        <v>1</v>
      </c>
      <c r="F101" s="31">
        <v>201.58</v>
      </c>
      <c r="G101" s="29" t="s">
        <v>430</v>
      </c>
      <c r="H101" s="29" t="s">
        <v>18</v>
      </c>
      <c r="I101" s="29" t="s">
        <v>35</v>
      </c>
      <c r="J101" s="29" t="s">
        <v>431</v>
      </c>
      <c r="K101" s="31">
        <v>2</v>
      </c>
      <c r="L101" s="29" t="s">
        <v>81</v>
      </c>
      <c r="M101" s="29" t="s">
        <v>38</v>
      </c>
      <c r="N101" s="31">
        <v>201.58</v>
      </c>
    </row>
    <row r="102" ht="29.75" spans="1:14">
      <c r="A102" s="29" t="s">
        <v>432</v>
      </c>
      <c r="B102" s="30">
        <v>44974</v>
      </c>
      <c r="C102" s="29" t="s">
        <v>433</v>
      </c>
      <c r="D102" s="29" t="s">
        <v>25</v>
      </c>
      <c r="E102" s="31">
        <v>3</v>
      </c>
      <c r="F102" s="31">
        <v>664.79</v>
      </c>
      <c r="G102" s="29" t="s">
        <v>434</v>
      </c>
      <c r="H102" s="29" t="s">
        <v>27</v>
      </c>
      <c r="I102" s="29" t="s">
        <v>50</v>
      </c>
      <c r="J102" s="29" t="s">
        <v>435</v>
      </c>
      <c r="K102" s="31">
        <v>6</v>
      </c>
      <c r="L102" s="29"/>
      <c r="M102" s="29" t="s">
        <v>45</v>
      </c>
      <c r="N102" s="31">
        <v>1994.37</v>
      </c>
    </row>
    <row r="103" ht="29.75" spans="1:14">
      <c r="A103" s="29" t="s">
        <v>436</v>
      </c>
      <c r="B103" s="30">
        <v>45255</v>
      </c>
      <c r="C103" s="29" t="s">
        <v>437</v>
      </c>
      <c r="D103" s="29" t="s">
        <v>48</v>
      </c>
      <c r="E103" s="31">
        <v>1</v>
      </c>
      <c r="F103" s="31">
        <v>381.02</v>
      </c>
      <c r="G103" s="29" t="s">
        <v>438</v>
      </c>
      <c r="H103" s="29" t="s">
        <v>65</v>
      </c>
      <c r="I103" s="29" t="s">
        <v>19</v>
      </c>
      <c r="J103" s="29" t="s">
        <v>439</v>
      </c>
      <c r="K103" s="31">
        <v>6</v>
      </c>
      <c r="L103" s="29"/>
      <c r="M103" s="29" t="s">
        <v>76</v>
      </c>
      <c r="N103" s="31">
        <v>381.02</v>
      </c>
    </row>
    <row r="104" ht="29.75" spans="1:14">
      <c r="A104" s="29" t="s">
        <v>440</v>
      </c>
      <c r="B104" s="30">
        <v>44993</v>
      </c>
      <c r="C104" s="29" t="s">
        <v>441</v>
      </c>
      <c r="D104" s="29" t="s">
        <v>58</v>
      </c>
      <c r="E104" s="31">
        <v>2</v>
      </c>
      <c r="F104" s="31">
        <v>70.34</v>
      </c>
      <c r="G104" s="29" t="s">
        <v>442</v>
      </c>
      <c r="H104" s="29" t="s">
        <v>60</v>
      </c>
      <c r="I104" s="29" t="s">
        <v>35</v>
      </c>
      <c r="J104" s="29" t="s">
        <v>443</v>
      </c>
      <c r="K104" s="31">
        <v>3</v>
      </c>
      <c r="L104" s="29" t="s">
        <v>37</v>
      </c>
      <c r="M104" s="29" t="s">
        <v>38</v>
      </c>
      <c r="N104" s="31">
        <v>140.68</v>
      </c>
    </row>
    <row r="105" ht="29.75" spans="1:14">
      <c r="A105" s="29" t="s">
        <v>444</v>
      </c>
      <c r="B105" s="30">
        <v>45682</v>
      </c>
      <c r="C105" s="29" t="s">
        <v>445</v>
      </c>
      <c r="D105" s="29" t="s">
        <v>25</v>
      </c>
      <c r="E105" s="31">
        <v>4</v>
      </c>
      <c r="F105" s="31">
        <v>218.43</v>
      </c>
      <c r="G105" s="29" t="s">
        <v>446</v>
      </c>
      <c r="H105" s="29" t="s">
        <v>34</v>
      </c>
      <c r="I105" s="29" t="s">
        <v>35</v>
      </c>
      <c r="J105" s="29" t="s">
        <v>447</v>
      </c>
      <c r="K105" s="31">
        <v>9</v>
      </c>
      <c r="L105" s="29" t="s">
        <v>21</v>
      </c>
      <c r="M105" s="29" t="s">
        <v>38</v>
      </c>
      <c r="N105" s="31">
        <v>873.72</v>
      </c>
    </row>
    <row r="106" ht="29.75" spans="1:14">
      <c r="A106" s="29" t="s">
        <v>448</v>
      </c>
      <c r="B106" s="30">
        <v>45503</v>
      </c>
      <c r="C106" s="29" t="s">
        <v>449</v>
      </c>
      <c r="D106" s="29" t="s">
        <v>25</v>
      </c>
      <c r="E106" s="31">
        <v>1</v>
      </c>
      <c r="F106" s="31">
        <v>582.04</v>
      </c>
      <c r="G106" s="29" t="s">
        <v>450</v>
      </c>
      <c r="H106" s="29" t="s">
        <v>60</v>
      </c>
      <c r="I106" s="29" t="s">
        <v>50</v>
      </c>
      <c r="J106" s="29" t="s">
        <v>451</v>
      </c>
      <c r="K106" s="31">
        <v>1</v>
      </c>
      <c r="L106" s="29" t="s">
        <v>37</v>
      </c>
      <c r="M106" s="29" t="s">
        <v>38</v>
      </c>
      <c r="N106" s="31">
        <v>582.04</v>
      </c>
    </row>
    <row r="107" ht="29.75" spans="1:14">
      <c r="A107" s="29" t="s">
        <v>452</v>
      </c>
      <c r="B107" s="30">
        <v>45589</v>
      </c>
      <c r="C107" s="29" t="s">
        <v>453</v>
      </c>
      <c r="D107" s="29" t="s">
        <v>48</v>
      </c>
      <c r="E107" s="31">
        <v>3</v>
      </c>
      <c r="F107" s="31">
        <v>185.4</v>
      </c>
      <c r="G107" s="29" t="s">
        <v>454</v>
      </c>
      <c r="H107" s="29" t="s">
        <v>60</v>
      </c>
      <c r="I107" s="29" t="s">
        <v>35</v>
      </c>
      <c r="J107" s="29" t="s">
        <v>455</v>
      </c>
      <c r="K107" s="31">
        <v>7</v>
      </c>
      <c r="L107" s="29"/>
      <c r="M107" s="29" t="s">
        <v>45</v>
      </c>
      <c r="N107" s="31">
        <v>556.2</v>
      </c>
    </row>
    <row r="108" ht="29.75" spans="1:14">
      <c r="A108" s="29" t="s">
        <v>456</v>
      </c>
      <c r="B108" s="30">
        <v>45177</v>
      </c>
      <c r="C108" s="29" t="s">
        <v>457</v>
      </c>
      <c r="D108" s="29" t="s">
        <v>73</v>
      </c>
      <c r="E108" s="31">
        <v>3</v>
      </c>
      <c r="F108" s="31">
        <v>465.05</v>
      </c>
      <c r="G108" s="29" t="s">
        <v>458</v>
      </c>
      <c r="H108" s="29" t="s">
        <v>34</v>
      </c>
      <c r="I108" s="29" t="s">
        <v>35</v>
      </c>
      <c r="J108" s="29" t="s">
        <v>459</v>
      </c>
      <c r="K108" s="31">
        <v>3</v>
      </c>
      <c r="L108" s="29" t="s">
        <v>21</v>
      </c>
      <c r="M108" s="29" t="s">
        <v>38</v>
      </c>
      <c r="N108" s="31">
        <v>1395.15</v>
      </c>
    </row>
    <row r="109" ht="29.75" spans="1:14">
      <c r="A109" s="29" t="s">
        <v>460</v>
      </c>
      <c r="B109" s="30">
        <v>45012</v>
      </c>
      <c r="C109" s="29" t="s">
        <v>461</v>
      </c>
      <c r="D109" s="29" t="s">
        <v>48</v>
      </c>
      <c r="E109" s="31">
        <v>5</v>
      </c>
      <c r="F109" s="31">
        <v>670.75</v>
      </c>
      <c r="G109" s="29" t="s">
        <v>462</v>
      </c>
      <c r="H109" s="29" t="s">
        <v>60</v>
      </c>
      <c r="I109" s="29" t="s">
        <v>19</v>
      </c>
      <c r="J109" s="29" t="s">
        <v>463</v>
      </c>
      <c r="K109" s="31">
        <v>8</v>
      </c>
      <c r="L109" s="29" t="s">
        <v>37</v>
      </c>
      <c r="M109" s="29" t="s">
        <v>22</v>
      </c>
      <c r="N109" s="31">
        <v>3353.75</v>
      </c>
    </row>
    <row r="110" ht="29.75" spans="1:14">
      <c r="A110" s="29" t="s">
        <v>464</v>
      </c>
      <c r="B110" s="30">
        <v>45654</v>
      </c>
      <c r="C110" s="29" t="s">
        <v>465</v>
      </c>
      <c r="D110" s="29" t="s">
        <v>58</v>
      </c>
      <c r="E110" s="31">
        <v>5</v>
      </c>
      <c r="F110" s="31">
        <v>48.38</v>
      </c>
      <c r="G110" s="29" t="s">
        <v>466</v>
      </c>
      <c r="H110" s="29" t="s">
        <v>60</v>
      </c>
      <c r="I110" s="29" t="s">
        <v>50</v>
      </c>
      <c r="J110" s="29" t="s">
        <v>467</v>
      </c>
      <c r="K110" s="31">
        <v>9</v>
      </c>
      <c r="L110" s="29" t="s">
        <v>81</v>
      </c>
      <c r="M110" s="29" t="s">
        <v>38</v>
      </c>
      <c r="N110" s="31">
        <v>241.9</v>
      </c>
    </row>
    <row r="111" ht="29.75" spans="1:14">
      <c r="A111" s="29" t="s">
        <v>468</v>
      </c>
      <c r="B111" s="30">
        <v>45186</v>
      </c>
      <c r="C111" s="29" t="s">
        <v>469</v>
      </c>
      <c r="D111" s="29" t="s">
        <v>73</v>
      </c>
      <c r="E111" s="31">
        <v>3</v>
      </c>
      <c r="F111" s="31">
        <v>592.87</v>
      </c>
      <c r="G111" s="29" t="s">
        <v>470</v>
      </c>
      <c r="H111" s="29" t="s">
        <v>60</v>
      </c>
      <c r="I111" s="29" t="s">
        <v>19</v>
      </c>
      <c r="J111" s="29" t="s">
        <v>471</v>
      </c>
      <c r="K111" s="31">
        <v>3</v>
      </c>
      <c r="L111" s="29" t="s">
        <v>37</v>
      </c>
      <c r="M111" s="29" t="s">
        <v>29</v>
      </c>
      <c r="N111" s="31">
        <v>1778.61</v>
      </c>
    </row>
    <row r="112" ht="29.75" spans="1:14">
      <c r="A112" s="29" t="s">
        <v>472</v>
      </c>
      <c r="B112" s="30">
        <v>45403</v>
      </c>
      <c r="C112" s="29" t="s">
        <v>473</v>
      </c>
      <c r="D112" s="29" t="s">
        <v>32</v>
      </c>
      <c r="E112" s="31">
        <v>1</v>
      </c>
      <c r="F112" s="31">
        <v>220.77</v>
      </c>
      <c r="G112" s="29" t="s">
        <v>474</v>
      </c>
      <c r="H112" s="29" t="s">
        <v>60</v>
      </c>
      <c r="I112" s="29" t="s">
        <v>89</v>
      </c>
      <c r="J112" s="29" t="s">
        <v>475</v>
      </c>
      <c r="K112" s="31">
        <v>5</v>
      </c>
      <c r="L112" s="29" t="s">
        <v>37</v>
      </c>
      <c r="M112" s="29" t="s">
        <v>22</v>
      </c>
      <c r="N112" s="31">
        <v>220.77</v>
      </c>
    </row>
    <row r="113" ht="29.75" spans="1:14">
      <c r="A113" s="29" t="s">
        <v>476</v>
      </c>
      <c r="B113" s="30">
        <v>45784</v>
      </c>
      <c r="C113" s="29" t="s">
        <v>477</v>
      </c>
      <c r="D113" s="29" t="s">
        <v>73</v>
      </c>
      <c r="E113" s="31">
        <v>3</v>
      </c>
      <c r="F113" s="31">
        <v>309.22</v>
      </c>
      <c r="G113" s="29" t="s">
        <v>478</v>
      </c>
      <c r="H113" s="29" t="s">
        <v>27</v>
      </c>
      <c r="I113" s="29" t="s">
        <v>35</v>
      </c>
      <c r="J113" s="29" t="s">
        <v>479</v>
      </c>
      <c r="K113" s="31">
        <v>7</v>
      </c>
      <c r="L113" s="29" t="s">
        <v>37</v>
      </c>
      <c r="M113" s="29" t="s">
        <v>76</v>
      </c>
      <c r="N113" s="31">
        <v>927.66</v>
      </c>
    </row>
    <row r="114" ht="29.75" spans="1:14">
      <c r="A114" s="29" t="s">
        <v>480</v>
      </c>
      <c r="B114" s="30">
        <v>44927</v>
      </c>
      <c r="C114" s="29" t="s">
        <v>481</v>
      </c>
      <c r="D114" s="29" t="s">
        <v>16</v>
      </c>
      <c r="E114" s="31">
        <v>1</v>
      </c>
      <c r="F114" s="31">
        <v>410.6</v>
      </c>
      <c r="G114" s="29" t="s">
        <v>482</v>
      </c>
      <c r="H114" s="29" t="s">
        <v>27</v>
      </c>
      <c r="I114" s="29" t="s">
        <v>35</v>
      </c>
      <c r="J114" s="29" t="s">
        <v>483</v>
      </c>
      <c r="K114" s="31">
        <v>2</v>
      </c>
      <c r="L114" s="29" t="s">
        <v>81</v>
      </c>
      <c r="M114" s="29" t="s">
        <v>29</v>
      </c>
      <c r="N114" s="31">
        <v>410.6</v>
      </c>
    </row>
    <row r="115" ht="29.75" spans="1:14">
      <c r="A115" s="29" t="s">
        <v>484</v>
      </c>
      <c r="B115" s="30">
        <v>45308</v>
      </c>
      <c r="C115" s="29" t="s">
        <v>485</v>
      </c>
      <c r="D115" s="29" t="s">
        <v>58</v>
      </c>
      <c r="E115" s="31">
        <v>5</v>
      </c>
      <c r="F115" s="31">
        <v>190.08</v>
      </c>
      <c r="G115" s="29" t="s">
        <v>486</v>
      </c>
      <c r="H115" s="29" t="s">
        <v>65</v>
      </c>
      <c r="I115" s="29" t="s">
        <v>19</v>
      </c>
      <c r="J115" s="29" t="s">
        <v>487</v>
      </c>
      <c r="K115" s="31">
        <v>9</v>
      </c>
      <c r="L115" s="29" t="s">
        <v>37</v>
      </c>
      <c r="M115" s="29" t="s">
        <v>22</v>
      </c>
      <c r="N115" s="31">
        <v>950.4</v>
      </c>
    </row>
    <row r="116" ht="29.75" spans="1:14">
      <c r="A116" s="29" t="s">
        <v>488</v>
      </c>
      <c r="B116" s="30">
        <v>45684</v>
      </c>
      <c r="C116" s="29" t="s">
        <v>489</v>
      </c>
      <c r="D116" s="29" t="s">
        <v>16</v>
      </c>
      <c r="E116" s="31">
        <v>5</v>
      </c>
      <c r="F116" s="31">
        <v>498.48</v>
      </c>
      <c r="G116" s="29" t="s">
        <v>490</v>
      </c>
      <c r="H116" s="29" t="s">
        <v>27</v>
      </c>
      <c r="I116" s="29" t="s">
        <v>89</v>
      </c>
      <c r="J116" s="29" t="s">
        <v>491</v>
      </c>
      <c r="K116" s="31">
        <v>8</v>
      </c>
      <c r="L116" s="29" t="s">
        <v>21</v>
      </c>
      <c r="M116" s="29" t="s">
        <v>76</v>
      </c>
      <c r="N116" s="31">
        <v>2492.4</v>
      </c>
    </row>
    <row r="117" ht="29.75" spans="1:14">
      <c r="A117" s="29" t="s">
        <v>492</v>
      </c>
      <c r="B117" s="30">
        <v>45257</v>
      </c>
      <c r="C117" s="29" t="s">
        <v>493</v>
      </c>
      <c r="D117" s="29" t="s">
        <v>25</v>
      </c>
      <c r="E117" s="31">
        <v>5</v>
      </c>
      <c r="F117" s="31">
        <v>374.99</v>
      </c>
      <c r="G117" s="29" t="s">
        <v>494</v>
      </c>
      <c r="H117" s="29" t="s">
        <v>27</v>
      </c>
      <c r="I117" s="29" t="s">
        <v>19</v>
      </c>
      <c r="J117" s="29" t="s">
        <v>495</v>
      </c>
      <c r="K117" s="31">
        <v>9</v>
      </c>
      <c r="L117" s="29" t="s">
        <v>21</v>
      </c>
      <c r="M117" s="29" t="s">
        <v>45</v>
      </c>
      <c r="N117" s="31">
        <v>1874.95</v>
      </c>
    </row>
    <row r="118" ht="29.75" spans="1:14">
      <c r="A118" s="29" t="s">
        <v>496</v>
      </c>
      <c r="B118" s="30">
        <v>45004</v>
      </c>
      <c r="C118" s="29" t="s">
        <v>497</v>
      </c>
      <c r="D118" s="29" t="s">
        <v>48</v>
      </c>
      <c r="E118" s="31">
        <v>4</v>
      </c>
      <c r="F118" s="31">
        <v>291.35</v>
      </c>
      <c r="G118" s="29" t="s">
        <v>498</v>
      </c>
      <c r="H118" s="29" t="s">
        <v>34</v>
      </c>
      <c r="I118" s="29" t="s">
        <v>35</v>
      </c>
      <c r="J118" s="29" t="s">
        <v>499</v>
      </c>
      <c r="K118" s="31">
        <v>6</v>
      </c>
      <c r="L118" s="29" t="s">
        <v>81</v>
      </c>
      <c r="M118" s="29" t="s">
        <v>45</v>
      </c>
      <c r="N118" s="31">
        <v>1165.4</v>
      </c>
    </row>
    <row r="119" ht="29.75" spans="1:14">
      <c r="A119" s="29" t="s">
        <v>500</v>
      </c>
      <c r="B119" s="30">
        <v>44993</v>
      </c>
      <c r="C119" s="29" t="s">
        <v>501</v>
      </c>
      <c r="D119" s="29" t="s">
        <v>32</v>
      </c>
      <c r="E119" s="31">
        <v>1</v>
      </c>
      <c r="F119" s="31">
        <v>535.5</v>
      </c>
      <c r="G119" s="29" t="s">
        <v>502</v>
      </c>
      <c r="H119" s="29" t="s">
        <v>60</v>
      </c>
      <c r="I119" s="29" t="s">
        <v>35</v>
      </c>
      <c r="J119" s="29" t="s">
        <v>503</v>
      </c>
      <c r="K119" s="31">
        <v>5</v>
      </c>
      <c r="L119" s="29" t="s">
        <v>81</v>
      </c>
      <c r="M119" s="29" t="s">
        <v>29</v>
      </c>
      <c r="N119" s="31">
        <v>535.5</v>
      </c>
    </row>
    <row r="120" ht="29.75" spans="1:14">
      <c r="A120" s="29" t="s">
        <v>504</v>
      </c>
      <c r="B120" s="30">
        <v>45208</v>
      </c>
      <c r="C120" s="29" t="s">
        <v>505</v>
      </c>
      <c r="D120" s="29" t="s">
        <v>48</v>
      </c>
      <c r="E120" s="31">
        <v>5</v>
      </c>
      <c r="F120" s="31">
        <v>502.71</v>
      </c>
      <c r="G120" s="29" t="s">
        <v>506</v>
      </c>
      <c r="H120" s="29" t="s">
        <v>60</v>
      </c>
      <c r="I120" s="29" t="s">
        <v>19</v>
      </c>
      <c r="J120" s="29" t="s">
        <v>507</v>
      </c>
      <c r="K120" s="31">
        <v>7</v>
      </c>
      <c r="L120" s="29" t="s">
        <v>37</v>
      </c>
      <c r="M120" s="29" t="s">
        <v>76</v>
      </c>
      <c r="N120" s="31">
        <v>2513.55</v>
      </c>
    </row>
    <row r="121" ht="29.75" spans="1:14">
      <c r="A121" s="29" t="s">
        <v>508</v>
      </c>
      <c r="B121" s="30">
        <v>45819</v>
      </c>
      <c r="C121" s="29" t="s">
        <v>509</v>
      </c>
      <c r="D121" s="29" t="s">
        <v>73</v>
      </c>
      <c r="E121" s="31">
        <v>2</v>
      </c>
      <c r="F121" s="31">
        <v>534.67</v>
      </c>
      <c r="G121" s="29" t="s">
        <v>510</v>
      </c>
      <c r="H121" s="29" t="s">
        <v>18</v>
      </c>
      <c r="I121" s="29" t="s">
        <v>19</v>
      </c>
      <c r="J121" s="29" t="s">
        <v>511</v>
      </c>
      <c r="K121" s="31">
        <v>7</v>
      </c>
      <c r="L121" s="29" t="s">
        <v>37</v>
      </c>
      <c r="M121" s="29" t="s">
        <v>29</v>
      </c>
      <c r="N121" s="31">
        <v>1069.34</v>
      </c>
    </row>
    <row r="122" ht="29.75" spans="1:14">
      <c r="A122" s="29" t="s">
        <v>512</v>
      </c>
      <c r="B122" s="30">
        <v>45027</v>
      </c>
      <c r="C122" s="29" t="s">
        <v>513</v>
      </c>
      <c r="D122" s="29" t="s">
        <v>32</v>
      </c>
      <c r="E122" s="31">
        <v>4</v>
      </c>
      <c r="F122" s="31">
        <v>629.34</v>
      </c>
      <c r="G122" s="29" t="s">
        <v>59</v>
      </c>
      <c r="H122" s="29" t="s">
        <v>65</v>
      </c>
      <c r="I122" s="29" t="s">
        <v>35</v>
      </c>
      <c r="J122" s="29" t="s">
        <v>514</v>
      </c>
      <c r="K122" s="31">
        <v>4</v>
      </c>
      <c r="L122" s="29" t="s">
        <v>81</v>
      </c>
      <c r="M122" s="29" t="s">
        <v>22</v>
      </c>
      <c r="N122" s="31">
        <v>2517.36</v>
      </c>
    </row>
    <row r="123" ht="29.75" spans="1:14">
      <c r="A123" s="29" t="s">
        <v>515</v>
      </c>
      <c r="B123" s="30">
        <v>45260</v>
      </c>
      <c r="C123" s="29" t="s">
        <v>516</v>
      </c>
      <c r="D123" s="29" t="s">
        <v>73</v>
      </c>
      <c r="E123" s="31">
        <v>1</v>
      </c>
      <c r="F123" s="31">
        <v>410.78</v>
      </c>
      <c r="G123" s="29" t="s">
        <v>517</v>
      </c>
      <c r="H123" s="29" t="s">
        <v>65</v>
      </c>
      <c r="I123" s="29" t="s">
        <v>35</v>
      </c>
      <c r="J123" s="29" t="s">
        <v>518</v>
      </c>
      <c r="K123" s="31">
        <v>1</v>
      </c>
      <c r="L123" s="29" t="s">
        <v>37</v>
      </c>
      <c r="M123" s="29" t="s">
        <v>22</v>
      </c>
      <c r="N123" s="31">
        <v>410.78</v>
      </c>
    </row>
    <row r="124" ht="29.75" spans="1:14">
      <c r="A124" s="29" t="s">
        <v>519</v>
      </c>
      <c r="B124" s="30">
        <v>45397</v>
      </c>
      <c r="C124" s="29" t="s">
        <v>520</v>
      </c>
      <c r="D124" s="29" t="s">
        <v>58</v>
      </c>
      <c r="E124" s="31">
        <v>2</v>
      </c>
      <c r="F124" s="31">
        <v>533.02</v>
      </c>
      <c r="G124" s="29" t="s">
        <v>521</v>
      </c>
      <c r="H124" s="29" t="s">
        <v>60</v>
      </c>
      <c r="I124" s="29" t="s">
        <v>19</v>
      </c>
      <c r="J124" s="29" t="s">
        <v>522</v>
      </c>
      <c r="K124" s="31">
        <v>2</v>
      </c>
      <c r="L124" s="29"/>
      <c r="M124" s="29" t="s">
        <v>45</v>
      </c>
      <c r="N124" s="31">
        <v>1066.04</v>
      </c>
    </row>
    <row r="125" ht="29.75" spans="1:14">
      <c r="A125" s="29" t="s">
        <v>523</v>
      </c>
      <c r="B125" s="30">
        <v>45113</v>
      </c>
      <c r="C125" s="29" t="s">
        <v>524</v>
      </c>
      <c r="D125" s="29" t="s">
        <v>73</v>
      </c>
      <c r="E125" s="31">
        <v>3</v>
      </c>
      <c r="F125" s="31">
        <v>278.04</v>
      </c>
      <c r="G125" s="29" t="s">
        <v>525</v>
      </c>
      <c r="H125" s="29" t="s">
        <v>27</v>
      </c>
      <c r="I125" s="29" t="s">
        <v>50</v>
      </c>
      <c r="J125" s="29" t="s">
        <v>526</v>
      </c>
      <c r="K125" s="31">
        <v>5</v>
      </c>
      <c r="L125" s="29"/>
      <c r="M125" s="29" t="s">
        <v>22</v>
      </c>
      <c r="N125" s="31">
        <v>834.12</v>
      </c>
    </row>
    <row r="126" ht="29.75" spans="1:14">
      <c r="A126" s="29" t="s">
        <v>527</v>
      </c>
      <c r="B126" s="30">
        <v>45501</v>
      </c>
      <c r="C126" s="29" t="s">
        <v>528</v>
      </c>
      <c r="D126" s="29" t="s">
        <v>48</v>
      </c>
      <c r="E126" s="31">
        <v>4</v>
      </c>
      <c r="F126" s="31">
        <v>283.79</v>
      </c>
      <c r="G126" s="29" t="s">
        <v>529</v>
      </c>
      <c r="H126" s="29" t="s">
        <v>27</v>
      </c>
      <c r="I126" s="29" t="s">
        <v>89</v>
      </c>
      <c r="J126" s="29" t="s">
        <v>530</v>
      </c>
      <c r="K126" s="31">
        <v>8</v>
      </c>
      <c r="L126" s="29"/>
      <c r="M126" s="29" t="s">
        <v>76</v>
      </c>
      <c r="N126" s="31">
        <v>1135.16</v>
      </c>
    </row>
    <row r="127" ht="29.75" spans="1:14">
      <c r="A127" s="29" t="s">
        <v>531</v>
      </c>
      <c r="B127" s="30">
        <v>45602</v>
      </c>
      <c r="C127" s="29" t="s">
        <v>532</v>
      </c>
      <c r="D127" s="29" t="s">
        <v>25</v>
      </c>
      <c r="E127" s="31">
        <v>2</v>
      </c>
      <c r="F127" s="31">
        <v>512.65</v>
      </c>
      <c r="G127" s="29" t="s">
        <v>533</v>
      </c>
      <c r="H127" s="29" t="s">
        <v>34</v>
      </c>
      <c r="I127" s="29" t="s">
        <v>19</v>
      </c>
      <c r="J127" s="29" t="s">
        <v>534</v>
      </c>
      <c r="K127" s="31">
        <v>5</v>
      </c>
      <c r="L127" s="29" t="s">
        <v>21</v>
      </c>
      <c r="M127" s="29" t="s">
        <v>38</v>
      </c>
      <c r="N127" s="31">
        <v>1025.3</v>
      </c>
    </row>
    <row r="128" ht="29.75" spans="1:14">
      <c r="A128" s="29" t="s">
        <v>535</v>
      </c>
      <c r="B128" s="30">
        <v>45780</v>
      </c>
      <c r="C128" s="29" t="s">
        <v>536</v>
      </c>
      <c r="D128" s="29" t="s">
        <v>73</v>
      </c>
      <c r="E128" s="31">
        <v>4</v>
      </c>
      <c r="F128" s="31">
        <v>275.5</v>
      </c>
      <c r="G128" s="29" t="s">
        <v>537</v>
      </c>
      <c r="H128" s="29" t="s">
        <v>60</v>
      </c>
      <c r="I128" s="29" t="s">
        <v>19</v>
      </c>
      <c r="J128" s="29" t="s">
        <v>538</v>
      </c>
      <c r="K128" s="31">
        <v>8</v>
      </c>
      <c r="L128" s="29" t="s">
        <v>37</v>
      </c>
      <c r="M128" s="29" t="s">
        <v>76</v>
      </c>
      <c r="N128" s="31">
        <v>1102</v>
      </c>
    </row>
    <row r="129" ht="29.75" spans="1:14">
      <c r="A129" s="29" t="s">
        <v>539</v>
      </c>
      <c r="B129" s="30">
        <v>45148</v>
      </c>
      <c r="C129" s="29" t="s">
        <v>540</v>
      </c>
      <c r="D129" s="29" t="s">
        <v>73</v>
      </c>
      <c r="E129" s="31">
        <v>3</v>
      </c>
      <c r="F129" s="31">
        <v>469.32</v>
      </c>
      <c r="G129" s="29" t="s">
        <v>541</v>
      </c>
      <c r="H129" s="29" t="s">
        <v>18</v>
      </c>
      <c r="I129" s="29" t="s">
        <v>19</v>
      </c>
      <c r="J129" s="29" t="s">
        <v>542</v>
      </c>
      <c r="K129" s="31">
        <v>3</v>
      </c>
      <c r="L129" s="29"/>
      <c r="M129" s="29" t="s">
        <v>76</v>
      </c>
      <c r="N129" s="31">
        <v>1407.96</v>
      </c>
    </row>
    <row r="130" ht="29.75" spans="1:14">
      <c r="A130" s="29" t="s">
        <v>543</v>
      </c>
      <c r="B130" s="30">
        <v>44974</v>
      </c>
      <c r="C130" s="29" t="s">
        <v>544</v>
      </c>
      <c r="D130" s="29" t="s">
        <v>32</v>
      </c>
      <c r="E130" s="31">
        <v>4</v>
      </c>
      <c r="F130" s="31">
        <v>21.07</v>
      </c>
      <c r="G130" s="29" t="s">
        <v>545</v>
      </c>
      <c r="H130" s="29" t="s">
        <v>60</v>
      </c>
      <c r="I130" s="29" t="s">
        <v>50</v>
      </c>
      <c r="J130" s="29" t="s">
        <v>546</v>
      </c>
      <c r="K130" s="31">
        <v>4</v>
      </c>
      <c r="L130" s="29" t="s">
        <v>37</v>
      </c>
      <c r="M130" s="29" t="s">
        <v>76</v>
      </c>
      <c r="N130" s="31">
        <v>84.28</v>
      </c>
    </row>
    <row r="131" ht="29.75" spans="1:14">
      <c r="A131" s="29" t="s">
        <v>547</v>
      </c>
      <c r="B131" s="30">
        <v>45226</v>
      </c>
      <c r="C131" s="29" t="s">
        <v>548</v>
      </c>
      <c r="D131" s="29" t="s">
        <v>58</v>
      </c>
      <c r="E131" s="31">
        <v>4</v>
      </c>
      <c r="F131" s="31">
        <v>263.93</v>
      </c>
      <c r="G131" s="29" t="s">
        <v>549</v>
      </c>
      <c r="H131" s="29" t="s">
        <v>18</v>
      </c>
      <c r="I131" s="29" t="s">
        <v>19</v>
      </c>
      <c r="J131" s="29" t="s">
        <v>550</v>
      </c>
      <c r="K131" s="31">
        <v>4</v>
      </c>
      <c r="L131" s="29" t="s">
        <v>37</v>
      </c>
      <c r="M131" s="29" t="s">
        <v>45</v>
      </c>
      <c r="N131" s="31">
        <v>1055.72</v>
      </c>
    </row>
    <row r="132" ht="29.75" spans="1:14">
      <c r="A132" s="29" t="s">
        <v>551</v>
      </c>
      <c r="B132" s="30">
        <v>45679</v>
      </c>
      <c r="C132" s="29" t="s">
        <v>552</v>
      </c>
      <c r="D132" s="29" t="s">
        <v>73</v>
      </c>
      <c r="E132" s="31">
        <v>3</v>
      </c>
      <c r="F132" s="31">
        <v>501.3</v>
      </c>
      <c r="G132" s="29" t="s">
        <v>553</v>
      </c>
      <c r="H132" s="29" t="s">
        <v>27</v>
      </c>
      <c r="I132" s="29" t="s">
        <v>35</v>
      </c>
      <c r="J132" s="29" t="s">
        <v>554</v>
      </c>
      <c r="K132" s="31">
        <v>3</v>
      </c>
      <c r="L132" s="29" t="s">
        <v>81</v>
      </c>
      <c r="M132" s="29" t="s">
        <v>45</v>
      </c>
      <c r="N132" s="31">
        <v>1503.9</v>
      </c>
    </row>
    <row r="133" ht="29.75" spans="1:14">
      <c r="A133" s="29" t="s">
        <v>555</v>
      </c>
      <c r="B133" s="30">
        <v>44934</v>
      </c>
      <c r="C133" s="29" t="s">
        <v>556</v>
      </c>
      <c r="D133" s="29" t="s">
        <v>32</v>
      </c>
      <c r="E133" s="31">
        <v>1</v>
      </c>
      <c r="F133" s="31">
        <v>84.8</v>
      </c>
      <c r="G133" s="29" t="s">
        <v>557</v>
      </c>
      <c r="H133" s="29" t="s">
        <v>60</v>
      </c>
      <c r="I133" s="29" t="s">
        <v>89</v>
      </c>
      <c r="J133" s="29" t="s">
        <v>558</v>
      </c>
      <c r="K133" s="31">
        <v>5</v>
      </c>
      <c r="L133" s="29"/>
      <c r="M133" s="29" t="s">
        <v>22</v>
      </c>
      <c r="N133" s="31">
        <v>84.8</v>
      </c>
    </row>
    <row r="134" ht="29.75" spans="1:14">
      <c r="A134" s="29" t="s">
        <v>559</v>
      </c>
      <c r="B134" s="30">
        <v>45013</v>
      </c>
      <c r="C134" s="29" t="s">
        <v>560</v>
      </c>
      <c r="D134" s="29" t="s">
        <v>32</v>
      </c>
      <c r="E134" s="31">
        <v>4</v>
      </c>
      <c r="F134" s="31">
        <v>450.75</v>
      </c>
      <c r="G134" s="29" t="s">
        <v>561</v>
      </c>
      <c r="H134" s="29" t="s">
        <v>34</v>
      </c>
      <c r="I134" s="29" t="s">
        <v>19</v>
      </c>
      <c r="J134" s="29" t="s">
        <v>562</v>
      </c>
      <c r="K134" s="31">
        <v>6</v>
      </c>
      <c r="L134" s="29" t="s">
        <v>81</v>
      </c>
      <c r="M134" s="29" t="s">
        <v>38</v>
      </c>
      <c r="N134" s="31">
        <v>1803</v>
      </c>
    </row>
    <row r="135" ht="29.75" spans="1:14">
      <c r="A135" s="29" t="s">
        <v>563</v>
      </c>
      <c r="B135" s="30">
        <v>45828</v>
      </c>
      <c r="C135" s="29" t="s">
        <v>564</v>
      </c>
      <c r="D135" s="29" t="s">
        <v>41</v>
      </c>
      <c r="E135" s="31">
        <v>4</v>
      </c>
      <c r="F135" s="31">
        <v>302.05</v>
      </c>
      <c r="G135" s="29" t="s">
        <v>565</v>
      </c>
      <c r="H135" s="29" t="s">
        <v>18</v>
      </c>
      <c r="I135" s="29" t="s">
        <v>35</v>
      </c>
      <c r="J135" s="29" t="s">
        <v>566</v>
      </c>
      <c r="K135" s="31">
        <v>6</v>
      </c>
      <c r="L135" s="29" t="s">
        <v>21</v>
      </c>
      <c r="M135" s="29" t="s">
        <v>76</v>
      </c>
      <c r="N135" s="31">
        <v>1208.2</v>
      </c>
    </row>
    <row r="136" ht="29.75" spans="1:14">
      <c r="A136" s="29" t="s">
        <v>567</v>
      </c>
      <c r="B136" s="30">
        <v>45831</v>
      </c>
      <c r="C136" s="29" t="s">
        <v>568</v>
      </c>
      <c r="D136" s="29" t="s">
        <v>58</v>
      </c>
      <c r="E136" s="31">
        <v>2</v>
      </c>
      <c r="F136" s="31">
        <v>199.7</v>
      </c>
      <c r="G136" s="29" t="s">
        <v>561</v>
      </c>
      <c r="H136" s="29" t="s">
        <v>65</v>
      </c>
      <c r="I136" s="29" t="s">
        <v>89</v>
      </c>
      <c r="J136" s="29" t="s">
        <v>569</v>
      </c>
      <c r="K136" s="31">
        <v>4</v>
      </c>
      <c r="L136" s="29"/>
      <c r="M136" s="29" t="s">
        <v>38</v>
      </c>
      <c r="N136" s="31">
        <v>399.4</v>
      </c>
    </row>
    <row r="137" ht="29.75" spans="1:14">
      <c r="A137" s="29" t="s">
        <v>570</v>
      </c>
      <c r="B137" s="30">
        <v>45142</v>
      </c>
      <c r="C137" s="29" t="s">
        <v>571</v>
      </c>
      <c r="D137" s="29" t="s">
        <v>48</v>
      </c>
      <c r="E137" s="31">
        <v>2</v>
      </c>
      <c r="F137" s="31">
        <v>68.81</v>
      </c>
      <c r="G137" s="29" t="s">
        <v>572</v>
      </c>
      <c r="H137" s="29" t="s">
        <v>60</v>
      </c>
      <c r="I137" s="29" t="s">
        <v>19</v>
      </c>
      <c r="J137" s="29" t="s">
        <v>573</v>
      </c>
      <c r="K137" s="31">
        <v>5</v>
      </c>
      <c r="L137" s="29" t="s">
        <v>21</v>
      </c>
      <c r="M137" s="29" t="s">
        <v>29</v>
      </c>
      <c r="N137" s="31">
        <v>137.62</v>
      </c>
    </row>
    <row r="138" ht="29.75" spans="1:14">
      <c r="A138" s="29" t="s">
        <v>574</v>
      </c>
      <c r="B138" s="30">
        <v>45409</v>
      </c>
      <c r="C138" s="29" t="s">
        <v>575</v>
      </c>
      <c r="D138" s="29" t="s">
        <v>58</v>
      </c>
      <c r="E138" s="31">
        <v>1</v>
      </c>
      <c r="F138" s="31">
        <v>44.35</v>
      </c>
      <c r="G138" s="29" t="s">
        <v>576</v>
      </c>
      <c r="H138" s="29" t="s">
        <v>60</v>
      </c>
      <c r="I138" s="29" t="s">
        <v>35</v>
      </c>
      <c r="J138" s="29" t="s">
        <v>577</v>
      </c>
      <c r="K138" s="31">
        <v>1</v>
      </c>
      <c r="L138" s="29" t="s">
        <v>21</v>
      </c>
      <c r="M138" s="29" t="s">
        <v>22</v>
      </c>
      <c r="N138" s="31">
        <v>44.35</v>
      </c>
    </row>
    <row r="139" ht="29.75" spans="1:14">
      <c r="A139" s="29" t="s">
        <v>578</v>
      </c>
      <c r="B139" s="30">
        <v>45622</v>
      </c>
      <c r="C139" s="29" t="s">
        <v>579</v>
      </c>
      <c r="D139" s="29" t="s">
        <v>16</v>
      </c>
      <c r="E139" s="31">
        <v>2</v>
      </c>
      <c r="F139" s="31">
        <v>250.98</v>
      </c>
      <c r="G139" s="29" t="s">
        <v>580</v>
      </c>
      <c r="H139" s="29" t="s">
        <v>34</v>
      </c>
      <c r="I139" s="29" t="s">
        <v>50</v>
      </c>
      <c r="J139" s="29" t="s">
        <v>581</v>
      </c>
      <c r="K139" s="31">
        <v>5</v>
      </c>
      <c r="L139" s="29"/>
      <c r="M139" s="29" t="s">
        <v>76</v>
      </c>
      <c r="N139" s="31">
        <v>501.96</v>
      </c>
    </row>
    <row r="140" ht="29.75" spans="1:14">
      <c r="A140" s="29" t="s">
        <v>582</v>
      </c>
      <c r="B140" s="30">
        <v>45281</v>
      </c>
      <c r="C140" s="29" t="s">
        <v>583</v>
      </c>
      <c r="D140" s="29" t="s">
        <v>32</v>
      </c>
      <c r="E140" s="31">
        <v>1</v>
      </c>
      <c r="F140" s="31">
        <v>298.06</v>
      </c>
      <c r="G140" s="29" t="s">
        <v>584</v>
      </c>
      <c r="H140" s="29" t="s">
        <v>18</v>
      </c>
      <c r="I140" s="29" t="s">
        <v>89</v>
      </c>
      <c r="J140" s="29" t="s">
        <v>585</v>
      </c>
      <c r="K140" s="31">
        <v>3</v>
      </c>
      <c r="L140" s="29" t="s">
        <v>81</v>
      </c>
      <c r="M140" s="29" t="s">
        <v>76</v>
      </c>
      <c r="N140" s="31">
        <v>298.06</v>
      </c>
    </row>
    <row r="141" ht="29.75" spans="1:14">
      <c r="A141" s="29" t="s">
        <v>586</v>
      </c>
      <c r="B141" s="30">
        <v>45026</v>
      </c>
      <c r="C141" s="29" t="s">
        <v>587</v>
      </c>
      <c r="D141" s="29" t="s">
        <v>25</v>
      </c>
      <c r="E141" s="31">
        <v>1</v>
      </c>
      <c r="F141" s="31">
        <v>583.9</v>
      </c>
      <c r="G141" s="29" t="s">
        <v>588</v>
      </c>
      <c r="H141" s="29" t="s">
        <v>65</v>
      </c>
      <c r="I141" s="29" t="s">
        <v>43</v>
      </c>
      <c r="J141" s="29" t="s">
        <v>589</v>
      </c>
      <c r="K141" s="31">
        <v>1</v>
      </c>
      <c r="L141" s="29"/>
      <c r="M141" s="29" t="s">
        <v>38</v>
      </c>
      <c r="N141" s="31">
        <v>583.9</v>
      </c>
    </row>
    <row r="142" ht="29.75" spans="1:14">
      <c r="A142" s="29" t="s">
        <v>590</v>
      </c>
      <c r="B142" s="30">
        <v>45808</v>
      </c>
      <c r="C142" s="29" t="s">
        <v>591</v>
      </c>
      <c r="D142" s="29" t="s">
        <v>41</v>
      </c>
      <c r="E142" s="31">
        <v>3</v>
      </c>
      <c r="F142" s="31">
        <v>528.14</v>
      </c>
      <c r="G142" s="29" t="s">
        <v>474</v>
      </c>
      <c r="H142" s="29" t="s">
        <v>27</v>
      </c>
      <c r="I142" s="29" t="s">
        <v>50</v>
      </c>
      <c r="J142" s="29" t="s">
        <v>592</v>
      </c>
      <c r="K142" s="31">
        <v>3</v>
      </c>
      <c r="L142" s="29" t="s">
        <v>37</v>
      </c>
      <c r="M142" s="29" t="s">
        <v>38</v>
      </c>
      <c r="N142" s="31">
        <v>1584.42</v>
      </c>
    </row>
    <row r="143" ht="29.75" spans="1:14">
      <c r="A143" s="29" t="s">
        <v>593</v>
      </c>
      <c r="B143" s="30">
        <v>45248</v>
      </c>
      <c r="C143" s="29" t="s">
        <v>594</v>
      </c>
      <c r="D143" s="29" t="s">
        <v>48</v>
      </c>
      <c r="E143" s="31">
        <v>3</v>
      </c>
      <c r="F143" s="31">
        <v>684.14</v>
      </c>
      <c r="G143" s="29" t="s">
        <v>595</v>
      </c>
      <c r="H143" s="29" t="s">
        <v>65</v>
      </c>
      <c r="I143" s="29" t="s">
        <v>35</v>
      </c>
      <c r="J143" s="29" t="s">
        <v>596</v>
      </c>
      <c r="K143" s="31">
        <v>3</v>
      </c>
      <c r="L143" s="29" t="s">
        <v>81</v>
      </c>
      <c r="M143" s="29" t="s">
        <v>22</v>
      </c>
      <c r="N143" s="31">
        <v>2052.42</v>
      </c>
    </row>
    <row r="144" ht="29.75" spans="1:14">
      <c r="A144" s="29" t="s">
        <v>597</v>
      </c>
      <c r="B144" s="30">
        <v>45175</v>
      </c>
      <c r="C144" s="29" t="s">
        <v>598</v>
      </c>
      <c r="D144" s="29" t="s">
        <v>73</v>
      </c>
      <c r="E144" s="31">
        <v>5</v>
      </c>
      <c r="F144" s="31">
        <v>272.77</v>
      </c>
      <c r="G144" s="29" t="s">
        <v>599</v>
      </c>
      <c r="H144" s="29" t="s">
        <v>65</v>
      </c>
      <c r="I144" s="29" t="s">
        <v>89</v>
      </c>
      <c r="J144" s="29" t="s">
        <v>600</v>
      </c>
      <c r="K144" s="31">
        <v>7</v>
      </c>
      <c r="L144" s="29" t="s">
        <v>81</v>
      </c>
      <c r="M144" s="29" t="s">
        <v>38</v>
      </c>
      <c r="N144" s="31">
        <v>1363.85</v>
      </c>
    </row>
    <row r="145" ht="29.75" spans="1:14">
      <c r="A145" s="29" t="s">
        <v>601</v>
      </c>
      <c r="B145" s="30">
        <v>45456</v>
      </c>
      <c r="C145" s="29" t="s">
        <v>602</v>
      </c>
      <c r="D145" s="29" t="s">
        <v>41</v>
      </c>
      <c r="E145" s="31">
        <v>4</v>
      </c>
      <c r="F145" s="31">
        <v>400.07</v>
      </c>
      <c r="G145" s="29" t="s">
        <v>603</v>
      </c>
      <c r="H145" s="29" t="s">
        <v>27</v>
      </c>
      <c r="I145" s="29" t="s">
        <v>19</v>
      </c>
      <c r="J145" s="29" t="s">
        <v>604</v>
      </c>
      <c r="K145" s="31">
        <v>5</v>
      </c>
      <c r="L145" s="29"/>
      <c r="M145" s="29" t="s">
        <v>29</v>
      </c>
      <c r="N145" s="31">
        <v>1600.28</v>
      </c>
    </row>
    <row r="146" ht="29.75" spans="1:14">
      <c r="A146" s="29" t="s">
        <v>605</v>
      </c>
      <c r="B146" s="30">
        <v>45142</v>
      </c>
      <c r="C146" s="29" t="s">
        <v>606</v>
      </c>
      <c r="D146" s="29" t="s">
        <v>73</v>
      </c>
      <c r="E146" s="31">
        <v>5</v>
      </c>
      <c r="F146" s="31">
        <v>219.78</v>
      </c>
      <c r="G146" s="29" t="s">
        <v>161</v>
      </c>
      <c r="H146" s="29" t="s">
        <v>34</v>
      </c>
      <c r="I146" s="29" t="s">
        <v>89</v>
      </c>
      <c r="J146" s="29" t="s">
        <v>607</v>
      </c>
      <c r="K146" s="31">
        <v>8</v>
      </c>
      <c r="L146" s="29"/>
      <c r="M146" s="29" t="s">
        <v>45</v>
      </c>
      <c r="N146" s="31">
        <v>1098.9</v>
      </c>
    </row>
    <row r="147" ht="29.75" spans="1:14">
      <c r="A147" s="29" t="s">
        <v>608</v>
      </c>
      <c r="B147" s="30">
        <v>45353</v>
      </c>
      <c r="C147" s="29" t="s">
        <v>609</v>
      </c>
      <c r="D147" s="29" t="s">
        <v>48</v>
      </c>
      <c r="E147" s="31">
        <v>3</v>
      </c>
      <c r="F147" s="31">
        <v>146.91</v>
      </c>
      <c r="G147" s="29" t="s">
        <v>610</v>
      </c>
      <c r="H147" s="29" t="s">
        <v>34</v>
      </c>
      <c r="I147" s="29" t="s">
        <v>50</v>
      </c>
      <c r="J147" s="29" t="s">
        <v>611</v>
      </c>
      <c r="K147" s="31">
        <v>6</v>
      </c>
      <c r="L147" s="29" t="s">
        <v>37</v>
      </c>
      <c r="M147" s="29" t="s">
        <v>76</v>
      </c>
      <c r="N147" s="31">
        <v>440.73</v>
      </c>
    </row>
    <row r="148" ht="29.75" spans="1:14">
      <c r="A148" s="29" t="s">
        <v>612</v>
      </c>
      <c r="B148" s="30">
        <v>45777</v>
      </c>
      <c r="C148" s="29" t="s">
        <v>613</v>
      </c>
      <c r="D148" s="29" t="s">
        <v>32</v>
      </c>
      <c r="E148" s="31">
        <v>2</v>
      </c>
      <c r="F148" s="31">
        <v>411.49</v>
      </c>
      <c r="G148" s="29" t="s">
        <v>614</v>
      </c>
      <c r="H148" s="29" t="s">
        <v>34</v>
      </c>
      <c r="I148" s="29" t="s">
        <v>43</v>
      </c>
      <c r="J148" s="29" t="s">
        <v>615</v>
      </c>
      <c r="K148" s="31">
        <v>4</v>
      </c>
      <c r="L148" s="29"/>
      <c r="M148" s="29" t="s">
        <v>22</v>
      </c>
      <c r="N148" s="31">
        <v>822.98</v>
      </c>
    </row>
    <row r="149" ht="29.75" spans="1:14">
      <c r="A149" s="29" t="s">
        <v>616</v>
      </c>
      <c r="B149" s="30">
        <v>45783</v>
      </c>
      <c r="C149" s="29" t="s">
        <v>617</v>
      </c>
      <c r="D149" s="29" t="s">
        <v>58</v>
      </c>
      <c r="E149" s="31">
        <v>2</v>
      </c>
      <c r="F149" s="31">
        <v>465.18</v>
      </c>
      <c r="G149" s="29" t="s">
        <v>618</v>
      </c>
      <c r="H149" s="29" t="s">
        <v>34</v>
      </c>
      <c r="I149" s="29" t="s">
        <v>35</v>
      </c>
      <c r="J149" s="29" t="s">
        <v>619</v>
      </c>
      <c r="K149" s="31">
        <v>2</v>
      </c>
      <c r="L149" s="29" t="s">
        <v>21</v>
      </c>
      <c r="M149" s="29" t="s">
        <v>76</v>
      </c>
      <c r="N149" s="31">
        <v>930.36</v>
      </c>
    </row>
    <row r="150" ht="29.75" spans="1:14">
      <c r="A150" s="29" t="s">
        <v>620</v>
      </c>
      <c r="B150" s="30">
        <v>45641</v>
      </c>
      <c r="C150" s="29" t="s">
        <v>621</v>
      </c>
      <c r="D150" s="29" t="s">
        <v>25</v>
      </c>
      <c r="E150" s="31">
        <v>2</v>
      </c>
      <c r="F150" s="31">
        <v>319.91</v>
      </c>
      <c r="G150" s="29" t="s">
        <v>622</v>
      </c>
      <c r="H150" s="29" t="s">
        <v>34</v>
      </c>
      <c r="I150" s="29" t="s">
        <v>35</v>
      </c>
      <c r="J150" s="29" t="s">
        <v>623</v>
      </c>
      <c r="K150" s="31">
        <v>3</v>
      </c>
      <c r="L150" s="29" t="s">
        <v>81</v>
      </c>
      <c r="M150" s="29" t="s">
        <v>76</v>
      </c>
      <c r="N150" s="31">
        <v>639.82</v>
      </c>
    </row>
    <row r="151" ht="29.75" spans="1:14">
      <c r="A151" s="29" t="s">
        <v>624</v>
      </c>
      <c r="B151" s="30">
        <v>45287</v>
      </c>
      <c r="C151" s="29" t="s">
        <v>625</v>
      </c>
      <c r="D151" s="29" t="s">
        <v>58</v>
      </c>
      <c r="E151" s="31">
        <v>1</v>
      </c>
      <c r="F151" s="31">
        <v>217.56</v>
      </c>
      <c r="G151" s="29" t="s">
        <v>626</v>
      </c>
      <c r="H151" s="29" t="s">
        <v>18</v>
      </c>
      <c r="I151" s="29" t="s">
        <v>50</v>
      </c>
      <c r="J151" s="29" t="s">
        <v>627</v>
      </c>
      <c r="K151" s="31">
        <v>3</v>
      </c>
      <c r="L151" s="29"/>
      <c r="M151" s="29" t="s">
        <v>45</v>
      </c>
      <c r="N151" s="31">
        <v>217.56</v>
      </c>
    </row>
    <row r="152" ht="29.75" spans="1:14">
      <c r="A152" s="29" t="s">
        <v>628</v>
      </c>
      <c r="B152" s="30">
        <v>45273</v>
      </c>
      <c r="C152" s="29" t="s">
        <v>629</v>
      </c>
      <c r="D152" s="29" t="s">
        <v>25</v>
      </c>
      <c r="E152" s="31">
        <v>2</v>
      </c>
      <c r="F152" s="31">
        <v>105.57</v>
      </c>
      <c r="G152" s="29" t="s">
        <v>630</v>
      </c>
      <c r="H152" s="29" t="s">
        <v>18</v>
      </c>
      <c r="I152" s="29" t="s">
        <v>43</v>
      </c>
      <c r="J152" s="29" t="s">
        <v>631</v>
      </c>
      <c r="K152" s="31">
        <v>5</v>
      </c>
      <c r="L152" s="29" t="s">
        <v>81</v>
      </c>
      <c r="M152" s="29" t="s">
        <v>76</v>
      </c>
      <c r="N152" s="31">
        <v>211.14</v>
      </c>
    </row>
    <row r="153" ht="29.75" spans="1:14">
      <c r="A153" s="29" t="s">
        <v>632</v>
      </c>
      <c r="B153" s="30">
        <v>45261</v>
      </c>
      <c r="C153" s="29" t="s">
        <v>633</v>
      </c>
      <c r="D153" s="29" t="s">
        <v>48</v>
      </c>
      <c r="E153" s="31">
        <v>5</v>
      </c>
      <c r="F153" s="31">
        <v>444.76</v>
      </c>
      <c r="G153" s="29" t="s">
        <v>634</v>
      </c>
      <c r="H153" s="29" t="s">
        <v>18</v>
      </c>
      <c r="I153" s="29" t="s">
        <v>43</v>
      </c>
      <c r="J153" s="29" t="s">
        <v>635</v>
      </c>
      <c r="K153" s="31">
        <v>7</v>
      </c>
      <c r="L153" s="29"/>
      <c r="M153" s="29" t="s">
        <v>38</v>
      </c>
      <c r="N153" s="31">
        <v>2223.8</v>
      </c>
    </row>
    <row r="154" ht="29.75" spans="1:14">
      <c r="A154" s="29" t="s">
        <v>636</v>
      </c>
      <c r="B154" s="30">
        <v>45659</v>
      </c>
      <c r="C154" s="29" t="s">
        <v>637</v>
      </c>
      <c r="D154" s="29" t="s">
        <v>41</v>
      </c>
      <c r="E154" s="31">
        <v>2</v>
      </c>
      <c r="F154" s="31">
        <v>399.04</v>
      </c>
      <c r="G154" s="29" t="s">
        <v>638</v>
      </c>
      <c r="H154" s="29" t="s">
        <v>65</v>
      </c>
      <c r="I154" s="29" t="s">
        <v>35</v>
      </c>
      <c r="J154" s="29" t="s">
        <v>639</v>
      </c>
      <c r="K154" s="31">
        <v>3</v>
      </c>
      <c r="L154" s="29" t="s">
        <v>37</v>
      </c>
      <c r="M154" s="29" t="s">
        <v>29</v>
      </c>
      <c r="N154" s="31">
        <v>798.08</v>
      </c>
    </row>
    <row r="155" ht="29.75" spans="1:14">
      <c r="A155" s="29" t="s">
        <v>640</v>
      </c>
      <c r="B155" s="30">
        <v>45644</v>
      </c>
      <c r="C155" s="29" t="s">
        <v>641</v>
      </c>
      <c r="D155" s="29" t="s">
        <v>41</v>
      </c>
      <c r="E155" s="31">
        <v>4</v>
      </c>
      <c r="F155" s="31">
        <v>534.48</v>
      </c>
      <c r="G155" s="29" t="s">
        <v>642</v>
      </c>
      <c r="H155" s="29" t="s">
        <v>27</v>
      </c>
      <c r="I155" s="29" t="s">
        <v>43</v>
      </c>
      <c r="J155" s="29" t="s">
        <v>643</v>
      </c>
      <c r="K155" s="31">
        <v>9</v>
      </c>
      <c r="L155" s="29" t="s">
        <v>81</v>
      </c>
      <c r="M155" s="29" t="s">
        <v>22</v>
      </c>
      <c r="N155" s="31">
        <v>2137.92</v>
      </c>
    </row>
    <row r="156" ht="29.75" spans="1:14">
      <c r="A156" s="29" t="s">
        <v>644</v>
      </c>
      <c r="B156" s="30">
        <v>45127</v>
      </c>
      <c r="C156" s="29" t="s">
        <v>645</v>
      </c>
      <c r="D156" s="29" t="s">
        <v>25</v>
      </c>
      <c r="E156" s="31">
        <v>4</v>
      </c>
      <c r="F156" s="31">
        <v>408.21</v>
      </c>
      <c r="G156" s="29" t="s">
        <v>525</v>
      </c>
      <c r="H156" s="29" t="s">
        <v>34</v>
      </c>
      <c r="I156" s="29" t="s">
        <v>89</v>
      </c>
      <c r="J156" s="29" t="s">
        <v>646</v>
      </c>
      <c r="K156" s="31">
        <v>9</v>
      </c>
      <c r="L156" s="29"/>
      <c r="M156" s="29" t="s">
        <v>22</v>
      </c>
      <c r="N156" s="31">
        <v>1632.84</v>
      </c>
    </row>
    <row r="157" ht="29.75" spans="1:14">
      <c r="A157" s="29" t="s">
        <v>647</v>
      </c>
      <c r="B157" s="30">
        <v>44984</v>
      </c>
      <c r="C157" s="29" t="s">
        <v>648</v>
      </c>
      <c r="D157" s="29" t="s">
        <v>25</v>
      </c>
      <c r="E157" s="31">
        <v>1</v>
      </c>
      <c r="F157" s="31">
        <v>424.4</v>
      </c>
      <c r="G157" s="29" t="s">
        <v>238</v>
      </c>
      <c r="H157" s="29" t="s">
        <v>27</v>
      </c>
      <c r="I157" s="29" t="s">
        <v>19</v>
      </c>
      <c r="J157" s="29" t="s">
        <v>649</v>
      </c>
      <c r="K157" s="31">
        <v>6</v>
      </c>
      <c r="L157" s="29" t="s">
        <v>81</v>
      </c>
      <c r="M157" s="29" t="s">
        <v>29</v>
      </c>
      <c r="N157" s="31">
        <v>424.4</v>
      </c>
    </row>
    <row r="158" ht="29.75" spans="1:14">
      <c r="A158" s="29" t="s">
        <v>650</v>
      </c>
      <c r="B158" s="30">
        <v>45604</v>
      </c>
      <c r="C158" s="29" t="s">
        <v>651</v>
      </c>
      <c r="D158" s="29" t="s">
        <v>41</v>
      </c>
      <c r="E158" s="31">
        <v>2</v>
      </c>
      <c r="F158" s="31">
        <v>269.83</v>
      </c>
      <c r="G158" s="29" t="s">
        <v>652</v>
      </c>
      <c r="H158" s="29" t="s">
        <v>27</v>
      </c>
      <c r="I158" s="29" t="s">
        <v>50</v>
      </c>
      <c r="J158" s="29" t="s">
        <v>653</v>
      </c>
      <c r="K158" s="31">
        <v>4</v>
      </c>
      <c r="L158" s="29" t="s">
        <v>21</v>
      </c>
      <c r="M158" s="29" t="s">
        <v>38</v>
      </c>
      <c r="N158" s="31">
        <v>539.66</v>
      </c>
    </row>
    <row r="159" ht="29.75" spans="1:14">
      <c r="A159" s="29" t="s">
        <v>654</v>
      </c>
      <c r="B159" s="30">
        <v>45709</v>
      </c>
      <c r="C159" s="29" t="s">
        <v>655</v>
      </c>
      <c r="D159" s="29" t="s">
        <v>16</v>
      </c>
      <c r="E159" s="31">
        <v>2</v>
      </c>
      <c r="F159" s="31">
        <v>564.58</v>
      </c>
      <c r="G159" s="29" t="s">
        <v>565</v>
      </c>
      <c r="H159" s="29" t="s">
        <v>27</v>
      </c>
      <c r="I159" s="29" t="s">
        <v>43</v>
      </c>
      <c r="J159" s="29" t="s">
        <v>656</v>
      </c>
      <c r="K159" s="31">
        <v>4</v>
      </c>
      <c r="L159" s="29" t="s">
        <v>81</v>
      </c>
      <c r="M159" s="29" t="s">
        <v>45</v>
      </c>
      <c r="N159" s="31">
        <v>1129.16</v>
      </c>
    </row>
    <row r="160" ht="29.75" spans="1:14">
      <c r="A160" s="29" t="s">
        <v>657</v>
      </c>
      <c r="B160" s="30">
        <v>45428</v>
      </c>
      <c r="C160" s="29" t="s">
        <v>658</v>
      </c>
      <c r="D160" s="29" t="s">
        <v>32</v>
      </c>
      <c r="E160" s="31">
        <v>1</v>
      </c>
      <c r="F160" s="31">
        <v>331.06</v>
      </c>
      <c r="G160" s="29" t="s">
        <v>659</v>
      </c>
      <c r="H160" s="29" t="s">
        <v>34</v>
      </c>
      <c r="I160" s="29" t="s">
        <v>89</v>
      </c>
      <c r="J160" s="29" t="s">
        <v>660</v>
      </c>
      <c r="K160" s="31">
        <v>5</v>
      </c>
      <c r="L160" s="29" t="s">
        <v>81</v>
      </c>
      <c r="M160" s="29" t="s">
        <v>22</v>
      </c>
      <c r="N160" s="31">
        <v>331.06</v>
      </c>
    </row>
    <row r="161" ht="29.75" spans="1:14">
      <c r="A161" s="29" t="s">
        <v>661</v>
      </c>
      <c r="B161" s="30">
        <v>45230</v>
      </c>
      <c r="C161" s="29" t="s">
        <v>662</v>
      </c>
      <c r="D161" s="29" t="s">
        <v>48</v>
      </c>
      <c r="E161" s="31">
        <v>1</v>
      </c>
      <c r="F161" s="31">
        <v>299.35</v>
      </c>
      <c r="G161" s="29" t="s">
        <v>663</v>
      </c>
      <c r="H161" s="29" t="s">
        <v>34</v>
      </c>
      <c r="I161" s="29" t="s">
        <v>35</v>
      </c>
      <c r="J161" s="29" t="s">
        <v>664</v>
      </c>
      <c r="K161" s="31">
        <v>5</v>
      </c>
      <c r="L161" s="29" t="s">
        <v>81</v>
      </c>
      <c r="M161" s="29" t="s">
        <v>38</v>
      </c>
      <c r="N161" s="31">
        <v>299.35</v>
      </c>
    </row>
    <row r="162" ht="29.75" spans="1:14">
      <c r="A162" s="29" t="s">
        <v>665</v>
      </c>
      <c r="B162" s="30">
        <v>44974</v>
      </c>
      <c r="C162" s="29" t="s">
        <v>666</v>
      </c>
      <c r="D162" s="29" t="s">
        <v>16</v>
      </c>
      <c r="E162" s="31">
        <v>4</v>
      </c>
      <c r="F162" s="31">
        <v>101.32</v>
      </c>
      <c r="G162" s="29" t="s">
        <v>667</v>
      </c>
      <c r="H162" s="29" t="s">
        <v>65</v>
      </c>
      <c r="I162" s="29" t="s">
        <v>89</v>
      </c>
      <c r="J162" s="29" t="s">
        <v>668</v>
      </c>
      <c r="K162" s="31">
        <v>7</v>
      </c>
      <c r="L162" s="29"/>
      <c r="M162" s="29" t="s">
        <v>29</v>
      </c>
      <c r="N162" s="31">
        <v>405.28</v>
      </c>
    </row>
    <row r="163" ht="29.75" spans="1:14">
      <c r="A163" s="29" t="s">
        <v>669</v>
      </c>
      <c r="B163" s="30">
        <v>45380</v>
      </c>
      <c r="C163" s="29" t="s">
        <v>670</v>
      </c>
      <c r="D163" s="29" t="s">
        <v>16</v>
      </c>
      <c r="E163" s="31">
        <v>1</v>
      </c>
      <c r="F163" s="31">
        <v>211.14</v>
      </c>
      <c r="G163" s="29" t="s">
        <v>553</v>
      </c>
      <c r="H163" s="29" t="s">
        <v>34</v>
      </c>
      <c r="I163" s="29" t="s">
        <v>35</v>
      </c>
      <c r="J163" s="29" t="s">
        <v>671</v>
      </c>
      <c r="K163" s="31">
        <v>1</v>
      </c>
      <c r="L163" s="29" t="s">
        <v>21</v>
      </c>
      <c r="M163" s="29" t="s">
        <v>45</v>
      </c>
      <c r="N163" s="31">
        <v>211.14</v>
      </c>
    </row>
    <row r="164" ht="29.75" spans="1:14">
      <c r="A164" s="29" t="s">
        <v>672</v>
      </c>
      <c r="B164" s="30">
        <v>45134</v>
      </c>
      <c r="C164" s="29" t="s">
        <v>673</v>
      </c>
      <c r="D164" s="29" t="s">
        <v>41</v>
      </c>
      <c r="E164" s="31">
        <v>3</v>
      </c>
      <c r="F164" s="31">
        <v>65.86</v>
      </c>
      <c r="G164" s="29" t="s">
        <v>335</v>
      </c>
      <c r="H164" s="29" t="s">
        <v>27</v>
      </c>
      <c r="I164" s="29" t="s">
        <v>89</v>
      </c>
      <c r="J164" s="29" t="s">
        <v>674</v>
      </c>
      <c r="K164" s="31">
        <v>8</v>
      </c>
      <c r="L164" s="29" t="s">
        <v>81</v>
      </c>
      <c r="M164" s="29" t="s">
        <v>76</v>
      </c>
      <c r="N164" s="31">
        <v>197.58</v>
      </c>
    </row>
    <row r="165" ht="29.75" spans="1:14">
      <c r="A165" s="29" t="s">
        <v>675</v>
      </c>
      <c r="B165" s="30">
        <v>45832</v>
      </c>
      <c r="C165" s="29" t="s">
        <v>676</v>
      </c>
      <c r="D165" s="29" t="s">
        <v>32</v>
      </c>
      <c r="E165" s="31">
        <v>1</v>
      </c>
      <c r="F165" s="31">
        <v>641.39</v>
      </c>
      <c r="G165" s="29" t="s">
        <v>677</v>
      </c>
      <c r="H165" s="29" t="s">
        <v>27</v>
      </c>
      <c r="I165" s="29" t="s">
        <v>35</v>
      </c>
      <c r="J165" s="29" t="s">
        <v>678</v>
      </c>
      <c r="K165" s="31">
        <v>1</v>
      </c>
      <c r="L165" s="29"/>
      <c r="M165" s="29" t="s">
        <v>29</v>
      </c>
      <c r="N165" s="31">
        <v>641.39</v>
      </c>
    </row>
    <row r="166" ht="29.75" spans="1:14">
      <c r="A166" s="29" t="s">
        <v>679</v>
      </c>
      <c r="B166" s="30">
        <v>45288</v>
      </c>
      <c r="C166" s="29" t="s">
        <v>680</v>
      </c>
      <c r="D166" s="29" t="s">
        <v>73</v>
      </c>
      <c r="E166" s="31">
        <v>5</v>
      </c>
      <c r="F166" s="31">
        <v>536.58</v>
      </c>
      <c r="G166" s="29" t="s">
        <v>681</v>
      </c>
      <c r="H166" s="29" t="s">
        <v>60</v>
      </c>
      <c r="I166" s="29" t="s">
        <v>89</v>
      </c>
      <c r="J166" s="29" t="s">
        <v>682</v>
      </c>
      <c r="K166" s="31">
        <v>5</v>
      </c>
      <c r="L166" s="29" t="s">
        <v>21</v>
      </c>
      <c r="M166" s="29" t="s">
        <v>76</v>
      </c>
      <c r="N166" s="31">
        <v>2682.9</v>
      </c>
    </row>
    <row r="167" ht="29.75" spans="1:14">
      <c r="A167" s="29" t="s">
        <v>683</v>
      </c>
      <c r="B167" s="30">
        <v>45549</v>
      </c>
      <c r="C167" s="29" t="s">
        <v>684</v>
      </c>
      <c r="D167" s="29" t="s">
        <v>16</v>
      </c>
      <c r="E167" s="31">
        <v>2</v>
      </c>
      <c r="F167" s="31">
        <v>500.29</v>
      </c>
      <c r="G167" s="29" t="s">
        <v>685</v>
      </c>
      <c r="H167" s="29" t="s">
        <v>27</v>
      </c>
      <c r="I167" s="29" t="s">
        <v>43</v>
      </c>
      <c r="J167" s="29" t="s">
        <v>686</v>
      </c>
      <c r="K167" s="31">
        <v>7</v>
      </c>
      <c r="L167" s="29" t="s">
        <v>81</v>
      </c>
      <c r="M167" s="29" t="s">
        <v>76</v>
      </c>
      <c r="N167" s="31">
        <v>1000.58</v>
      </c>
    </row>
    <row r="168" ht="29.75" spans="1:14">
      <c r="A168" s="29" t="s">
        <v>687</v>
      </c>
      <c r="B168" s="30">
        <v>45720</v>
      </c>
      <c r="C168" s="29" t="s">
        <v>688</v>
      </c>
      <c r="D168" s="29" t="s">
        <v>41</v>
      </c>
      <c r="E168" s="31">
        <v>3</v>
      </c>
      <c r="F168" s="31">
        <v>86.29</v>
      </c>
      <c r="G168" s="29" t="s">
        <v>257</v>
      </c>
      <c r="H168" s="29" t="s">
        <v>65</v>
      </c>
      <c r="I168" s="29" t="s">
        <v>50</v>
      </c>
      <c r="J168" s="29" t="s">
        <v>689</v>
      </c>
      <c r="K168" s="31">
        <v>6</v>
      </c>
      <c r="L168" s="29" t="s">
        <v>81</v>
      </c>
      <c r="M168" s="29" t="s">
        <v>22</v>
      </c>
      <c r="N168" s="31">
        <v>258.87</v>
      </c>
    </row>
    <row r="169" ht="29.75" spans="1:14">
      <c r="A169" s="29" t="s">
        <v>690</v>
      </c>
      <c r="B169" s="30">
        <v>45073</v>
      </c>
      <c r="C169" s="29" t="s">
        <v>691</v>
      </c>
      <c r="D169" s="29" t="s">
        <v>41</v>
      </c>
      <c r="E169" s="31">
        <v>2</v>
      </c>
      <c r="F169" s="31">
        <v>384.14</v>
      </c>
      <c r="G169" s="29" t="s">
        <v>692</v>
      </c>
      <c r="H169" s="29" t="s">
        <v>27</v>
      </c>
      <c r="I169" s="29" t="s">
        <v>43</v>
      </c>
      <c r="J169" s="29" t="s">
        <v>693</v>
      </c>
      <c r="K169" s="31">
        <v>2</v>
      </c>
      <c r="L169" s="29" t="s">
        <v>81</v>
      </c>
      <c r="M169" s="29" t="s">
        <v>38</v>
      </c>
      <c r="N169" s="31">
        <v>768.28</v>
      </c>
    </row>
    <row r="170" ht="29.75" spans="1:14">
      <c r="A170" s="29" t="s">
        <v>694</v>
      </c>
      <c r="B170" s="30">
        <v>45661</v>
      </c>
      <c r="C170" s="29" t="s">
        <v>695</v>
      </c>
      <c r="D170" s="29" t="s">
        <v>48</v>
      </c>
      <c r="E170" s="31">
        <v>1</v>
      </c>
      <c r="F170" s="31">
        <v>594.96</v>
      </c>
      <c r="G170" s="29" t="s">
        <v>696</v>
      </c>
      <c r="H170" s="29" t="s">
        <v>65</v>
      </c>
      <c r="I170" s="29" t="s">
        <v>43</v>
      </c>
      <c r="J170" s="29" t="s">
        <v>697</v>
      </c>
      <c r="K170" s="31">
        <v>6</v>
      </c>
      <c r="L170" s="29"/>
      <c r="M170" s="29" t="s">
        <v>45</v>
      </c>
      <c r="N170" s="31">
        <v>594.96</v>
      </c>
    </row>
    <row r="171" ht="29.75" spans="1:14">
      <c r="A171" s="29" t="s">
        <v>698</v>
      </c>
      <c r="B171" s="30">
        <v>45389</v>
      </c>
      <c r="C171" s="29" t="s">
        <v>699</v>
      </c>
      <c r="D171" s="29" t="s">
        <v>48</v>
      </c>
      <c r="E171" s="31">
        <v>1</v>
      </c>
      <c r="F171" s="31">
        <v>427.82</v>
      </c>
      <c r="G171" s="29" t="s">
        <v>700</v>
      </c>
      <c r="H171" s="29" t="s">
        <v>27</v>
      </c>
      <c r="I171" s="29" t="s">
        <v>50</v>
      </c>
      <c r="J171" s="29" t="s">
        <v>701</v>
      </c>
      <c r="K171" s="31">
        <v>2</v>
      </c>
      <c r="L171" s="29" t="s">
        <v>81</v>
      </c>
      <c r="M171" s="29" t="s">
        <v>38</v>
      </c>
      <c r="N171" s="31">
        <v>427.82</v>
      </c>
    </row>
    <row r="172" ht="29.75" spans="1:14">
      <c r="A172" s="29" t="s">
        <v>702</v>
      </c>
      <c r="B172" s="30">
        <v>45751</v>
      </c>
      <c r="C172" s="29" t="s">
        <v>703</v>
      </c>
      <c r="D172" s="29" t="s">
        <v>73</v>
      </c>
      <c r="E172" s="31">
        <v>4</v>
      </c>
      <c r="F172" s="31">
        <v>662.94</v>
      </c>
      <c r="G172" s="29" t="s">
        <v>704</v>
      </c>
      <c r="H172" s="29" t="s">
        <v>65</v>
      </c>
      <c r="I172" s="29" t="s">
        <v>35</v>
      </c>
      <c r="J172" s="29" t="s">
        <v>705</v>
      </c>
      <c r="K172" s="31">
        <v>8</v>
      </c>
      <c r="L172" s="29" t="s">
        <v>21</v>
      </c>
      <c r="M172" s="29" t="s">
        <v>22</v>
      </c>
      <c r="N172" s="31">
        <v>2651.76</v>
      </c>
    </row>
    <row r="173" ht="29.75" spans="1:14">
      <c r="A173" s="29" t="s">
        <v>706</v>
      </c>
      <c r="B173" s="30">
        <v>45153</v>
      </c>
      <c r="C173" s="29" t="s">
        <v>707</v>
      </c>
      <c r="D173" s="29" t="s">
        <v>32</v>
      </c>
      <c r="E173" s="31">
        <v>2</v>
      </c>
      <c r="F173" s="31">
        <v>148.22</v>
      </c>
      <c r="G173" s="29" t="s">
        <v>708</v>
      </c>
      <c r="H173" s="29" t="s">
        <v>34</v>
      </c>
      <c r="I173" s="29" t="s">
        <v>50</v>
      </c>
      <c r="J173" s="29" t="s">
        <v>709</v>
      </c>
      <c r="K173" s="31">
        <v>7</v>
      </c>
      <c r="L173" s="29" t="s">
        <v>81</v>
      </c>
      <c r="M173" s="29" t="s">
        <v>22</v>
      </c>
      <c r="N173" s="31">
        <v>296.44</v>
      </c>
    </row>
    <row r="174" ht="29.75" spans="1:14">
      <c r="A174" s="29" t="s">
        <v>710</v>
      </c>
      <c r="B174" s="30">
        <v>45753</v>
      </c>
      <c r="C174" s="29" t="s">
        <v>711</v>
      </c>
      <c r="D174" s="29" t="s">
        <v>48</v>
      </c>
      <c r="E174" s="31">
        <v>1</v>
      </c>
      <c r="F174" s="31">
        <v>254.12</v>
      </c>
      <c r="G174" s="29" t="s">
        <v>541</v>
      </c>
      <c r="H174" s="29" t="s">
        <v>27</v>
      </c>
      <c r="I174" s="29" t="s">
        <v>50</v>
      </c>
      <c r="J174" s="29" t="s">
        <v>712</v>
      </c>
      <c r="K174" s="31">
        <v>1</v>
      </c>
      <c r="L174" s="29" t="s">
        <v>81</v>
      </c>
      <c r="M174" s="29" t="s">
        <v>38</v>
      </c>
      <c r="N174" s="31">
        <v>254.12</v>
      </c>
    </row>
    <row r="175" ht="29.75" spans="1:14">
      <c r="A175" s="29" t="s">
        <v>713</v>
      </c>
      <c r="B175" s="30">
        <v>45375</v>
      </c>
      <c r="C175" s="29" t="s">
        <v>714</v>
      </c>
      <c r="D175" s="29" t="s">
        <v>25</v>
      </c>
      <c r="E175" s="31">
        <v>3</v>
      </c>
      <c r="F175" s="31">
        <v>664.46</v>
      </c>
      <c r="G175" s="29" t="s">
        <v>715</v>
      </c>
      <c r="H175" s="29" t="s">
        <v>27</v>
      </c>
      <c r="I175" s="29" t="s">
        <v>50</v>
      </c>
      <c r="J175" s="29" t="s">
        <v>716</v>
      </c>
      <c r="K175" s="31">
        <v>4</v>
      </c>
      <c r="L175" s="29" t="s">
        <v>37</v>
      </c>
      <c r="M175" s="29" t="s">
        <v>76</v>
      </c>
      <c r="N175" s="31">
        <v>1993.38</v>
      </c>
    </row>
    <row r="176" ht="29.75" spans="1:14">
      <c r="A176" s="29" t="s">
        <v>717</v>
      </c>
      <c r="B176" s="30">
        <v>45398</v>
      </c>
      <c r="C176" s="29" t="s">
        <v>718</v>
      </c>
      <c r="D176" s="29" t="s">
        <v>48</v>
      </c>
      <c r="E176" s="31">
        <v>4</v>
      </c>
      <c r="F176" s="31">
        <v>600.81</v>
      </c>
      <c r="G176" s="29" t="s">
        <v>719</v>
      </c>
      <c r="H176" s="29" t="s">
        <v>18</v>
      </c>
      <c r="I176" s="29" t="s">
        <v>50</v>
      </c>
      <c r="J176" s="29" t="s">
        <v>720</v>
      </c>
      <c r="K176" s="31">
        <v>9</v>
      </c>
      <c r="L176" s="29" t="s">
        <v>21</v>
      </c>
      <c r="M176" s="29" t="s">
        <v>38</v>
      </c>
      <c r="N176" s="31">
        <v>2403.24</v>
      </c>
    </row>
    <row r="177" ht="29.75" spans="1:14">
      <c r="A177" s="29" t="s">
        <v>721</v>
      </c>
      <c r="B177" s="30">
        <v>45696</v>
      </c>
      <c r="C177" s="29" t="s">
        <v>722</v>
      </c>
      <c r="D177" s="29" t="s">
        <v>41</v>
      </c>
      <c r="E177" s="31">
        <v>5</v>
      </c>
      <c r="F177" s="31">
        <v>68.34</v>
      </c>
      <c r="G177" s="29" t="s">
        <v>723</v>
      </c>
      <c r="H177" s="29" t="s">
        <v>18</v>
      </c>
      <c r="I177" s="29" t="s">
        <v>89</v>
      </c>
      <c r="J177" s="29" t="s">
        <v>724</v>
      </c>
      <c r="K177" s="31">
        <v>6</v>
      </c>
      <c r="L177" s="29" t="s">
        <v>81</v>
      </c>
      <c r="M177" s="29" t="s">
        <v>29</v>
      </c>
      <c r="N177" s="31">
        <v>341.7</v>
      </c>
    </row>
    <row r="178" ht="29.75" spans="1:14">
      <c r="A178" s="29" t="s">
        <v>725</v>
      </c>
      <c r="B178" s="30">
        <v>45836</v>
      </c>
      <c r="C178" s="29" t="s">
        <v>726</v>
      </c>
      <c r="D178" s="29" t="s">
        <v>32</v>
      </c>
      <c r="E178" s="31">
        <v>4</v>
      </c>
      <c r="F178" s="31">
        <v>430.83</v>
      </c>
      <c r="G178" s="29" t="s">
        <v>727</v>
      </c>
      <c r="H178" s="29" t="s">
        <v>60</v>
      </c>
      <c r="I178" s="29" t="s">
        <v>89</v>
      </c>
      <c r="J178" s="29" t="s">
        <v>728</v>
      </c>
      <c r="K178" s="31">
        <v>8</v>
      </c>
      <c r="L178" s="29" t="s">
        <v>81</v>
      </c>
      <c r="M178" s="29" t="s">
        <v>29</v>
      </c>
      <c r="N178" s="31">
        <v>1723.32</v>
      </c>
    </row>
    <row r="179" ht="29.75" spans="1:14">
      <c r="A179" s="29" t="s">
        <v>729</v>
      </c>
      <c r="B179" s="30">
        <v>45143</v>
      </c>
      <c r="C179" s="29" t="s">
        <v>730</v>
      </c>
      <c r="D179" s="29" t="s">
        <v>41</v>
      </c>
      <c r="E179" s="31">
        <v>5</v>
      </c>
      <c r="F179" s="31">
        <v>431.69</v>
      </c>
      <c r="G179" s="29" t="s">
        <v>731</v>
      </c>
      <c r="H179" s="29" t="s">
        <v>34</v>
      </c>
      <c r="I179" s="29" t="s">
        <v>89</v>
      </c>
      <c r="J179" s="29" t="s">
        <v>732</v>
      </c>
      <c r="K179" s="31">
        <v>10</v>
      </c>
      <c r="L179" s="29"/>
      <c r="M179" s="29" t="s">
        <v>45</v>
      </c>
      <c r="N179" s="31">
        <v>2158.45</v>
      </c>
    </row>
    <row r="180" ht="29.75" spans="1:14">
      <c r="A180" s="29" t="s">
        <v>733</v>
      </c>
      <c r="B180" s="30">
        <v>45393</v>
      </c>
      <c r="C180" s="29" t="s">
        <v>734</v>
      </c>
      <c r="D180" s="29" t="s">
        <v>41</v>
      </c>
      <c r="E180" s="31">
        <v>4</v>
      </c>
      <c r="F180" s="31">
        <v>512.06</v>
      </c>
      <c r="G180" s="29" t="s">
        <v>735</v>
      </c>
      <c r="H180" s="29" t="s">
        <v>27</v>
      </c>
      <c r="I180" s="29" t="s">
        <v>50</v>
      </c>
      <c r="J180" s="29" t="s">
        <v>736</v>
      </c>
      <c r="K180" s="31">
        <v>5</v>
      </c>
      <c r="L180" s="29" t="s">
        <v>21</v>
      </c>
      <c r="M180" s="29" t="s">
        <v>76</v>
      </c>
      <c r="N180" s="31">
        <v>2048.24</v>
      </c>
    </row>
    <row r="181" ht="29.75" spans="1:14">
      <c r="A181" s="29" t="s">
        <v>737</v>
      </c>
      <c r="B181" s="30">
        <v>45620</v>
      </c>
      <c r="C181" s="29" t="s">
        <v>738</v>
      </c>
      <c r="D181" s="29" t="s">
        <v>58</v>
      </c>
      <c r="E181" s="31">
        <v>3</v>
      </c>
      <c r="F181" s="31">
        <v>539.91</v>
      </c>
      <c r="G181" s="29" t="s">
        <v>739</v>
      </c>
      <c r="H181" s="29" t="s">
        <v>34</v>
      </c>
      <c r="I181" s="29" t="s">
        <v>50</v>
      </c>
      <c r="J181" s="29" t="s">
        <v>740</v>
      </c>
      <c r="K181" s="31">
        <v>8</v>
      </c>
      <c r="L181" s="29"/>
      <c r="M181" s="29" t="s">
        <v>38</v>
      </c>
      <c r="N181" s="31">
        <v>1619.73</v>
      </c>
    </row>
    <row r="182" ht="29.75" spans="1:14">
      <c r="A182" s="29" t="s">
        <v>741</v>
      </c>
      <c r="B182" s="30">
        <v>45003</v>
      </c>
      <c r="C182" s="29" t="s">
        <v>742</v>
      </c>
      <c r="D182" s="29" t="s">
        <v>32</v>
      </c>
      <c r="E182" s="31">
        <v>5</v>
      </c>
      <c r="F182" s="31">
        <v>316.07</v>
      </c>
      <c r="G182" s="29" t="s">
        <v>743</v>
      </c>
      <c r="H182" s="29" t="s">
        <v>65</v>
      </c>
      <c r="I182" s="29" t="s">
        <v>43</v>
      </c>
      <c r="J182" s="29" t="s">
        <v>744</v>
      </c>
      <c r="K182" s="31">
        <v>10</v>
      </c>
      <c r="L182" s="29"/>
      <c r="M182" s="29" t="s">
        <v>76</v>
      </c>
      <c r="N182" s="31">
        <v>1580.35</v>
      </c>
    </row>
    <row r="183" ht="29.75" spans="1:14">
      <c r="A183" s="29" t="s">
        <v>745</v>
      </c>
      <c r="B183" s="30">
        <v>45535</v>
      </c>
      <c r="C183" s="29" t="s">
        <v>746</v>
      </c>
      <c r="D183" s="29" t="s">
        <v>48</v>
      </c>
      <c r="E183" s="31">
        <v>5</v>
      </c>
      <c r="F183" s="31">
        <v>404.39</v>
      </c>
      <c r="G183" s="29" t="s">
        <v>747</v>
      </c>
      <c r="H183" s="29" t="s">
        <v>27</v>
      </c>
      <c r="I183" s="29" t="s">
        <v>19</v>
      </c>
      <c r="J183" s="29" t="s">
        <v>748</v>
      </c>
      <c r="K183" s="31">
        <v>10</v>
      </c>
      <c r="L183" s="29"/>
      <c r="M183" s="29" t="s">
        <v>29</v>
      </c>
      <c r="N183" s="31">
        <v>2021.95</v>
      </c>
    </row>
    <row r="184" ht="29.75" spans="1:14">
      <c r="A184" s="29" t="s">
        <v>749</v>
      </c>
      <c r="B184" s="30">
        <v>45735</v>
      </c>
      <c r="C184" s="29" t="s">
        <v>750</v>
      </c>
      <c r="D184" s="29" t="s">
        <v>73</v>
      </c>
      <c r="E184" s="31">
        <v>1</v>
      </c>
      <c r="F184" s="31">
        <v>600.54</v>
      </c>
      <c r="G184" s="29" t="s">
        <v>751</v>
      </c>
      <c r="H184" s="29" t="s">
        <v>18</v>
      </c>
      <c r="I184" s="29" t="s">
        <v>89</v>
      </c>
      <c r="J184" s="29" t="s">
        <v>752</v>
      </c>
      <c r="K184" s="31">
        <v>4</v>
      </c>
      <c r="L184" s="29" t="s">
        <v>81</v>
      </c>
      <c r="M184" s="29" t="s">
        <v>76</v>
      </c>
      <c r="N184" s="31">
        <v>600.54</v>
      </c>
    </row>
    <row r="185" ht="29.75" spans="1:14">
      <c r="A185" s="29" t="s">
        <v>753</v>
      </c>
      <c r="B185" s="30">
        <v>45400</v>
      </c>
      <c r="C185" s="29" t="s">
        <v>754</v>
      </c>
      <c r="D185" s="29" t="s">
        <v>16</v>
      </c>
      <c r="E185" s="31">
        <v>5</v>
      </c>
      <c r="F185" s="31">
        <v>186.28</v>
      </c>
      <c r="G185" s="29" t="s">
        <v>755</v>
      </c>
      <c r="H185" s="29" t="s">
        <v>18</v>
      </c>
      <c r="I185" s="29" t="s">
        <v>50</v>
      </c>
      <c r="J185" s="29" t="s">
        <v>756</v>
      </c>
      <c r="K185" s="31">
        <v>8</v>
      </c>
      <c r="L185" s="29" t="s">
        <v>21</v>
      </c>
      <c r="M185" s="29" t="s">
        <v>38</v>
      </c>
      <c r="N185" s="31">
        <v>931.4</v>
      </c>
    </row>
    <row r="186" ht="29.75" spans="1:14">
      <c r="A186" s="29" t="s">
        <v>757</v>
      </c>
      <c r="B186" s="30">
        <v>45386</v>
      </c>
      <c r="C186" s="29" t="s">
        <v>758</v>
      </c>
      <c r="D186" s="29" t="s">
        <v>32</v>
      </c>
      <c r="E186" s="31">
        <v>4</v>
      </c>
      <c r="F186" s="31">
        <v>214.54</v>
      </c>
      <c r="G186" s="29" t="s">
        <v>759</v>
      </c>
      <c r="H186" s="29" t="s">
        <v>60</v>
      </c>
      <c r="I186" s="29" t="s">
        <v>35</v>
      </c>
      <c r="J186" s="29" t="s">
        <v>760</v>
      </c>
      <c r="K186" s="31">
        <v>7</v>
      </c>
      <c r="L186" s="29"/>
      <c r="M186" s="29" t="s">
        <v>29</v>
      </c>
      <c r="N186" s="31">
        <v>858.16</v>
      </c>
    </row>
    <row r="187" ht="29.75" spans="1:14">
      <c r="A187" s="29" t="s">
        <v>761</v>
      </c>
      <c r="B187" s="30">
        <v>45690</v>
      </c>
      <c r="C187" s="29" t="s">
        <v>762</v>
      </c>
      <c r="D187" s="29" t="s">
        <v>58</v>
      </c>
      <c r="E187" s="31">
        <v>1</v>
      </c>
      <c r="F187" s="31">
        <v>210.7</v>
      </c>
      <c r="G187" s="29" t="s">
        <v>763</v>
      </c>
      <c r="H187" s="29" t="s">
        <v>27</v>
      </c>
      <c r="I187" s="29" t="s">
        <v>19</v>
      </c>
      <c r="J187" s="29" t="s">
        <v>764</v>
      </c>
      <c r="K187" s="31">
        <v>2</v>
      </c>
      <c r="L187" s="29" t="s">
        <v>81</v>
      </c>
      <c r="M187" s="29" t="s">
        <v>29</v>
      </c>
      <c r="N187" s="31">
        <v>210.7</v>
      </c>
    </row>
    <row r="188" ht="29.75" spans="1:14">
      <c r="A188" s="29" t="s">
        <v>765</v>
      </c>
      <c r="B188" s="30">
        <v>45267</v>
      </c>
      <c r="C188" s="29" t="s">
        <v>766</v>
      </c>
      <c r="D188" s="29" t="s">
        <v>25</v>
      </c>
      <c r="E188" s="31">
        <v>2</v>
      </c>
      <c r="F188" s="31">
        <v>133.55</v>
      </c>
      <c r="G188" s="29" t="s">
        <v>767</v>
      </c>
      <c r="H188" s="29" t="s">
        <v>65</v>
      </c>
      <c r="I188" s="29" t="s">
        <v>89</v>
      </c>
      <c r="J188" s="29" t="s">
        <v>768</v>
      </c>
      <c r="K188" s="31">
        <v>7</v>
      </c>
      <c r="L188" s="29" t="s">
        <v>37</v>
      </c>
      <c r="M188" s="29" t="s">
        <v>45</v>
      </c>
      <c r="N188" s="31">
        <v>267.1</v>
      </c>
    </row>
    <row r="189" ht="29.75" spans="1:14">
      <c r="A189" s="29" t="s">
        <v>769</v>
      </c>
      <c r="B189" s="30">
        <v>44965</v>
      </c>
      <c r="C189" s="29" t="s">
        <v>770</v>
      </c>
      <c r="D189" s="29" t="s">
        <v>41</v>
      </c>
      <c r="E189" s="31">
        <v>1</v>
      </c>
      <c r="F189" s="31">
        <v>590.87</v>
      </c>
      <c r="G189" s="29" t="s">
        <v>771</v>
      </c>
      <c r="H189" s="29" t="s">
        <v>60</v>
      </c>
      <c r="I189" s="29" t="s">
        <v>43</v>
      </c>
      <c r="J189" s="29" t="s">
        <v>772</v>
      </c>
      <c r="K189" s="31">
        <v>6</v>
      </c>
      <c r="L189" s="29" t="s">
        <v>37</v>
      </c>
      <c r="M189" s="29" t="s">
        <v>29</v>
      </c>
      <c r="N189" s="31">
        <v>590.87</v>
      </c>
    </row>
    <row r="190" ht="29.75" spans="1:14">
      <c r="A190" s="29" t="s">
        <v>773</v>
      </c>
      <c r="B190" s="30">
        <v>45731</v>
      </c>
      <c r="C190" s="29" t="s">
        <v>774</v>
      </c>
      <c r="D190" s="29" t="s">
        <v>41</v>
      </c>
      <c r="E190" s="31">
        <v>2</v>
      </c>
      <c r="F190" s="31">
        <v>363.91</v>
      </c>
      <c r="G190" s="29" t="s">
        <v>775</v>
      </c>
      <c r="H190" s="29" t="s">
        <v>60</v>
      </c>
      <c r="I190" s="29" t="s">
        <v>19</v>
      </c>
      <c r="J190" s="29" t="s">
        <v>776</v>
      </c>
      <c r="K190" s="31">
        <v>2</v>
      </c>
      <c r="L190" s="29" t="s">
        <v>37</v>
      </c>
      <c r="M190" s="29" t="s">
        <v>29</v>
      </c>
      <c r="N190" s="31">
        <v>727.82</v>
      </c>
    </row>
    <row r="191" ht="29.75" spans="1:14">
      <c r="A191" s="29" t="s">
        <v>777</v>
      </c>
      <c r="B191" s="30">
        <v>45112</v>
      </c>
      <c r="C191" s="29" t="s">
        <v>778</v>
      </c>
      <c r="D191" s="29" t="s">
        <v>48</v>
      </c>
      <c r="E191" s="31">
        <v>5</v>
      </c>
      <c r="F191" s="31">
        <v>429.45</v>
      </c>
      <c r="G191" s="29" t="s">
        <v>779</v>
      </c>
      <c r="H191" s="29" t="s">
        <v>60</v>
      </c>
      <c r="I191" s="29" t="s">
        <v>35</v>
      </c>
      <c r="J191" s="29" t="s">
        <v>780</v>
      </c>
      <c r="K191" s="31">
        <v>5</v>
      </c>
      <c r="L191" s="29" t="s">
        <v>81</v>
      </c>
      <c r="M191" s="29" t="s">
        <v>38</v>
      </c>
      <c r="N191" s="31">
        <v>2147.25</v>
      </c>
    </row>
    <row r="192" ht="29.75" spans="1:14">
      <c r="A192" s="29" t="s">
        <v>781</v>
      </c>
      <c r="B192" s="30">
        <v>45535</v>
      </c>
      <c r="C192" s="29" t="s">
        <v>782</v>
      </c>
      <c r="D192" s="29" t="s">
        <v>48</v>
      </c>
      <c r="E192" s="31">
        <v>3</v>
      </c>
      <c r="F192" s="31">
        <v>223.7</v>
      </c>
      <c r="G192" s="29" t="s">
        <v>783</v>
      </c>
      <c r="H192" s="29" t="s">
        <v>65</v>
      </c>
      <c r="I192" s="29" t="s">
        <v>43</v>
      </c>
      <c r="J192" s="29" t="s">
        <v>784</v>
      </c>
      <c r="K192" s="31">
        <v>3</v>
      </c>
      <c r="L192" s="29" t="s">
        <v>21</v>
      </c>
      <c r="M192" s="29" t="s">
        <v>38</v>
      </c>
      <c r="N192" s="31">
        <v>671.1</v>
      </c>
    </row>
    <row r="193" ht="29.75" spans="1:14">
      <c r="A193" s="29" t="s">
        <v>785</v>
      </c>
      <c r="B193" s="30">
        <v>45724</v>
      </c>
      <c r="C193" s="29" t="s">
        <v>786</v>
      </c>
      <c r="D193" s="29" t="s">
        <v>58</v>
      </c>
      <c r="E193" s="31">
        <v>2</v>
      </c>
      <c r="F193" s="31">
        <v>488.87</v>
      </c>
      <c r="G193" s="29" t="s">
        <v>787</v>
      </c>
      <c r="H193" s="29" t="s">
        <v>27</v>
      </c>
      <c r="I193" s="29" t="s">
        <v>35</v>
      </c>
      <c r="J193" s="29" t="s">
        <v>788</v>
      </c>
      <c r="K193" s="31">
        <v>4</v>
      </c>
      <c r="L193" s="29" t="s">
        <v>37</v>
      </c>
      <c r="M193" s="29" t="s">
        <v>76</v>
      </c>
      <c r="N193" s="31">
        <v>977.74</v>
      </c>
    </row>
    <row r="194" ht="29.75" spans="1:14">
      <c r="A194" s="29" t="s">
        <v>789</v>
      </c>
      <c r="B194" s="30">
        <v>45149</v>
      </c>
      <c r="C194" s="29" t="s">
        <v>790</v>
      </c>
      <c r="D194" s="29" t="s">
        <v>73</v>
      </c>
      <c r="E194" s="31">
        <v>1</v>
      </c>
      <c r="F194" s="31">
        <v>645.46</v>
      </c>
      <c r="G194" s="29" t="s">
        <v>595</v>
      </c>
      <c r="H194" s="29" t="s">
        <v>60</v>
      </c>
      <c r="I194" s="29" t="s">
        <v>35</v>
      </c>
      <c r="J194" s="29" t="s">
        <v>791</v>
      </c>
      <c r="K194" s="31">
        <v>5</v>
      </c>
      <c r="L194" s="29" t="s">
        <v>21</v>
      </c>
      <c r="M194" s="29" t="s">
        <v>76</v>
      </c>
      <c r="N194" s="31">
        <v>645.46</v>
      </c>
    </row>
    <row r="195" ht="29.75" spans="1:14">
      <c r="A195" s="29" t="s">
        <v>792</v>
      </c>
      <c r="B195" s="30">
        <v>45128</v>
      </c>
      <c r="C195" s="29" t="s">
        <v>793</v>
      </c>
      <c r="D195" s="29" t="s">
        <v>48</v>
      </c>
      <c r="E195" s="31">
        <v>1</v>
      </c>
      <c r="F195" s="31">
        <v>46.66</v>
      </c>
      <c r="G195" s="29" t="s">
        <v>794</v>
      </c>
      <c r="H195" s="29" t="s">
        <v>65</v>
      </c>
      <c r="I195" s="29" t="s">
        <v>35</v>
      </c>
      <c r="J195" s="29" t="s">
        <v>795</v>
      </c>
      <c r="K195" s="31">
        <v>6</v>
      </c>
      <c r="L195" s="29"/>
      <c r="M195" s="29" t="s">
        <v>76</v>
      </c>
      <c r="N195" s="31">
        <v>46.66</v>
      </c>
    </row>
    <row r="196" ht="29.75" spans="1:14">
      <c r="A196" s="29" t="s">
        <v>796</v>
      </c>
      <c r="B196" s="30">
        <v>45451</v>
      </c>
      <c r="C196" s="29" t="s">
        <v>797</v>
      </c>
      <c r="D196" s="29" t="s">
        <v>16</v>
      </c>
      <c r="E196" s="31">
        <v>1</v>
      </c>
      <c r="F196" s="31">
        <v>249.57</v>
      </c>
      <c r="G196" s="29" t="s">
        <v>798</v>
      </c>
      <c r="H196" s="29" t="s">
        <v>65</v>
      </c>
      <c r="I196" s="29" t="s">
        <v>19</v>
      </c>
      <c r="J196" s="29" t="s">
        <v>799</v>
      </c>
      <c r="K196" s="31">
        <v>3</v>
      </c>
      <c r="L196" s="29" t="s">
        <v>37</v>
      </c>
      <c r="M196" s="29" t="s">
        <v>76</v>
      </c>
      <c r="N196" s="31">
        <v>249.57</v>
      </c>
    </row>
    <row r="197" ht="29.75" spans="1:14">
      <c r="A197" s="29" t="s">
        <v>800</v>
      </c>
      <c r="B197" s="30">
        <v>45404</v>
      </c>
      <c r="C197" s="29" t="s">
        <v>801</v>
      </c>
      <c r="D197" s="29" t="s">
        <v>41</v>
      </c>
      <c r="E197" s="31">
        <v>3</v>
      </c>
      <c r="F197" s="31">
        <v>619.21</v>
      </c>
      <c r="G197" s="29" t="s">
        <v>802</v>
      </c>
      <c r="H197" s="29" t="s">
        <v>18</v>
      </c>
      <c r="I197" s="29" t="s">
        <v>35</v>
      </c>
      <c r="J197" s="29" t="s">
        <v>803</v>
      </c>
      <c r="K197" s="31">
        <v>6</v>
      </c>
      <c r="L197" s="29"/>
      <c r="M197" s="29" t="s">
        <v>38</v>
      </c>
      <c r="N197" s="31">
        <v>1857.63</v>
      </c>
    </row>
    <row r="198" ht="29.75" spans="1:14">
      <c r="A198" s="29" t="s">
        <v>804</v>
      </c>
      <c r="B198" s="30">
        <v>45681</v>
      </c>
      <c r="C198" s="29" t="s">
        <v>805</v>
      </c>
      <c r="D198" s="29" t="s">
        <v>73</v>
      </c>
      <c r="E198" s="31">
        <v>4</v>
      </c>
      <c r="F198" s="31">
        <v>217.13</v>
      </c>
      <c r="G198" s="29" t="s">
        <v>806</v>
      </c>
      <c r="H198" s="29" t="s">
        <v>65</v>
      </c>
      <c r="I198" s="29" t="s">
        <v>50</v>
      </c>
      <c r="J198" s="29" t="s">
        <v>807</v>
      </c>
      <c r="K198" s="31">
        <v>8</v>
      </c>
      <c r="L198" s="29" t="s">
        <v>81</v>
      </c>
      <c r="M198" s="29" t="s">
        <v>38</v>
      </c>
      <c r="N198" s="31">
        <v>868.52</v>
      </c>
    </row>
    <row r="199" ht="29.75" spans="1:14">
      <c r="A199" s="29" t="s">
        <v>808</v>
      </c>
      <c r="B199" s="30">
        <v>45165</v>
      </c>
      <c r="C199" s="29" t="s">
        <v>809</v>
      </c>
      <c r="D199" s="29" t="s">
        <v>58</v>
      </c>
      <c r="E199" s="31">
        <v>5</v>
      </c>
      <c r="F199" s="31">
        <v>221.51</v>
      </c>
      <c r="G199" s="29" t="s">
        <v>810</v>
      </c>
      <c r="H199" s="29" t="s">
        <v>65</v>
      </c>
      <c r="I199" s="29" t="s">
        <v>43</v>
      </c>
      <c r="J199" s="29" t="s">
        <v>811</v>
      </c>
      <c r="K199" s="31">
        <v>5</v>
      </c>
      <c r="L199" s="29" t="s">
        <v>81</v>
      </c>
      <c r="M199" s="29" t="s">
        <v>29</v>
      </c>
      <c r="N199" s="31">
        <v>1107.55</v>
      </c>
    </row>
    <row r="200" ht="29.75" spans="1:14">
      <c r="A200" s="29" t="s">
        <v>812</v>
      </c>
      <c r="B200" s="30">
        <v>45454</v>
      </c>
      <c r="C200" s="29" t="s">
        <v>813</v>
      </c>
      <c r="D200" s="29" t="s">
        <v>58</v>
      </c>
      <c r="E200" s="31">
        <v>4</v>
      </c>
      <c r="F200" s="31">
        <v>340.3</v>
      </c>
      <c r="G200" s="29" t="s">
        <v>177</v>
      </c>
      <c r="H200" s="29" t="s">
        <v>65</v>
      </c>
      <c r="I200" s="29" t="s">
        <v>35</v>
      </c>
      <c r="J200" s="29" t="s">
        <v>814</v>
      </c>
      <c r="K200" s="31">
        <v>8</v>
      </c>
      <c r="L200" s="29" t="s">
        <v>21</v>
      </c>
      <c r="M200" s="29" t="s">
        <v>29</v>
      </c>
      <c r="N200" s="31">
        <v>1361.2</v>
      </c>
    </row>
    <row r="201" ht="29.75" spans="1:14">
      <c r="A201" s="29" t="s">
        <v>815</v>
      </c>
      <c r="B201" s="30">
        <v>45680</v>
      </c>
      <c r="C201" s="29" t="s">
        <v>816</v>
      </c>
      <c r="D201" s="29" t="s">
        <v>25</v>
      </c>
      <c r="E201" s="31">
        <v>1</v>
      </c>
      <c r="F201" s="31">
        <v>625</v>
      </c>
      <c r="G201" s="29" t="s">
        <v>817</v>
      </c>
      <c r="H201" s="29" t="s">
        <v>27</v>
      </c>
      <c r="I201" s="29" t="s">
        <v>43</v>
      </c>
      <c r="J201" s="29" t="s">
        <v>818</v>
      </c>
      <c r="K201" s="31">
        <v>5</v>
      </c>
      <c r="L201" s="29" t="s">
        <v>81</v>
      </c>
      <c r="M201" s="29" t="s">
        <v>76</v>
      </c>
      <c r="N201" s="31">
        <v>625</v>
      </c>
    </row>
    <row r="202" ht="29.75" spans="1:14">
      <c r="A202" s="29" t="s">
        <v>819</v>
      </c>
      <c r="B202" s="30">
        <v>45815</v>
      </c>
      <c r="C202" s="29" t="s">
        <v>820</v>
      </c>
      <c r="D202" s="29" t="s">
        <v>32</v>
      </c>
      <c r="E202" s="31">
        <v>5</v>
      </c>
      <c r="F202" s="31">
        <v>433.26</v>
      </c>
      <c r="G202" s="29" t="s">
        <v>161</v>
      </c>
      <c r="H202" s="29" t="s">
        <v>34</v>
      </c>
      <c r="I202" s="29" t="s">
        <v>50</v>
      </c>
      <c r="J202" s="29" t="s">
        <v>821</v>
      </c>
      <c r="K202" s="31">
        <v>9</v>
      </c>
      <c r="L202" s="29" t="s">
        <v>21</v>
      </c>
      <c r="M202" s="29" t="s">
        <v>76</v>
      </c>
      <c r="N202" s="31">
        <v>2166.3</v>
      </c>
    </row>
    <row r="203" ht="29.75" spans="1:14">
      <c r="A203" s="29" t="s">
        <v>822</v>
      </c>
      <c r="B203" s="30">
        <v>45095</v>
      </c>
      <c r="C203" s="29" t="s">
        <v>823</v>
      </c>
      <c r="D203" s="29" t="s">
        <v>16</v>
      </c>
      <c r="E203" s="31">
        <v>2</v>
      </c>
      <c r="F203" s="31">
        <v>674.9</v>
      </c>
      <c r="G203" s="29" t="s">
        <v>347</v>
      </c>
      <c r="H203" s="29" t="s">
        <v>27</v>
      </c>
      <c r="I203" s="29" t="s">
        <v>19</v>
      </c>
      <c r="J203" s="29" t="s">
        <v>824</v>
      </c>
      <c r="K203" s="31">
        <v>4</v>
      </c>
      <c r="L203" s="29" t="s">
        <v>21</v>
      </c>
      <c r="M203" s="29" t="s">
        <v>45</v>
      </c>
      <c r="N203" s="31">
        <v>1349.8</v>
      </c>
    </row>
    <row r="204" ht="29.75" spans="1:14">
      <c r="A204" s="29" t="s">
        <v>825</v>
      </c>
      <c r="B204" s="30">
        <v>45694</v>
      </c>
      <c r="C204" s="29" t="s">
        <v>826</v>
      </c>
      <c r="D204" s="29" t="s">
        <v>16</v>
      </c>
      <c r="E204" s="31">
        <v>3</v>
      </c>
      <c r="F204" s="31">
        <v>253.98</v>
      </c>
      <c r="G204" s="29" t="s">
        <v>565</v>
      </c>
      <c r="H204" s="29" t="s">
        <v>34</v>
      </c>
      <c r="I204" s="29" t="s">
        <v>35</v>
      </c>
      <c r="J204" s="29" t="s">
        <v>827</v>
      </c>
      <c r="K204" s="31">
        <v>3</v>
      </c>
      <c r="L204" s="29" t="s">
        <v>37</v>
      </c>
      <c r="M204" s="29" t="s">
        <v>38</v>
      </c>
      <c r="N204" s="31">
        <v>761.94</v>
      </c>
    </row>
    <row r="205" ht="29.75" spans="1:14">
      <c r="A205" s="29" t="s">
        <v>828</v>
      </c>
      <c r="B205" s="30">
        <v>45678</v>
      </c>
      <c r="C205" s="29" t="s">
        <v>829</v>
      </c>
      <c r="D205" s="29" t="s">
        <v>48</v>
      </c>
      <c r="E205" s="31">
        <v>3</v>
      </c>
      <c r="F205" s="31">
        <v>356.84</v>
      </c>
      <c r="G205" s="29" t="s">
        <v>830</v>
      </c>
      <c r="H205" s="29" t="s">
        <v>27</v>
      </c>
      <c r="I205" s="29" t="s">
        <v>19</v>
      </c>
      <c r="J205" s="29" t="s">
        <v>831</v>
      </c>
      <c r="K205" s="31">
        <v>5</v>
      </c>
      <c r="L205" s="29" t="s">
        <v>21</v>
      </c>
      <c r="M205" s="29" t="s">
        <v>22</v>
      </c>
      <c r="N205" s="31">
        <v>1070.52</v>
      </c>
    </row>
    <row r="206" ht="29.75" spans="1:14">
      <c r="A206" s="29" t="s">
        <v>832</v>
      </c>
      <c r="B206" s="30">
        <v>45174</v>
      </c>
      <c r="C206" s="29" t="s">
        <v>833</v>
      </c>
      <c r="D206" s="29" t="s">
        <v>58</v>
      </c>
      <c r="E206" s="31">
        <v>4</v>
      </c>
      <c r="F206" s="31">
        <v>413.71</v>
      </c>
      <c r="G206" s="29" t="s">
        <v>584</v>
      </c>
      <c r="H206" s="29" t="s">
        <v>60</v>
      </c>
      <c r="I206" s="29" t="s">
        <v>35</v>
      </c>
      <c r="J206" s="29" t="s">
        <v>834</v>
      </c>
      <c r="K206" s="31">
        <v>9</v>
      </c>
      <c r="L206" s="29" t="s">
        <v>37</v>
      </c>
      <c r="M206" s="29" t="s">
        <v>45</v>
      </c>
      <c r="N206" s="31">
        <v>1654.84</v>
      </c>
    </row>
    <row r="207" ht="29.75" spans="1:14">
      <c r="A207" s="29" t="s">
        <v>835</v>
      </c>
      <c r="B207" s="30">
        <v>44989</v>
      </c>
      <c r="C207" s="29" t="s">
        <v>836</v>
      </c>
      <c r="D207" s="29" t="s">
        <v>73</v>
      </c>
      <c r="E207" s="31">
        <v>3</v>
      </c>
      <c r="F207" s="31">
        <v>147.39</v>
      </c>
      <c r="G207" s="29" t="s">
        <v>837</v>
      </c>
      <c r="H207" s="29" t="s">
        <v>18</v>
      </c>
      <c r="I207" s="29" t="s">
        <v>43</v>
      </c>
      <c r="J207" s="29" t="s">
        <v>838</v>
      </c>
      <c r="K207" s="31">
        <v>3</v>
      </c>
      <c r="L207" s="29"/>
      <c r="M207" s="29" t="s">
        <v>38</v>
      </c>
      <c r="N207" s="31">
        <v>442.17</v>
      </c>
    </row>
    <row r="208" ht="29.75" spans="1:14">
      <c r="A208" s="29" t="s">
        <v>839</v>
      </c>
      <c r="B208" s="30">
        <v>45398</v>
      </c>
      <c r="C208" s="29" t="s">
        <v>840</v>
      </c>
      <c r="D208" s="29" t="s">
        <v>58</v>
      </c>
      <c r="E208" s="31">
        <v>4</v>
      </c>
      <c r="F208" s="31">
        <v>229.1</v>
      </c>
      <c r="G208" s="29" t="s">
        <v>841</v>
      </c>
      <c r="H208" s="29" t="s">
        <v>60</v>
      </c>
      <c r="I208" s="29" t="s">
        <v>43</v>
      </c>
      <c r="J208" s="29" t="s">
        <v>842</v>
      </c>
      <c r="K208" s="31">
        <v>8</v>
      </c>
      <c r="L208" s="29" t="s">
        <v>81</v>
      </c>
      <c r="M208" s="29" t="s">
        <v>38</v>
      </c>
      <c r="N208" s="31">
        <v>916.4</v>
      </c>
    </row>
    <row r="209" ht="29.75" spans="1:14">
      <c r="A209" s="29" t="s">
        <v>843</v>
      </c>
      <c r="B209" s="30">
        <v>45734</v>
      </c>
      <c r="C209" s="29" t="s">
        <v>844</v>
      </c>
      <c r="D209" s="29" t="s">
        <v>25</v>
      </c>
      <c r="E209" s="31">
        <v>1</v>
      </c>
      <c r="F209" s="31">
        <v>121.96</v>
      </c>
      <c r="G209" s="29" t="s">
        <v>845</v>
      </c>
      <c r="H209" s="29" t="s">
        <v>18</v>
      </c>
      <c r="I209" s="29" t="s">
        <v>50</v>
      </c>
      <c r="J209" s="29" t="s">
        <v>846</v>
      </c>
      <c r="K209" s="31">
        <v>3</v>
      </c>
      <c r="L209" s="29"/>
      <c r="M209" s="29" t="s">
        <v>76</v>
      </c>
      <c r="N209" s="31">
        <v>121.96</v>
      </c>
    </row>
    <row r="210" ht="29.75" spans="1:14">
      <c r="A210" s="29" t="s">
        <v>847</v>
      </c>
      <c r="B210" s="30">
        <v>45573</v>
      </c>
      <c r="C210" s="29" t="s">
        <v>848</v>
      </c>
      <c r="D210" s="29" t="s">
        <v>73</v>
      </c>
      <c r="E210" s="31">
        <v>2</v>
      </c>
      <c r="F210" s="31">
        <v>408.32</v>
      </c>
      <c r="G210" s="29" t="s">
        <v>779</v>
      </c>
      <c r="H210" s="29" t="s">
        <v>27</v>
      </c>
      <c r="I210" s="29" t="s">
        <v>19</v>
      </c>
      <c r="J210" s="29" t="s">
        <v>849</v>
      </c>
      <c r="K210" s="31">
        <v>3</v>
      </c>
      <c r="L210" s="29" t="s">
        <v>37</v>
      </c>
      <c r="M210" s="29" t="s">
        <v>45</v>
      </c>
      <c r="N210" s="31">
        <v>816.64</v>
      </c>
    </row>
    <row r="211" ht="29.75" spans="1:14">
      <c r="A211" s="29" t="s">
        <v>850</v>
      </c>
      <c r="B211" s="30">
        <v>45167</v>
      </c>
      <c r="C211" s="29" t="s">
        <v>851</v>
      </c>
      <c r="D211" s="29" t="s">
        <v>32</v>
      </c>
      <c r="E211" s="31">
        <v>5</v>
      </c>
      <c r="F211" s="31">
        <v>187.97</v>
      </c>
      <c r="G211" s="29" t="s">
        <v>64</v>
      </c>
      <c r="H211" s="29" t="s">
        <v>65</v>
      </c>
      <c r="I211" s="29" t="s">
        <v>43</v>
      </c>
      <c r="J211" s="29" t="s">
        <v>852</v>
      </c>
      <c r="K211" s="31">
        <v>9</v>
      </c>
      <c r="L211" s="29" t="s">
        <v>21</v>
      </c>
      <c r="M211" s="29" t="s">
        <v>76</v>
      </c>
      <c r="N211" s="31">
        <v>939.85</v>
      </c>
    </row>
    <row r="212" ht="29.75" spans="1:14">
      <c r="A212" s="29" t="s">
        <v>853</v>
      </c>
      <c r="B212" s="30">
        <v>45631</v>
      </c>
      <c r="C212" s="29" t="s">
        <v>854</v>
      </c>
      <c r="D212" s="29" t="s">
        <v>41</v>
      </c>
      <c r="E212" s="31">
        <v>3</v>
      </c>
      <c r="F212" s="31">
        <v>358.48</v>
      </c>
      <c r="G212" s="29" t="s">
        <v>553</v>
      </c>
      <c r="H212" s="29" t="s">
        <v>60</v>
      </c>
      <c r="I212" s="29" t="s">
        <v>50</v>
      </c>
      <c r="J212" s="29" t="s">
        <v>855</v>
      </c>
      <c r="K212" s="31">
        <v>7</v>
      </c>
      <c r="L212" s="29" t="s">
        <v>37</v>
      </c>
      <c r="M212" s="29" t="s">
        <v>45</v>
      </c>
      <c r="N212" s="31">
        <v>1075.44</v>
      </c>
    </row>
    <row r="213" ht="29.75" spans="1:14">
      <c r="A213" s="29" t="s">
        <v>856</v>
      </c>
      <c r="B213" s="30">
        <v>45660</v>
      </c>
      <c r="C213" s="29" t="s">
        <v>857</v>
      </c>
      <c r="D213" s="29" t="s">
        <v>48</v>
      </c>
      <c r="E213" s="31">
        <v>3</v>
      </c>
      <c r="F213" s="31">
        <v>193.58</v>
      </c>
      <c r="G213" s="29" t="s">
        <v>858</v>
      </c>
      <c r="H213" s="29" t="s">
        <v>60</v>
      </c>
      <c r="I213" s="29" t="s">
        <v>89</v>
      </c>
      <c r="J213" s="29" t="s">
        <v>859</v>
      </c>
      <c r="K213" s="31">
        <v>7</v>
      </c>
      <c r="L213" s="29" t="s">
        <v>37</v>
      </c>
      <c r="M213" s="29" t="s">
        <v>38</v>
      </c>
      <c r="N213" s="31">
        <v>580.74</v>
      </c>
    </row>
    <row r="214" ht="29.75" spans="1:14">
      <c r="A214" s="29" t="s">
        <v>860</v>
      </c>
      <c r="B214" s="30">
        <v>45097</v>
      </c>
      <c r="C214" s="29" t="s">
        <v>861</v>
      </c>
      <c r="D214" s="29" t="s">
        <v>16</v>
      </c>
      <c r="E214" s="31">
        <v>1</v>
      </c>
      <c r="F214" s="31">
        <v>265.38</v>
      </c>
      <c r="G214" s="29" t="s">
        <v>862</v>
      </c>
      <c r="H214" s="29" t="s">
        <v>34</v>
      </c>
      <c r="I214" s="29" t="s">
        <v>35</v>
      </c>
      <c r="J214" s="29" t="s">
        <v>863</v>
      </c>
      <c r="K214" s="31">
        <v>6</v>
      </c>
      <c r="L214" s="29" t="s">
        <v>81</v>
      </c>
      <c r="M214" s="29" t="s">
        <v>38</v>
      </c>
      <c r="N214" s="31">
        <v>265.38</v>
      </c>
    </row>
    <row r="215" ht="29.75" spans="1:14">
      <c r="A215" s="29" t="s">
        <v>864</v>
      </c>
      <c r="B215" s="30">
        <v>45036</v>
      </c>
      <c r="C215" s="29" t="s">
        <v>865</v>
      </c>
      <c r="D215" s="29" t="s">
        <v>58</v>
      </c>
      <c r="E215" s="31">
        <v>1</v>
      </c>
      <c r="F215" s="31">
        <v>634.4</v>
      </c>
      <c r="G215" s="29" t="s">
        <v>866</v>
      </c>
      <c r="H215" s="29" t="s">
        <v>65</v>
      </c>
      <c r="I215" s="29" t="s">
        <v>35</v>
      </c>
      <c r="J215" s="29" t="s">
        <v>867</v>
      </c>
      <c r="K215" s="31">
        <v>6</v>
      </c>
      <c r="L215" s="29" t="s">
        <v>21</v>
      </c>
      <c r="M215" s="29" t="s">
        <v>38</v>
      </c>
      <c r="N215" s="31">
        <v>634.4</v>
      </c>
    </row>
    <row r="216" ht="29.75" spans="1:14">
      <c r="A216" s="29" t="s">
        <v>868</v>
      </c>
      <c r="B216" s="30">
        <v>45525</v>
      </c>
      <c r="C216" s="29" t="s">
        <v>869</v>
      </c>
      <c r="D216" s="29" t="s">
        <v>73</v>
      </c>
      <c r="E216" s="31">
        <v>4</v>
      </c>
      <c r="F216" s="31">
        <v>305.72</v>
      </c>
      <c r="G216" s="29" t="s">
        <v>517</v>
      </c>
      <c r="H216" s="29" t="s">
        <v>27</v>
      </c>
      <c r="I216" s="29" t="s">
        <v>50</v>
      </c>
      <c r="J216" s="29" t="s">
        <v>870</v>
      </c>
      <c r="K216" s="31">
        <v>5</v>
      </c>
      <c r="L216" s="29"/>
      <c r="M216" s="29" t="s">
        <v>45</v>
      </c>
      <c r="N216" s="31">
        <v>1222.88</v>
      </c>
    </row>
    <row r="217" ht="29.75" spans="1:14">
      <c r="A217" s="29" t="s">
        <v>871</v>
      </c>
      <c r="B217" s="30">
        <v>45148</v>
      </c>
      <c r="C217" s="29" t="s">
        <v>872</v>
      </c>
      <c r="D217" s="29" t="s">
        <v>48</v>
      </c>
      <c r="E217" s="31">
        <v>1</v>
      </c>
      <c r="F217" s="31">
        <v>303.6</v>
      </c>
      <c r="G217" s="29" t="s">
        <v>873</v>
      </c>
      <c r="H217" s="29" t="s">
        <v>65</v>
      </c>
      <c r="I217" s="29" t="s">
        <v>19</v>
      </c>
      <c r="J217" s="29" t="s">
        <v>874</v>
      </c>
      <c r="K217" s="31">
        <v>5</v>
      </c>
      <c r="L217" s="29" t="s">
        <v>37</v>
      </c>
      <c r="M217" s="29" t="s">
        <v>45</v>
      </c>
      <c r="N217" s="31">
        <v>303.6</v>
      </c>
    </row>
    <row r="218" ht="29.75" spans="1:14">
      <c r="A218" s="29" t="s">
        <v>875</v>
      </c>
      <c r="B218" s="30">
        <v>45762</v>
      </c>
      <c r="C218" s="29" t="s">
        <v>876</v>
      </c>
      <c r="D218" s="29" t="s">
        <v>16</v>
      </c>
      <c r="E218" s="31">
        <v>4</v>
      </c>
      <c r="F218" s="31">
        <v>496</v>
      </c>
      <c r="G218" s="29" t="s">
        <v>273</v>
      </c>
      <c r="H218" s="29" t="s">
        <v>27</v>
      </c>
      <c r="I218" s="29" t="s">
        <v>35</v>
      </c>
      <c r="J218" s="29" t="s">
        <v>877</v>
      </c>
      <c r="K218" s="31">
        <v>8</v>
      </c>
      <c r="L218" s="29" t="s">
        <v>81</v>
      </c>
      <c r="M218" s="29" t="s">
        <v>76</v>
      </c>
      <c r="N218" s="31">
        <v>1984</v>
      </c>
    </row>
    <row r="219" ht="29.75" spans="1:14">
      <c r="A219" s="29" t="s">
        <v>878</v>
      </c>
      <c r="B219" s="30">
        <v>45432</v>
      </c>
      <c r="C219" s="29" t="s">
        <v>879</v>
      </c>
      <c r="D219" s="29" t="s">
        <v>73</v>
      </c>
      <c r="E219" s="31">
        <v>4</v>
      </c>
      <c r="F219" s="31">
        <v>321.51</v>
      </c>
      <c r="G219" s="29" t="s">
        <v>880</v>
      </c>
      <c r="H219" s="29" t="s">
        <v>65</v>
      </c>
      <c r="I219" s="29" t="s">
        <v>43</v>
      </c>
      <c r="J219" s="29" t="s">
        <v>881</v>
      </c>
      <c r="K219" s="31">
        <v>9</v>
      </c>
      <c r="L219" s="29"/>
      <c r="M219" s="29" t="s">
        <v>76</v>
      </c>
      <c r="N219" s="31">
        <v>1286.04</v>
      </c>
    </row>
    <row r="220" ht="29.75" spans="1:14">
      <c r="A220" s="29" t="s">
        <v>882</v>
      </c>
      <c r="B220" s="30">
        <v>45044</v>
      </c>
      <c r="C220" s="29" t="s">
        <v>883</v>
      </c>
      <c r="D220" s="29" t="s">
        <v>32</v>
      </c>
      <c r="E220" s="31">
        <v>3</v>
      </c>
      <c r="F220" s="31">
        <v>112.46</v>
      </c>
      <c r="G220" s="29" t="s">
        <v>884</v>
      </c>
      <c r="H220" s="29" t="s">
        <v>60</v>
      </c>
      <c r="I220" s="29" t="s">
        <v>19</v>
      </c>
      <c r="J220" s="29" t="s">
        <v>885</v>
      </c>
      <c r="K220" s="31">
        <v>6</v>
      </c>
      <c r="L220" s="29" t="s">
        <v>21</v>
      </c>
      <c r="M220" s="29" t="s">
        <v>22</v>
      </c>
      <c r="N220" s="31">
        <v>337.38</v>
      </c>
    </row>
    <row r="221" ht="29.75" spans="1:14">
      <c r="A221" s="29" t="s">
        <v>886</v>
      </c>
      <c r="B221" s="30">
        <v>45779</v>
      </c>
      <c r="C221" s="29" t="s">
        <v>887</v>
      </c>
      <c r="D221" s="29" t="s">
        <v>58</v>
      </c>
      <c r="E221" s="31">
        <v>5</v>
      </c>
      <c r="F221" s="31">
        <v>61.97</v>
      </c>
      <c r="G221" s="29" t="s">
        <v>888</v>
      </c>
      <c r="H221" s="29" t="s">
        <v>65</v>
      </c>
      <c r="I221" s="29" t="s">
        <v>50</v>
      </c>
      <c r="J221" s="29" t="s">
        <v>889</v>
      </c>
      <c r="K221" s="31">
        <v>6</v>
      </c>
      <c r="L221" s="29" t="s">
        <v>21</v>
      </c>
      <c r="M221" s="29" t="s">
        <v>38</v>
      </c>
      <c r="N221" s="31">
        <v>309.85</v>
      </c>
    </row>
    <row r="222" ht="29.75" spans="1:14">
      <c r="A222" s="29" t="s">
        <v>890</v>
      </c>
      <c r="B222" s="30">
        <v>45125</v>
      </c>
      <c r="C222" s="29" t="s">
        <v>891</v>
      </c>
      <c r="D222" s="29" t="s">
        <v>58</v>
      </c>
      <c r="E222" s="31">
        <v>2</v>
      </c>
      <c r="F222" s="31">
        <v>373.17</v>
      </c>
      <c r="G222" s="29" t="s">
        <v>892</v>
      </c>
      <c r="H222" s="29" t="s">
        <v>34</v>
      </c>
      <c r="I222" s="29" t="s">
        <v>89</v>
      </c>
      <c r="J222" s="29" t="s">
        <v>893</v>
      </c>
      <c r="K222" s="31">
        <v>6</v>
      </c>
      <c r="L222" s="29" t="s">
        <v>21</v>
      </c>
      <c r="M222" s="29" t="s">
        <v>29</v>
      </c>
      <c r="N222" s="31">
        <v>746.34</v>
      </c>
    </row>
    <row r="223" ht="29.75" spans="1:14">
      <c r="A223" s="29" t="s">
        <v>894</v>
      </c>
      <c r="B223" s="30">
        <v>45345</v>
      </c>
      <c r="C223" s="29" t="s">
        <v>895</v>
      </c>
      <c r="D223" s="29" t="s">
        <v>32</v>
      </c>
      <c r="E223" s="31">
        <v>5</v>
      </c>
      <c r="F223" s="31">
        <v>639.37</v>
      </c>
      <c r="G223" s="29" t="s">
        <v>312</v>
      </c>
      <c r="H223" s="29" t="s">
        <v>18</v>
      </c>
      <c r="I223" s="29" t="s">
        <v>89</v>
      </c>
      <c r="J223" s="29" t="s">
        <v>896</v>
      </c>
      <c r="K223" s="31">
        <v>6</v>
      </c>
      <c r="L223" s="29" t="s">
        <v>21</v>
      </c>
      <c r="M223" s="29" t="s">
        <v>76</v>
      </c>
      <c r="N223" s="31">
        <v>3196.85</v>
      </c>
    </row>
    <row r="224" ht="29.75" spans="1:14">
      <c r="A224" s="29" t="s">
        <v>897</v>
      </c>
      <c r="B224" s="30">
        <v>45050</v>
      </c>
      <c r="C224" s="29" t="s">
        <v>898</v>
      </c>
      <c r="D224" s="29" t="s">
        <v>41</v>
      </c>
      <c r="E224" s="31">
        <v>4</v>
      </c>
      <c r="F224" s="31">
        <v>693.36</v>
      </c>
      <c r="G224" s="29" t="s">
        <v>899</v>
      </c>
      <c r="H224" s="29" t="s">
        <v>27</v>
      </c>
      <c r="I224" s="29" t="s">
        <v>19</v>
      </c>
      <c r="J224" s="29" t="s">
        <v>900</v>
      </c>
      <c r="K224" s="31">
        <v>8</v>
      </c>
      <c r="L224" s="29"/>
      <c r="M224" s="29" t="s">
        <v>22</v>
      </c>
      <c r="N224" s="31">
        <v>2773.44</v>
      </c>
    </row>
    <row r="225" ht="29.75" spans="1:14">
      <c r="A225" s="29" t="s">
        <v>901</v>
      </c>
      <c r="B225" s="30">
        <v>45546</v>
      </c>
      <c r="C225" s="29" t="s">
        <v>902</v>
      </c>
      <c r="D225" s="29" t="s">
        <v>25</v>
      </c>
      <c r="E225" s="31">
        <v>4</v>
      </c>
      <c r="F225" s="31">
        <v>692.91</v>
      </c>
      <c r="G225" s="29" t="s">
        <v>517</v>
      </c>
      <c r="H225" s="29" t="s">
        <v>34</v>
      </c>
      <c r="I225" s="29" t="s">
        <v>89</v>
      </c>
      <c r="J225" s="29" t="s">
        <v>903</v>
      </c>
      <c r="K225" s="31">
        <v>9</v>
      </c>
      <c r="L225" s="29" t="s">
        <v>21</v>
      </c>
      <c r="M225" s="29" t="s">
        <v>22</v>
      </c>
      <c r="N225" s="31">
        <v>2771.64</v>
      </c>
    </row>
    <row r="226" ht="29.75" spans="1:14">
      <c r="A226" s="29" t="s">
        <v>904</v>
      </c>
      <c r="B226" s="30">
        <v>45192</v>
      </c>
      <c r="C226" s="29" t="s">
        <v>905</v>
      </c>
      <c r="D226" s="29" t="s">
        <v>48</v>
      </c>
      <c r="E226" s="31">
        <v>4</v>
      </c>
      <c r="F226" s="31">
        <v>91.46</v>
      </c>
      <c r="G226" s="29" t="s">
        <v>906</v>
      </c>
      <c r="H226" s="29" t="s">
        <v>65</v>
      </c>
      <c r="I226" s="29" t="s">
        <v>35</v>
      </c>
      <c r="J226" s="29" t="s">
        <v>907</v>
      </c>
      <c r="K226" s="31">
        <v>9</v>
      </c>
      <c r="L226" s="29" t="s">
        <v>21</v>
      </c>
      <c r="M226" s="29" t="s">
        <v>29</v>
      </c>
      <c r="N226" s="31">
        <v>365.84</v>
      </c>
    </row>
    <row r="227" ht="29.75" spans="1:14">
      <c r="A227" s="29" t="s">
        <v>908</v>
      </c>
      <c r="B227" s="30">
        <v>45364</v>
      </c>
      <c r="C227" s="29" t="s">
        <v>909</v>
      </c>
      <c r="D227" s="29" t="s">
        <v>25</v>
      </c>
      <c r="E227" s="31">
        <v>3</v>
      </c>
      <c r="F227" s="31">
        <v>273.96</v>
      </c>
      <c r="G227" s="29" t="s">
        <v>910</v>
      </c>
      <c r="H227" s="29" t="s">
        <v>18</v>
      </c>
      <c r="I227" s="29" t="s">
        <v>43</v>
      </c>
      <c r="J227" s="29" t="s">
        <v>911</v>
      </c>
      <c r="K227" s="31">
        <v>8</v>
      </c>
      <c r="L227" s="29" t="s">
        <v>21</v>
      </c>
      <c r="M227" s="29" t="s">
        <v>76</v>
      </c>
      <c r="N227" s="31">
        <v>821.88</v>
      </c>
    </row>
    <row r="228" ht="29.75" spans="1:14">
      <c r="A228" s="29" t="s">
        <v>912</v>
      </c>
      <c r="B228" s="30">
        <v>45835</v>
      </c>
      <c r="C228" s="29" t="s">
        <v>913</v>
      </c>
      <c r="D228" s="29" t="s">
        <v>73</v>
      </c>
      <c r="E228" s="31">
        <v>3</v>
      </c>
      <c r="F228" s="31">
        <v>588.05</v>
      </c>
      <c r="G228" s="29" t="s">
        <v>914</v>
      </c>
      <c r="H228" s="29" t="s">
        <v>60</v>
      </c>
      <c r="I228" s="29" t="s">
        <v>50</v>
      </c>
      <c r="J228" s="29" t="s">
        <v>915</v>
      </c>
      <c r="K228" s="31">
        <v>8</v>
      </c>
      <c r="L228" s="29"/>
      <c r="M228" s="29" t="s">
        <v>22</v>
      </c>
      <c r="N228" s="31">
        <v>1764.15</v>
      </c>
    </row>
    <row r="229" ht="29.75" spans="1:14">
      <c r="A229" s="29" t="s">
        <v>916</v>
      </c>
      <c r="B229" s="30">
        <v>45232</v>
      </c>
      <c r="C229" s="29" t="s">
        <v>917</v>
      </c>
      <c r="D229" s="29" t="s">
        <v>16</v>
      </c>
      <c r="E229" s="31">
        <v>2</v>
      </c>
      <c r="F229" s="31">
        <v>365.17</v>
      </c>
      <c r="G229" s="29" t="s">
        <v>537</v>
      </c>
      <c r="H229" s="29" t="s">
        <v>27</v>
      </c>
      <c r="I229" s="29" t="s">
        <v>35</v>
      </c>
      <c r="J229" s="29" t="s">
        <v>918</v>
      </c>
      <c r="K229" s="31">
        <v>4</v>
      </c>
      <c r="L229" s="29" t="s">
        <v>37</v>
      </c>
      <c r="M229" s="29" t="s">
        <v>45</v>
      </c>
      <c r="N229" s="31">
        <v>730.34</v>
      </c>
    </row>
    <row r="230" ht="29.75" spans="1:14">
      <c r="A230" s="29" t="s">
        <v>919</v>
      </c>
      <c r="B230" s="30">
        <v>45063</v>
      </c>
      <c r="C230" s="29" t="s">
        <v>920</v>
      </c>
      <c r="D230" s="29" t="s">
        <v>41</v>
      </c>
      <c r="E230" s="31">
        <v>4</v>
      </c>
      <c r="F230" s="31">
        <v>385.92</v>
      </c>
      <c r="G230" s="29" t="s">
        <v>921</v>
      </c>
      <c r="H230" s="29" t="s">
        <v>34</v>
      </c>
      <c r="I230" s="29" t="s">
        <v>35</v>
      </c>
      <c r="J230" s="29" t="s">
        <v>922</v>
      </c>
      <c r="K230" s="31">
        <v>8</v>
      </c>
      <c r="L230" s="29"/>
      <c r="M230" s="29" t="s">
        <v>22</v>
      </c>
      <c r="N230" s="31">
        <v>1543.68</v>
      </c>
    </row>
    <row r="231" ht="29.75" spans="1:14">
      <c r="A231" s="29" t="s">
        <v>923</v>
      </c>
      <c r="B231" s="30">
        <v>45744</v>
      </c>
      <c r="C231" s="29" t="s">
        <v>924</v>
      </c>
      <c r="D231" s="29" t="s">
        <v>32</v>
      </c>
      <c r="E231" s="31">
        <v>1</v>
      </c>
      <c r="F231" s="31">
        <v>562.61</v>
      </c>
      <c r="G231" s="29" t="s">
        <v>925</v>
      </c>
      <c r="H231" s="29" t="s">
        <v>34</v>
      </c>
      <c r="I231" s="29" t="s">
        <v>50</v>
      </c>
      <c r="J231" s="29" t="s">
        <v>926</v>
      </c>
      <c r="K231" s="31">
        <v>3</v>
      </c>
      <c r="L231" s="29" t="s">
        <v>81</v>
      </c>
      <c r="M231" s="29" t="s">
        <v>45</v>
      </c>
      <c r="N231" s="31">
        <v>562.61</v>
      </c>
    </row>
    <row r="232" ht="29.75" spans="1:14">
      <c r="A232" s="29" t="s">
        <v>927</v>
      </c>
      <c r="B232" s="30">
        <v>45276</v>
      </c>
      <c r="C232" s="29" t="s">
        <v>928</v>
      </c>
      <c r="D232" s="29" t="s">
        <v>73</v>
      </c>
      <c r="E232" s="31">
        <v>4</v>
      </c>
      <c r="F232" s="31">
        <v>61.91</v>
      </c>
      <c r="G232" s="29" t="s">
        <v>929</v>
      </c>
      <c r="H232" s="29" t="s">
        <v>60</v>
      </c>
      <c r="I232" s="29" t="s">
        <v>50</v>
      </c>
      <c r="J232" s="29" t="s">
        <v>930</v>
      </c>
      <c r="K232" s="31">
        <v>6</v>
      </c>
      <c r="L232" s="29" t="s">
        <v>81</v>
      </c>
      <c r="M232" s="29" t="s">
        <v>38</v>
      </c>
      <c r="N232" s="31">
        <v>247.64</v>
      </c>
    </row>
    <row r="233" ht="29.75" spans="1:14">
      <c r="A233" s="29" t="s">
        <v>931</v>
      </c>
      <c r="B233" s="30">
        <v>45235</v>
      </c>
      <c r="C233" s="29" t="s">
        <v>932</v>
      </c>
      <c r="D233" s="29" t="s">
        <v>25</v>
      </c>
      <c r="E233" s="31">
        <v>4</v>
      </c>
      <c r="F233" s="31">
        <v>41.9</v>
      </c>
      <c r="G233" s="29" t="s">
        <v>933</v>
      </c>
      <c r="H233" s="29" t="s">
        <v>60</v>
      </c>
      <c r="I233" s="29" t="s">
        <v>89</v>
      </c>
      <c r="J233" s="29" t="s">
        <v>934</v>
      </c>
      <c r="K233" s="31">
        <v>9</v>
      </c>
      <c r="L233" s="29" t="s">
        <v>37</v>
      </c>
      <c r="M233" s="29" t="s">
        <v>22</v>
      </c>
      <c r="N233" s="31">
        <v>167.6</v>
      </c>
    </row>
    <row r="234" ht="29.75" spans="1:14">
      <c r="A234" s="29" t="s">
        <v>935</v>
      </c>
      <c r="B234" s="30">
        <v>45065</v>
      </c>
      <c r="C234" s="29" t="s">
        <v>936</v>
      </c>
      <c r="D234" s="29" t="s">
        <v>48</v>
      </c>
      <c r="E234" s="31">
        <v>4</v>
      </c>
      <c r="F234" s="31">
        <v>444.44</v>
      </c>
      <c r="G234" s="29" t="s">
        <v>937</v>
      </c>
      <c r="H234" s="29" t="s">
        <v>18</v>
      </c>
      <c r="I234" s="29" t="s">
        <v>35</v>
      </c>
      <c r="J234" s="29" t="s">
        <v>938</v>
      </c>
      <c r="K234" s="31">
        <v>8</v>
      </c>
      <c r="L234" s="29" t="s">
        <v>81</v>
      </c>
      <c r="M234" s="29" t="s">
        <v>76</v>
      </c>
      <c r="N234" s="31">
        <v>1777.76</v>
      </c>
    </row>
    <row r="235" ht="29.75" spans="1:14">
      <c r="A235" s="29" t="s">
        <v>939</v>
      </c>
      <c r="B235" s="30">
        <v>45528</v>
      </c>
      <c r="C235" s="29" t="s">
        <v>940</v>
      </c>
      <c r="D235" s="29" t="s">
        <v>25</v>
      </c>
      <c r="E235" s="31">
        <v>3</v>
      </c>
      <c r="F235" s="31">
        <v>311.33</v>
      </c>
      <c r="G235" s="29" t="s">
        <v>347</v>
      </c>
      <c r="H235" s="29" t="s">
        <v>65</v>
      </c>
      <c r="I235" s="29" t="s">
        <v>35</v>
      </c>
      <c r="J235" s="29" t="s">
        <v>941</v>
      </c>
      <c r="K235" s="31">
        <v>3</v>
      </c>
      <c r="L235" s="29" t="s">
        <v>81</v>
      </c>
      <c r="M235" s="29" t="s">
        <v>22</v>
      </c>
      <c r="N235" s="31">
        <v>933.99</v>
      </c>
    </row>
    <row r="236" ht="29.75" spans="1:14">
      <c r="A236" s="29" t="s">
        <v>942</v>
      </c>
      <c r="B236" s="30">
        <v>45622</v>
      </c>
      <c r="C236" s="29" t="s">
        <v>943</v>
      </c>
      <c r="D236" s="29" t="s">
        <v>48</v>
      </c>
      <c r="E236" s="31">
        <v>4</v>
      </c>
      <c r="F236" s="31">
        <v>236.41</v>
      </c>
      <c r="G236" s="29" t="s">
        <v>944</v>
      </c>
      <c r="H236" s="29" t="s">
        <v>18</v>
      </c>
      <c r="I236" s="29" t="s">
        <v>89</v>
      </c>
      <c r="J236" s="29" t="s">
        <v>945</v>
      </c>
      <c r="K236" s="31">
        <v>7</v>
      </c>
      <c r="L236" s="29" t="s">
        <v>21</v>
      </c>
      <c r="M236" s="29" t="s">
        <v>76</v>
      </c>
      <c r="N236" s="31">
        <v>945.64</v>
      </c>
    </row>
    <row r="237" ht="29.75" spans="1:14">
      <c r="A237" s="29" t="s">
        <v>946</v>
      </c>
      <c r="B237" s="30">
        <v>44977</v>
      </c>
      <c r="C237" s="29" t="s">
        <v>947</v>
      </c>
      <c r="D237" s="29" t="s">
        <v>73</v>
      </c>
      <c r="E237" s="31">
        <v>1</v>
      </c>
      <c r="F237" s="31">
        <v>65.45</v>
      </c>
      <c r="G237" s="29" t="s">
        <v>948</v>
      </c>
      <c r="H237" s="29" t="s">
        <v>65</v>
      </c>
      <c r="I237" s="29" t="s">
        <v>89</v>
      </c>
      <c r="J237" s="29" t="s">
        <v>949</v>
      </c>
      <c r="K237" s="31">
        <v>2</v>
      </c>
      <c r="L237" s="29" t="s">
        <v>81</v>
      </c>
      <c r="M237" s="29" t="s">
        <v>76</v>
      </c>
      <c r="N237" s="31">
        <v>65.45</v>
      </c>
    </row>
    <row r="238" ht="29.75" spans="1:14">
      <c r="A238" s="29" t="s">
        <v>950</v>
      </c>
      <c r="B238" s="30">
        <v>44927</v>
      </c>
      <c r="C238" s="29" t="s">
        <v>951</v>
      </c>
      <c r="D238" s="29" t="s">
        <v>16</v>
      </c>
      <c r="E238" s="31">
        <v>1</v>
      </c>
      <c r="F238" s="31">
        <v>318.81</v>
      </c>
      <c r="G238" s="29" t="s">
        <v>952</v>
      </c>
      <c r="H238" s="29" t="s">
        <v>18</v>
      </c>
      <c r="I238" s="29" t="s">
        <v>89</v>
      </c>
      <c r="J238" s="29" t="s">
        <v>953</v>
      </c>
      <c r="K238" s="31">
        <v>3</v>
      </c>
      <c r="L238" s="29" t="s">
        <v>81</v>
      </c>
      <c r="M238" s="29" t="s">
        <v>38</v>
      </c>
      <c r="N238" s="31">
        <v>318.81</v>
      </c>
    </row>
    <row r="239" ht="29.75" spans="1:14">
      <c r="A239" s="29" t="s">
        <v>954</v>
      </c>
      <c r="B239" s="30">
        <v>45365</v>
      </c>
      <c r="C239" s="29" t="s">
        <v>955</v>
      </c>
      <c r="D239" s="29" t="s">
        <v>16</v>
      </c>
      <c r="E239" s="31">
        <v>3</v>
      </c>
      <c r="F239" s="31">
        <v>583.72</v>
      </c>
      <c r="G239" s="29" t="s">
        <v>956</v>
      </c>
      <c r="H239" s="29" t="s">
        <v>34</v>
      </c>
      <c r="I239" s="29" t="s">
        <v>19</v>
      </c>
      <c r="J239" s="29" t="s">
        <v>957</v>
      </c>
      <c r="K239" s="31">
        <v>5</v>
      </c>
      <c r="L239" s="29" t="s">
        <v>37</v>
      </c>
      <c r="M239" s="29" t="s">
        <v>45</v>
      </c>
      <c r="N239" s="31">
        <v>1751.16</v>
      </c>
    </row>
    <row r="240" ht="29.75" spans="1:14">
      <c r="A240" s="29" t="s">
        <v>958</v>
      </c>
      <c r="B240" s="30">
        <v>45639</v>
      </c>
      <c r="C240" s="29" t="s">
        <v>959</v>
      </c>
      <c r="D240" s="29" t="s">
        <v>73</v>
      </c>
      <c r="E240" s="31">
        <v>4</v>
      </c>
      <c r="F240" s="31">
        <v>384.32</v>
      </c>
      <c r="G240" s="29" t="s">
        <v>960</v>
      </c>
      <c r="H240" s="29" t="s">
        <v>34</v>
      </c>
      <c r="I240" s="29" t="s">
        <v>89</v>
      </c>
      <c r="J240" s="29" t="s">
        <v>961</v>
      </c>
      <c r="K240" s="31">
        <v>6</v>
      </c>
      <c r="L240" s="29" t="s">
        <v>81</v>
      </c>
      <c r="M240" s="29" t="s">
        <v>76</v>
      </c>
      <c r="N240" s="31">
        <v>1537.28</v>
      </c>
    </row>
    <row r="241" ht="29.75" spans="1:14">
      <c r="A241" s="29" t="s">
        <v>962</v>
      </c>
      <c r="B241" s="30">
        <v>45637</v>
      </c>
      <c r="C241" s="29" t="s">
        <v>963</v>
      </c>
      <c r="D241" s="29" t="s">
        <v>32</v>
      </c>
      <c r="E241" s="31">
        <v>3</v>
      </c>
      <c r="F241" s="31">
        <v>538.74</v>
      </c>
      <c r="G241" s="29" t="s">
        <v>964</v>
      </c>
      <c r="H241" s="29" t="s">
        <v>27</v>
      </c>
      <c r="I241" s="29" t="s">
        <v>19</v>
      </c>
      <c r="J241" s="29" t="s">
        <v>965</v>
      </c>
      <c r="K241" s="31">
        <v>6</v>
      </c>
      <c r="L241" s="29" t="s">
        <v>37</v>
      </c>
      <c r="M241" s="29" t="s">
        <v>38</v>
      </c>
      <c r="N241" s="31">
        <v>1616.22</v>
      </c>
    </row>
    <row r="242" ht="29.75" spans="1:14">
      <c r="A242" s="29" t="s">
        <v>966</v>
      </c>
      <c r="B242" s="30">
        <v>45119</v>
      </c>
      <c r="C242" s="29" t="s">
        <v>967</v>
      </c>
      <c r="D242" s="29" t="s">
        <v>32</v>
      </c>
      <c r="E242" s="31">
        <v>1</v>
      </c>
      <c r="F242" s="31">
        <v>17.24</v>
      </c>
      <c r="G242" s="29" t="s">
        <v>968</v>
      </c>
      <c r="H242" s="29" t="s">
        <v>27</v>
      </c>
      <c r="I242" s="29" t="s">
        <v>89</v>
      </c>
      <c r="J242" s="29" t="s">
        <v>969</v>
      </c>
      <c r="K242" s="31">
        <v>2</v>
      </c>
      <c r="L242" s="29" t="s">
        <v>37</v>
      </c>
      <c r="M242" s="29" t="s">
        <v>22</v>
      </c>
      <c r="N242" s="31">
        <v>17.24</v>
      </c>
    </row>
    <row r="243" ht="29.75" spans="1:14">
      <c r="A243" s="29" t="s">
        <v>970</v>
      </c>
      <c r="B243" s="30">
        <v>45062</v>
      </c>
      <c r="C243" s="29" t="s">
        <v>971</v>
      </c>
      <c r="D243" s="29" t="s">
        <v>41</v>
      </c>
      <c r="E243" s="31">
        <v>5</v>
      </c>
      <c r="F243" s="31">
        <v>615.67</v>
      </c>
      <c r="G243" s="29" t="s">
        <v>972</v>
      </c>
      <c r="H243" s="29" t="s">
        <v>27</v>
      </c>
      <c r="I243" s="29" t="s">
        <v>89</v>
      </c>
      <c r="J243" s="29" t="s">
        <v>973</v>
      </c>
      <c r="K243" s="31">
        <v>6</v>
      </c>
      <c r="L243" s="29" t="s">
        <v>21</v>
      </c>
      <c r="M243" s="29" t="s">
        <v>38</v>
      </c>
      <c r="N243" s="31">
        <v>3078.35</v>
      </c>
    </row>
    <row r="244" ht="29.75" spans="1:14">
      <c r="A244" s="29" t="s">
        <v>974</v>
      </c>
      <c r="B244" s="30">
        <v>45055</v>
      </c>
      <c r="C244" s="29" t="s">
        <v>975</v>
      </c>
      <c r="D244" s="29" t="s">
        <v>48</v>
      </c>
      <c r="E244" s="31">
        <v>2</v>
      </c>
      <c r="F244" s="31">
        <v>219.1</v>
      </c>
      <c r="G244" s="29" t="s">
        <v>976</v>
      </c>
      <c r="H244" s="29" t="s">
        <v>27</v>
      </c>
      <c r="I244" s="29" t="s">
        <v>89</v>
      </c>
      <c r="J244" s="29" t="s">
        <v>977</v>
      </c>
      <c r="K244" s="31">
        <v>4</v>
      </c>
      <c r="L244" s="29" t="s">
        <v>21</v>
      </c>
      <c r="M244" s="29" t="s">
        <v>29</v>
      </c>
      <c r="N244" s="31">
        <v>438.2</v>
      </c>
    </row>
    <row r="245" ht="29.75" spans="1:14">
      <c r="A245" s="29" t="s">
        <v>978</v>
      </c>
      <c r="B245" s="30">
        <v>45786</v>
      </c>
      <c r="C245" s="29" t="s">
        <v>979</v>
      </c>
      <c r="D245" s="29" t="s">
        <v>41</v>
      </c>
      <c r="E245" s="31">
        <v>2</v>
      </c>
      <c r="F245" s="31">
        <v>144.66</v>
      </c>
      <c r="G245" s="29" t="s">
        <v>980</v>
      </c>
      <c r="H245" s="29" t="s">
        <v>27</v>
      </c>
      <c r="I245" s="29" t="s">
        <v>35</v>
      </c>
      <c r="J245" s="29" t="s">
        <v>981</v>
      </c>
      <c r="K245" s="31">
        <v>7</v>
      </c>
      <c r="L245" s="29" t="s">
        <v>37</v>
      </c>
      <c r="M245" s="29" t="s">
        <v>76</v>
      </c>
      <c r="N245" s="31">
        <v>289.32</v>
      </c>
    </row>
    <row r="246" ht="29.75" spans="1:14">
      <c r="A246" s="29" t="s">
        <v>982</v>
      </c>
      <c r="B246" s="30">
        <v>44973</v>
      </c>
      <c r="C246" s="29" t="s">
        <v>983</v>
      </c>
      <c r="D246" s="29" t="s">
        <v>73</v>
      </c>
      <c r="E246" s="31">
        <v>2</v>
      </c>
      <c r="F246" s="31">
        <v>317.77</v>
      </c>
      <c r="G246" s="29" t="s">
        <v>984</v>
      </c>
      <c r="H246" s="29" t="s">
        <v>18</v>
      </c>
      <c r="I246" s="29" t="s">
        <v>35</v>
      </c>
      <c r="J246" s="29" t="s">
        <v>985</v>
      </c>
      <c r="K246" s="31">
        <v>4</v>
      </c>
      <c r="L246" s="29" t="s">
        <v>81</v>
      </c>
      <c r="M246" s="29" t="s">
        <v>45</v>
      </c>
      <c r="N246" s="31">
        <v>635.54</v>
      </c>
    </row>
    <row r="247" ht="29.75" spans="1:14">
      <c r="A247" s="29" t="s">
        <v>986</v>
      </c>
      <c r="B247" s="30">
        <v>45767</v>
      </c>
      <c r="C247" s="29" t="s">
        <v>987</v>
      </c>
      <c r="D247" s="29" t="s">
        <v>58</v>
      </c>
      <c r="E247" s="31">
        <v>1</v>
      </c>
      <c r="F247" s="31">
        <v>223.3</v>
      </c>
      <c r="G247" s="29" t="s">
        <v>988</v>
      </c>
      <c r="H247" s="29" t="s">
        <v>27</v>
      </c>
      <c r="I247" s="29" t="s">
        <v>43</v>
      </c>
      <c r="J247" s="29" t="s">
        <v>989</v>
      </c>
      <c r="K247" s="31">
        <v>1</v>
      </c>
      <c r="L247" s="29"/>
      <c r="M247" s="29" t="s">
        <v>45</v>
      </c>
      <c r="N247" s="31">
        <v>223.3</v>
      </c>
    </row>
    <row r="248" ht="29.75" spans="1:14">
      <c r="A248" s="29" t="s">
        <v>990</v>
      </c>
      <c r="B248" s="30">
        <v>45534</v>
      </c>
      <c r="C248" s="29" t="s">
        <v>991</v>
      </c>
      <c r="D248" s="29" t="s">
        <v>73</v>
      </c>
      <c r="E248" s="31">
        <v>2</v>
      </c>
      <c r="F248" s="31">
        <v>342.11</v>
      </c>
      <c r="G248" s="29" t="s">
        <v>992</v>
      </c>
      <c r="H248" s="29" t="s">
        <v>60</v>
      </c>
      <c r="I248" s="29" t="s">
        <v>19</v>
      </c>
      <c r="J248" s="29" t="s">
        <v>993</v>
      </c>
      <c r="K248" s="31">
        <v>2</v>
      </c>
      <c r="L248" s="29" t="s">
        <v>81</v>
      </c>
      <c r="M248" s="29" t="s">
        <v>22</v>
      </c>
      <c r="N248" s="31">
        <v>684.22</v>
      </c>
    </row>
    <row r="249" ht="29.75" spans="1:14">
      <c r="A249" s="29" t="s">
        <v>994</v>
      </c>
      <c r="B249" s="30">
        <v>45127</v>
      </c>
      <c r="C249" s="29" t="s">
        <v>995</v>
      </c>
      <c r="D249" s="29" t="s">
        <v>48</v>
      </c>
      <c r="E249" s="31">
        <v>2</v>
      </c>
      <c r="F249" s="31">
        <v>220.9</v>
      </c>
      <c r="G249" s="29" t="s">
        <v>996</v>
      </c>
      <c r="H249" s="29" t="s">
        <v>60</v>
      </c>
      <c r="I249" s="29" t="s">
        <v>19</v>
      </c>
      <c r="J249" s="29" t="s">
        <v>997</v>
      </c>
      <c r="K249" s="31">
        <v>4</v>
      </c>
      <c r="L249" s="29"/>
      <c r="M249" s="29" t="s">
        <v>38</v>
      </c>
      <c r="N249" s="31">
        <v>441.8</v>
      </c>
    </row>
    <row r="250" ht="29.75" spans="1:14">
      <c r="A250" s="29" t="s">
        <v>998</v>
      </c>
      <c r="B250" s="30">
        <v>45109</v>
      </c>
      <c r="C250" s="29" t="s">
        <v>999</v>
      </c>
      <c r="D250" s="29" t="s">
        <v>58</v>
      </c>
      <c r="E250" s="31">
        <v>1</v>
      </c>
      <c r="F250" s="31">
        <v>670.54</v>
      </c>
      <c r="G250" s="29" t="s">
        <v>1000</v>
      </c>
      <c r="H250" s="29" t="s">
        <v>65</v>
      </c>
      <c r="I250" s="29" t="s">
        <v>19</v>
      </c>
      <c r="J250" s="29" t="s">
        <v>1001</v>
      </c>
      <c r="K250" s="31">
        <v>6</v>
      </c>
      <c r="L250" s="29" t="s">
        <v>37</v>
      </c>
      <c r="M250" s="29" t="s">
        <v>29</v>
      </c>
      <c r="N250" s="31">
        <v>670.54</v>
      </c>
    </row>
    <row r="251" ht="29.75" spans="1:14">
      <c r="A251" s="29" t="s">
        <v>1002</v>
      </c>
      <c r="B251" s="30">
        <v>45329</v>
      </c>
      <c r="C251" s="29" t="s">
        <v>1003</v>
      </c>
      <c r="D251" s="29" t="s">
        <v>48</v>
      </c>
      <c r="E251" s="31">
        <v>1</v>
      </c>
      <c r="F251" s="31">
        <v>546.19</v>
      </c>
      <c r="G251" s="29" t="s">
        <v>1004</v>
      </c>
      <c r="H251" s="29" t="s">
        <v>65</v>
      </c>
      <c r="I251" s="29" t="s">
        <v>89</v>
      </c>
      <c r="J251" s="29" t="s">
        <v>1005</v>
      </c>
      <c r="K251" s="31">
        <v>5</v>
      </c>
      <c r="L251" s="29" t="s">
        <v>37</v>
      </c>
      <c r="M251" s="29" t="s">
        <v>29</v>
      </c>
      <c r="N251" s="31">
        <v>546.19</v>
      </c>
    </row>
    <row r="252" ht="29.75" spans="1:14">
      <c r="A252" s="29" t="s">
        <v>1006</v>
      </c>
      <c r="B252" s="30">
        <v>45021</v>
      </c>
      <c r="C252" s="29" t="s">
        <v>1007</v>
      </c>
      <c r="D252" s="29" t="s">
        <v>73</v>
      </c>
      <c r="E252" s="31">
        <v>3</v>
      </c>
      <c r="F252" s="31">
        <v>42.95</v>
      </c>
      <c r="G252" s="29" t="s">
        <v>387</v>
      </c>
      <c r="H252" s="29" t="s">
        <v>60</v>
      </c>
      <c r="I252" s="29" t="s">
        <v>43</v>
      </c>
      <c r="J252" s="29" t="s">
        <v>1008</v>
      </c>
      <c r="K252" s="31">
        <v>8</v>
      </c>
      <c r="L252" s="29" t="s">
        <v>21</v>
      </c>
      <c r="M252" s="29" t="s">
        <v>38</v>
      </c>
      <c r="N252" s="31">
        <v>128.85</v>
      </c>
    </row>
    <row r="253" ht="29.75" spans="1:14">
      <c r="A253" s="29" t="s">
        <v>1009</v>
      </c>
      <c r="B253" s="30">
        <v>45792</v>
      </c>
      <c r="C253" s="29" t="s">
        <v>1010</v>
      </c>
      <c r="D253" s="29" t="s">
        <v>16</v>
      </c>
      <c r="E253" s="31">
        <v>4</v>
      </c>
      <c r="F253" s="31">
        <v>14.69</v>
      </c>
      <c r="G253" s="29" t="s">
        <v>1011</v>
      </c>
      <c r="H253" s="29" t="s">
        <v>65</v>
      </c>
      <c r="I253" s="29" t="s">
        <v>35</v>
      </c>
      <c r="J253" s="29" t="s">
        <v>1012</v>
      </c>
      <c r="K253" s="31">
        <v>9</v>
      </c>
      <c r="L253" s="29"/>
      <c r="M253" s="29" t="s">
        <v>38</v>
      </c>
      <c r="N253" s="31">
        <v>58.76</v>
      </c>
    </row>
    <row r="254" ht="29.75" spans="1:14">
      <c r="A254" s="29" t="s">
        <v>1013</v>
      </c>
      <c r="B254" s="30">
        <v>45555</v>
      </c>
      <c r="C254" s="29" t="s">
        <v>1014</v>
      </c>
      <c r="D254" s="29" t="s">
        <v>25</v>
      </c>
      <c r="E254" s="31">
        <v>4</v>
      </c>
      <c r="F254" s="31">
        <v>668.36</v>
      </c>
      <c r="G254" s="29" t="s">
        <v>1015</v>
      </c>
      <c r="H254" s="29" t="s">
        <v>60</v>
      </c>
      <c r="I254" s="29" t="s">
        <v>35</v>
      </c>
      <c r="J254" s="29" t="s">
        <v>1016</v>
      </c>
      <c r="K254" s="31">
        <v>5</v>
      </c>
      <c r="L254" s="29" t="s">
        <v>37</v>
      </c>
      <c r="M254" s="29" t="s">
        <v>45</v>
      </c>
      <c r="N254" s="31">
        <v>2673.44</v>
      </c>
    </row>
    <row r="255" ht="29.75" spans="1:14">
      <c r="A255" s="29" t="s">
        <v>1017</v>
      </c>
      <c r="B255" s="30">
        <v>45374</v>
      </c>
      <c r="C255" s="29" t="s">
        <v>1018</v>
      </c>
      <c r="D255" s="29" t="s">
        <v>41</v>
      </c>
      <c r="E255" s="31">
        <v>4</v>
      </c>
      <c r="F255" s="31">
        <v>413.74</v>
      </c>
      <c r="G255" s="29" t="s">
        <v>434</v>
      </c>
      <c r="H255" s="29" t="s">
        <v>60</v>
      </c>
      <c r="I255" s="29" t="s">
        <v>43</v>
      </c>
      <c r="J255" s="29" t="s">
        <v>1019</v>
      </c>
      <c r="K255" s="31">
        <v>7</v>
      </c>
      <c r="L255" s="29" t="s">
        <v>37</v>
      </c>
      <c r="M255" s="29" t="s">
        <v>22</v>
      </c>
      <c r="N255" s="31">
        <v>1654.96</v>
      </c>
    </row>
    <row r="256" ht="29.75" spans="1:14">
      <c r="A256" s="29" t="s">
        <v>1020</v>
      </c>
      <c r="B256" s="30">
        <v>45286</v>
      </c>
      <c r="C256" s="29" t="s">
        <v>1021</v>
      </c>
      <c r="D256" s="29" t="s">
        <v>16</v>
      </c>
      <c r="E256" s="31">
        <v>3</v>
      </c>
      <c r="F256" s="31">
        <v>263.19</v>
      </c>
      <c r="G256" s="29" t="s">
        <v>960</v>
      </c>
      <c r="H256" s="29" t="s">
        <v>27</v>
      </c>
      <c r="I256" s="29" t="s">
        <v>50</v>
      </c>
      <c r="J256" s="29" t="s">
        <v>1022</v>
      </c>
      <c r="K256" s="31">
        <v>5</v>
      </c>
      <c r="L256" s="29"/>
      <c r="M256" s="29" t="s">
        <v>22</v>
      </c>
      <c r="N256" s="31">
        <v>789.57</v>
      </c>
    </row>
    <row r="257" ht="29.75" spans="1:14">
      <c r="A257" s="29" t="s">
        <v>1023</v>
      </c>
      <c r="B257" s="30">
        <v>45425</v>
      </c>
      <c r="C257" s="29" t="s">
        <v>1024</v>
      </c>
      <c r="D257" s="29" t="s">
        <v>16</v>
      </c>
      <c r="E257" s="31">
        <v>1</v>
      </c>
      <c r="F257" s="31">
        <v>263.96</v>
      </c>
      <c r="G257" s="29" t="s">
        <v>715</v>
      </c>
      <c r="H257" s="29" t="s">
        <v>60</v>
      </c>
      <c r="I257" s="29" t="s">
        <v>43</v>
      </c>
      <c r="J257" s="29" t="s">
        <v>1025</v>
      </c>
      <c r="K257" s="31">
        <v>2</v>
      </c>
      <c r="L257" s="29" t="s">
        <v>21</v>
      </c>
      <c r="M257" s="29" t="s">
        <v>76</v>
      </c>
      <c r="N257" s="31">
        <v>263.96</v>
      </c>
    </row>
    <row r="258" ht="29.75" spans="1:14">
      <c r="A258" s="29" t="s">
        <v>1026</v>
      </c>
      <c r="B258" s="30">
        <v>45838</v>
      </c>
      <c r="C258" s="29" t="s">
        <v>1027</v>
      </c>
      <c r="D258" s="29" t="s">
        <v>41</v>
      </c>
      <c r="E258" s="31">
        <v>5</v>
      </c>
      <c r="F258" s="31">
        <v>75.81</v>
      </c>
      <c r="G258" s="29" t="s">
        <v>1028</v>
      </c>
      <c r="H258" s="29" t="s">
        <v>60</v>
      </c>
      <c r="I258" s="29" t="s">
        <v>43</v>
      </c>
      <c r="J258" s="29" t="s">
        <v>1029</v>
      </c>
      <c r="K258" s="31">
        <v>10</v>
      </c>
      <c r="L258" s="29" t="s">
        <v>81</v>
      </c>
      <c r="M258" s="29" t="s">
        <v>22</v>
      </c>
      <c r="N258" s="31">
        <v>379.05</v>
      </c>
    </row>
    <row r="259" ht="29.75" spans="1:14">
      <c r="A259" s="29" t="s">
        <v>1030</v>
      </c>
      <c r="B259" s="30">
        <v>45405</v>
      </c>
      <c r="C259" s="29" t="s">
        <v>1031</v>
      </c>
      <c r="D259" s="29" t="s">
        <v>25</v>
      </c>
      <c r="E259" s="31">
        <v>1</v>
      </c>
      <c r="F259" s="31">
        <v>406.22</v>
      </c>
      <c r="G259" s="29" t="s">
        <v>1032</v>
      </c>
      <c r="H259" s="29" t="s">
        <v>34</v>
      </c>
      <c r="I259" s="29" t="s">
        <v>35</v>
      </c>
      <c r="J259" s="29" t="s">
        <v>1033</v>
      </c>
      <c r="K259" s="31">
        <v>5</v>
      </c>
      <c r="L259" s="29" t="s">
        <v>21</v>
      </c>
      <c r="M259" s="29" t="s">
        <v>29</v>
      </c>
      <c r="N259" s="31">
        <v>406.22</v>
      </c>
    </row>
    <row r="260" ht="29.75" spans="1:14">
      <c r="A260" s="29" t="s">
        <v>1034</v>
      </c>
      <c r="B260" s="30">
        <v>45348</v>
      </c>
      <c r="C260" s="29" t="s">
        <v>1035</v>
      </c>
      <c r="D260" s="29" t="s">
        <v>32</v>
      </c>
      <c r="E260" s="31">
        <v>2</v>
      </c>
      <c r="F260" s="31">
        <v>103.41</v>
      </c>
      <c r="G260" s="29" t="s">
        <v>1036</v>
      </c>
      <c r="H260" s="29" t="s">
        <v>27</v>
      </c>
      <c r="I260" s="29" t="s">
        <v>19</v>
      </c>
      <c r="J260" s="29" t="s">
        <v>1037</v>
      </c>
      <c r="K260" s="31">
        <v>2</v>
      </c>
      <c r="L260" s="29" t="s">
        <v>37</v>
      </c>
      <c r="M260" s="29" t="s">
        <v>29</v>
      </c>
      <c r="N260" s="31">
        <v>206.82</v>
      </c>
    </row>
    <row r="261" ht="29.75" spans="1:14">
      <c r="A261" s="29" t="s">
        <v>1038</v>
      </c>
      <c r="B261" s="30">
        <v>45088</v>
      </c>
      <c r="C261" s="29" t="s">
        <v>1039</v>
      </c>
      <c r="D261" s="29" t="s">
        <v>41</v>
      </c>
      <c r="E261" s="31">
        <v>4</v>
      </c>
      <c r="F261" s="31">
        <v>435.12</v>
      </c>
      <c r="G261" s="29" t="s">
        <v>565</v>
      </c>
      <c r="H261" s="29" t="s">
        <v>34</v>
      </c>
      <c r="I261" s="29" t="s">
        <v>50</v>
      </c>
      <c r="J261" s="29" t="s">
        <v>1040</v>
      </c>
      <c r="K261" s="31">
        <v>9</v>
      </c>
      <c r="L261" s="29" t="s">
        <v>21</v>
      </c>
      <c r="M261" s="29" t="s">
        <v>22</v>
      </c>
      <c r="N261" s="31">
        <v>1740.48</v>
      </c>
    </row>
    <row r="262" ht="29.75" spans="1:14">
      <c r="A262" s="29" t="s">
        <v>1041</v>
      </c>
      <c r="B262" s="30">
        <v>45063</v>
      </c>
      <c r="C262" s="29" t="s">
        <v>1042</v>
      </c>
      <c r="D262" s="29" t="s">
        <v>16</v>
      </c>
      <c r="E262" s="31">
        <v>2</v>
      </c>
      <c r="F262" s="31">
        <v>407.79</v>
      </c>
      <c r="G262" s="29" t="s">
        <v>1043</v>
      </c>
      <c r="H262" s="29" t="s">
        <v>18</v>
      </c>
      <c r="I262" s="29" t="s">
        <v>19</v>
      </c>
      <c r="J262" s="29" t="s">
        <v>1044</v>
      </c>
      <c r="K262" s="31">
        <v>3</v>
      </c>
      <c r="L262" s="29"/>
      <c r="M262" s="29" t="s">
        <v>76</v>
      </c>
      <c r="N262" s="31">
        <v>815.58</v>
      </c>
    </row>
    <row r="263" ht="29.75" spans="1:14">
      <c r="A263" s="29" t="s">
        <v>1045</v>
      </c>
      <c r="B263" s="30">
        <v>45805</v>
      </c>
      <c r="C263" s="29" t="s">
        <v>1046</v>
      </c>
      <c r="D263" s="29" t="s">
        <v>25</v>
      </c>
      <c r="E263" s="31">
        <v>5</v>
      </c>
      <c r="F263" s="31">
        <v>173.65</v>
      </c>
      <c r="G263" s="29" t="s">
        <v>1047</v>
      </c>
      <c r="H263" s="29" t="s">
        <v>60</v>
      </c>
      <c r="I263" s="29" t="s">
        <v>50</v>
      </c>
      <c r="J263" s="29" t="s">
        <v>1048</v>
      </c>
      <c r="K263" s="31">
        <v>9</v>
      </c>
      <c r="L263" s="29" t="s">
        <v>21</v>
      </c>
      <c r="M263" s="29" t="s">
        <v>38</v>
      </c>
      <c r="N263" s="31">
        <v>868.25</v>
      </c>
    </row>
    <row r="264" ht="29.75" spans="1:14">
      <c r="A264" s="29" t="s">
        <v>1049</v>
      </c>
      <c r="B264" s="30">
        <v>44936</v>
      </c>
      <c r="C264" s="29" t="s">
        <v>1050</v>
      </c>
      <c r="D264" s="29" t="s">
        <v>25</v>
      </c>
      <c r="E264" s="31">
        <v>4</v>
      </c>
      <c r="F264" s="31">
        <v>249.07</v>
      </c>
      <c r="G264" s="29" t="s">
        <v>572</v>
      </c>
      <c r="H264" s="29" t="s">
        <v>34</v>
      </c>
      <c r="I264" s="29" t="s">
        <v>43</v>
      </c>
      <c r="J264" s="29" t="s">
        <v>1051</v>
      </c>
      <c r="K264" s="31">
        <v>5</v>
      </c>
      <c r="L264" s="29" t="s">
        <v>81</v>
      </c>
      <c r="M264" s="29" t="s">
        <v>29</v>
      </c>
      <c r="N264" s="31">
        <v>996.28</v>
      </c>
    </row>
    <row r="265" ht="29.75" spans="1:14">
      <c r="A265" s="29" t="s">
        <v>1052</v>
      </c>
      <c r="B265" s="30">
        <v>45010</v>
      </c>
      <c r="C265" s="29" t="s">
        <v>1053</v>
      </c>
      <c r="D265" s="29" t="s">
        <v>25</v>
      </c>
      <c r="E265" s="31">
        <v>4</v>
      </c>
      <c r="F265" s="31">
        <v>434.85</v>
      </c>
      <c r="G265" s="29" t="s">
        <v>1054</v>
      </c>
      <c r="H265" s="29" t="s">
        <v>34</v>
      </c>
      <c r="I265" s="29" t="s">
        <v>89</v>
      </c>
      <c r="J265" s="29" t="s">
        <v>1055</v>
      </c>
      <c r="K265" s="31">
        <v>4</v>
      </c>
      <c r="L265" s="29" t="s">
        <v>81</v>
      </c>
      <c r="M265" s="29" t="s">
        <v>76</v>
      </c>
      <c r="N265" s="31">
        <v>1739.4</v>
      </c>
    </row>
    <row r="266" ht="29.75" spans="1:14">
      <c r="A266" s="29" t="s">
        <v>1056</v>
      </c>
      <c r="B266" s="30">
        <v>45507</v>
      </c>
      <c r="C266" s="29" t="s">
        <v>1057</v>
      </c>
      <c r="D266" s="29" t="s">
        <v>32</v>
      </c>
      <c r="E266" s="31">
        <v>1</v>
      </c>
      <c r="F266" s="31">
        <v>436.77</v>
      </c>
      <c r="G266" s="29" t="s">
        <v>1058</v>
      </c>
      <c r="H266" s="29" t="s">
        <v>65</v>
      </c>
      <c r="I266" s="29" t="s">
        <v>43</v>
      </c>
      <c r="J266" s="29" t="s">
        <v>1059</v>
      </c>
      <c r="K266" s="31">
        <v>5</v>
      </c>
      <c r="L266" s="29" t="s">
        <v>37</v>
      </c>
      <c r="M266" s="29" t="s">
        <v>76</v>
      </c>
      <c r="N266" s="31">
        <v>436.77</v>
      </c>
    </row>
    <row r="267" ht="29.75" spans="1:14">
      <c r="A267" s="29" t="s">
        <v>1060</v>
      </c>
      <c r="B267" s="30">
        <v>45282</v>
      </c>
      <c r="C267" s="29" t="s">
        <v>1061</v>
      </c>
      <c r="D267" s="29" t="s">
        <v>48</v>
      </c>
      <c r="E267" s="31">
        <v>1</v>
      </c>
      <c r="F267" s="31">
        <v>572.13</v>
      </c>
      <c r="G267" s="29" t="s">
        <v>1062</v>
      </c>
      <c r="H267" s="29" t="s">
        <v>18</v>
      </c>
      <c r="I267" s="29" t="s">
        <v>35</v>
      </c>
      <c r="J267" s="29" t="s">
        <v>1063</v>
      </c>
      <c r="K267" s="31">
        <v>4</v>
      </c>
      <c r="L267" s="29" t="s">
        <v>21</v>
      </c>
      <c r="M267" s="29" t="s">
        <v>76</v>
      </c>
      <c r="N267" s="31">
        <v>572.13</v>
      </c>
    </row>
    <row r="268" ht="29.75" spans="1:14">
      <c r="A268" s="29" t="s">
        <v>1064</v>
      </c>
      <c r="B268" s="30">
        <v>45451</v>
      </c>
      <c r="C268" s="29" t="s">
        <v>1065</v>
      </c>
      <c r="D268" s="29" t="s">
        <v>41</v>
      </c>
      <c r="E268" s="31">
        <v>4</v>
      </c>
      <c r="F268" s="31">
        <v>583.07</v>
      </c>
      <c r="G268" s="29" t="s">
        <v>1066</v>
      </c>
      <c r="H268" s="29" t="s">
        <v>34</v>
      </c>
      <c r="I268" s="29" t="s">
        <v>35</v>
      </c>
      <c r="J268" s="29" t="s">
        <v>1067</v>
      </c>
      <c r="K268" s="31">
        <v>6</v>
      </c>
      <c r="L268" s="29" t="s">
        <v>37</v>
      </c>
      <c r="M268" s="29" t="s">
        <v>29</v>
      </c>
      <c r="N268" s="31">
        <v>2332.28</v>
      </c>
    </row>
    <row r="269" ht="29.75" spans="1:14">
      <c r="A269" s="29" t="s">
        <v>1068</v>
      </c>
      <c r="B269" s="30">
        <v>45764</v>
      </c>
      <c r="C269" s="29" t="s">
        <v>1069</v>
      </c>
      <c r="D269" s="29" t="s">
        <v>41</v>
      </c>
      <c r="E269" s="31">
        <v>5</v>
      </c>
      <c r="F269" s="31">
        <v>468.51</v>
      </c>
      <c r="G269" s="29" t="s">
        <v>1070</v>
      </c>
      <c r="H269" s="29" t="s">
        <v>18</v>
      </c>
      <c r="I269" s="29" t="s">
        <v>50</v>
      </c>
      <c r="J269" s="29" t="s">
        <v>1071</v>
      </c>
      <c r="K269" s="31">
        <v>9</v>
      </c>
      <c r="L269" s="29"/>
      <c r="M269" s="29" t="s">
        <v>45</v>
      </c>
      <c r="N269" s="31">
        <v>2342.55</v>
      </c>
    </row>
    <row r="270" ht="29.75" spans="1:14">
      <c r="A270" s="29" t="s">
        <v>1072</v>
      </c>
      <c r="B270" s="30">
        <v>45149</v>
      </c>
      <c r="C270" s="29" t="s">
        <v>1073</v>
      </c>
      <c r="D270" s="29" t="s">
        <v>25</v>
      </c>
      <c r="E270" s="31">
        <v>2</v>
      </c>
      <c r="F270" s="31">
        <v>423.88</v>
      </c>
      <c r="G270" s="29" t="s">
        <v>1074</v>
      </c>
      <c r="H270" s="29" t="s">
        <v>18</v>
      </c>
      <c r="I270" s="29" t="s">
        <v>50</v>
      </c>
      <c r="J270" s="29" t="s">
        <v>1075</v>
      </c>
      <c r="K270" s="31">
        <v>7</v>
      </c>
      <c r="L270" s="29" t="s">
        <v>21</v>
      </c>
      <c r="M270" s="29" t="s">
        <v>29</v>
      </c>
      <c r="N270" s="31">
        <v>847.76</v>
      </c>
    </row>
    <row r="271" ht="29.75" spans="1:14">
      <c r="A271" s="29" t="s">
        <v>1076</v>
      </c>
      <c r="B271" s="30">
        <v>45255</v>
      </c>
      <c r="C271" s="29" t="s">
        <v>1077</v>
      </c>
      <c r="D271" s="29" t="s">
        <v>32</v>
      </c>
      <c r="E271" s="31">
        <v>4</v>
      </c>
      <c r="F271" s="31">
        <v>663.67</v>
      </c>
      <c r="G271" s="29" t="s">
        <v>327</v>
      </c>
      <c r="H271" s="29" t="s">
        <v>34</v>
      </c>
      <c r="I271" s="29" t="s">
        <v>89</v>
      </c>
      <c r="J271" s="29" t="s">
        <v>1078</v>
      </c>
      <c r="K271" s="31">
        <v>7</v>
      </c>
      <c r="L271" s="29" t="s">
        <v>37</v>
      </c>
      <c r="M271" s="29" t="s">
        <v>76</v>
      </c>
      <c r="N271" s="31">
        <v>2654.68</v>
      </c>
    </row>
    <row r="272" ht="29.75" spans="1:14">
      <c r="A272" s="29" t="s">
        <v>1079</v>
      </c>
      <c r="B272" s="30">
        <v>45081</v>
      </c>
      <c r="C272" s="29" t="s">
        <v>1080</v>
      </c>
      <c r="D272" s="29" t="s">
        <v>48</v>
      </c>
      <c r="E272" s="31">
        <v>4</v>
      </c>
      <c r="F272" s="31">
        <v>309.91</v>
      </c>
      <c r="G272" s="29" t="s">
        <v>1081</v>
      </c>
      <c r="H272" s="29" t="s">
        <v>18</v>
      </c>
      <c r="I272" s="29" t="s">
        <v>19</v>
      </c>
      <c r="J272" s="29" t="s">
        <v>1082</v>
      </c>
      <c r="K272" s="31">
        <v>5</v>
      </c>
      <c r="L272" s="29" t="s">
        <v>81</v>
      </c>
      <c r="M272" s="29" t="s">
        <v>76</v>
      </c>
      <c r="N272" s="31">
        <v>1239.64</v>
      </c>
    </row>
    <row r="273" ht="29.75" spans="1:14">
      <c r="A273" s="29" t="s">
        <v>1083</v>
      </c>
      <c r="B273" s="30">
        <v>45013</v>
      </c>
      <c r="C273" s="29" t="s">
        <v>1084</v>
      </c>
      <c r="D273" s="29" t="s">
        <v>16</v>
      </c>
      <c r="E273" s="31">
        <v>1</v>
      </c>
      <c r="F273" s="31">
        <v>542.07</v>
      </c>
      <c r="G273" s="29" t="s">
        <v>1085</v>
      </c>
      <c r="H273" s="29" t="s">
        <v>65</v>
      </c>
      <c r="I273" s="29" t="s">
        <v>19</v>
      </c>
      <c r="J273" s="29" t="s">
        <v>1086</v>
      </c>
      <c r="K273" s="31">
        <v>6</v>
      </c>
      <c r="L273" s="29" t="s">
        <v>81</v>
      </c>
      <c r="M273" s="29" t="s">
        <v>29</v>
      </c>
      <c r="N273" s="31">
        <v>542.07</v>
      </c>
    </row>
    <row r="274" ht="29.75" spans="1:14">
      <c r="A274" s="29" t="s">
        <v>1087</v>
      </c>
      <c r="B274" s="30">
        <v>45188</v>
      </c>
      <c r="C274" s="29" t="s">
        <v>1088</v>
      </c>
      <c r="D274" s="29" t="s">
        <v>41</v>
      </c>
      <c r="E274" s="31">
        <v>2</v>
      </c>
      <c r="F274" s="31">
        <v>399.32</v>
      </c>
      <c r="G274" s="29" t="s">
        <v>1089</v>
      </c>
      <c r="H274" s="29" t="s">
        <v>27</v>
      </c>
      <c r="I274" s="29" t="s">
        <v>89</v>
      </c>
      <c r="J274" s="29" t="s">
        <v>1090</v>
      </c>
      <c r="K274" s="31">
        <v>6</v>
      </c>
      <c r="L274" s="29" t="s">
        <v>81</v>
      </c>
      <c r="M274" s="29" t="s">
        <v>22</v>
      </c>
      <c r="N274" s="31">
        <v>798.64</v>
      </c>
    </row>
    <row r="275" ht="29.75" spans="1:14">
      <c r="A275" s="29" t="s">
        <v>1091</v>
      </c>
      <c r="B275" s="30">
        <v>45592</v>
      </c>
      <c r="C275" s="29" t="s">
        <v>1092</v>
      </c>
      <c r="D275" s="29" t="s">
        <v>32</v>
      </c>
      <c r="E275" s="31">
        <v>2</v>
      </c>
      <c r="F275" s="31">
        <v>238.25</v>
      </c>
      <c r="G275" s="29" t="s">
        <v>1093</v>
      </c>
      <c r="H275" s="29" t="s">
        <v>27</v>
      </c>
      <c r="I275" s="29" t="s">
        <v>35</v>
      </c>
      <c r="J275" s="29" t="s">
        <v>1094</v>
      </c>
      <c r="K275" s="31">
        <v>7</v>
      </c>
      <c r="L275" s="29" t="s">
        <v>37</v>
      </c>
      <c r="M275" s="29" t="s">
        <v>38</v>
      </c>
      <c r="N275" s="31">
        <v>476.5</v>
      </c>
    </row>
    <row r="276" ht="29.75" spans="1:14">
      <c r="A276" s="29" t="s">
        <v>1095</v>
      </c>
      <c r="B276" s="30">
        <v>44961</v>
      </c>
      <c r="C276" s="29" t="s">
        <v>1096</v>
      </c>
      <c r="D276" s="29" t="s">
        <v>25</v>
      </c>
      <c r="E276" s="31">
        <v>2</v>
      </c>
      <c r="F276" s="31">
        <v>182.4</v>
      </c>
      <c r="G276" s="29" t="s">
        <v>1097</v>
      </c>
      <c r="H276" s="29" t="s">
        <v>60</v>
      </c>
      <c r="I276" s="29" t="s">
        <v>35</v>
      </c>
      <c r="J276" s="29" t="s">
        <v>1098</v>
      </c>
      <c r="K276" s="31">
        <v>5</v>
      </c>
      <c r="L276" s="29" t="s">
        <v>21</v>
      </c>
      <c r="M276" s="29" t="s">
        <v>29</v>
      </c>
      <c r="N276" s="31">
        <v>364.8</v>
      </c>
    </row>
    <row r="277" ht="29.75" spans="1:14">
      <c r="A277" s="29" t="s">
        <v>1099</v>
      </c>
      <c r="B277" s="30">
        <v>45234</v>
      </c>
      <c r="C277" s="29" t="s">
        <v>1100</v>
      </c>
      <c r="D277" s="29" t="s">
        <v>41</v>
      </c>
      <c r="E277" s="31">
        <v>2</v>
      </c>
      <c r="F277" s="31">
        <v>65.07</v>
      </c>
      <c r="G277" s="29" t="s">
        <v>1101</v>
      </c>
      <c r="H277" s="29" t="s">
        <v>34</v>
      </c>
      <c r="I277" s="29" t="s">
        <v>35</v>
      </c>
      <c r="J277" s="29" t="s">
        <v>1102</v>
      </c>
      <c r="K277" s="31">
        <v>4</v>
      </c>
      <c r="L277" s="29" t="s">
        <v>21</v>
      </c>
      <c r="M277" s="29" t="s">
        <v>76</v>
      </c>
      <c r="N277" s="31">
        <v>130.14</v>
      </c>
    </row>
    <row r="278" ht="29.75" spans="1:14">
      <c r="A278" s="29" t="s">
        <v>1103</v>
      </c>
      <c r="B278" s="30">
        <v>45745</v>
      </c>
      <c r="C278" s="29" t="s">
        <v>1104</v>
      </c>
      <c r="D278" s="29" t="s">
        <v>48</v>
      </c>
      <c r="E278" s="31">
        <v>2</v>
      </c>
      <c r="F278" s="31">
        <v>600.57</v>
      </c>
      <c r="G278" s="29" t="s">
        <v>1105</v>
      </c>
      <c r="H278" s="29" t="s">
        <v>18</v>
      </c>
      <c r="I278" s="29" t="s">
        <v>43</v>
      </c>
      <c r="J278" s="29" t="s">
        <v>1106</v>
      </c>
      <c r="K278" s="31">
        <v>3</v>
      </c>
      <c r="L278" s="29" t="s">
        <v>81</v>
      </c>
      <c r="M278" s="29" t="s">
        <v>22</v>
      </c>
      <c r="N278" s="31">
        <v>1201.14</v>
      </c>
    </row>
    <row r="279" ht="29.75" spans="1:14">
      <c r="A279" s="29" t="s">
        <v>1107</v>
      </c>
      <c r="B279" s="30">
        <v>45544</v>
      </c>
      <c r="C279" s="29" t="s">
        <v>1108</v>
      </c>
      <c r="D279" s="29" t="s">
        <v>41</v>
      </c>
      <c r="E279" s="31">
        <v>5</v>
      </c>
      <c r="F279" s="31">
        <v>90.92</v>
      </c>
      <c r="G279" s="29" t="s">
        <v>1109</v>
      </c>
      <c r="H279" s="29" t="s">
        <v>34</v>
      </c>
      <c r="I279" s="29" t="s">
        <v>50</v>
      </c>
      <c r="J279" s="29" t="s">
        <v>1110</v>
      </c>
      <c r="K279" s="31">
        <v>9</v>
      </c>
      <c r="L279" s="29" t="s">
        <v>21</v>
      </c>
      <c r="M279" s="29" t="s">
        <v>45</v>
      </c>
      <c r="N279" s="31">
        <v>454.6</v>
      </c>
    </row>
    <row r="280" ht="29.75" spans="1:14">
      <c r="A280" s="29" t="s">
        <v>1111</v>
      </c>
      <c r="B280" s="30">
        <v>45614</v>
      </c>
      <c r="C280" s="29" t="s">
        <v>1112</v>
      </c>
      <c r="D280" s="29" t="s">
        <v>58</v>
      </c>
      <c r="E280" s="31">
        <v>5</v>
      </c>
      <c r="F280" s="31">
        <v>362.46</v>
      </c>
      <c r="G280" s="29" t="s">
        <v>1113</v>
      </c>
      <c r="H280" s="29" t="s">
        <v>65</v>
      </c>
      <c r="I280" s="29" t="s">
        <v>50</v>
      </c>
      <c r="J280" s="29" t="s">
        <v>1114</v>
      </c>
      <c r="K280" s="31">
        <v>6</v>
      </c>
      <c r="L280" s="29" t="s">
        <v>37</v>
      </c>
      <c r="M280" s="29" t="s">
        <v>22</v>
      </c>
      <c r="N280" s="31">
        <v>1812.3</v>
      </c>
    </row>
    <row r="281" ht="29.75" spans="1:14">
      <c r="A281" s="29" t="s">
        <v>1115</v>
      </c>
      <c r="B281" s="30">
        <v>45219</v>
      </c>
      <c r="C281" s="29" t="s">
        <v>1116</v>
      </c>
      <c r="D281" s="29" t="s">
        <v>41</v>
      </c>
      <c r="E281" s="31">
        <v>3</v>
      </c>
      <c r="F281" s="31">
        <v>55.01</v>
      </c>
      <c r="G281" s="29" t="s">
        <v>1117</v>
      </c>
      <c r="H281" s="29" t="s">
        <v>27</v>
      </c>
      <c r="I281" s="29" t="s">
        <v>89</v>
      </c>
      <c r="J281" s="29" t="s">
        <v>1118</v>
      </c>
      <c r="K281" s="31">
        <v>7</v>
      </c>
      <c r="L281" s="29" t="s">
        <v>81</v>
      </c>
      <c r="M281" s="29" t="s">
        <v>38</v>
      </c>
      <c r="N281" s="31">
        <v>165.03</v>
      </c>
    </row>
    <row r="282" ht="29.75" spans="1:14">
      <c r="A282" s="29" t="s">
        <v>1119</v>
      </c>
      <c r="B282" s="30">
        <v>45012</v>
      </c>
      <c r="C282" s="29" t="s">
        <v>1120</v>
      </c>
      <c r="D282" s="29" t="s">
        <v>32</v>
      </c>
      <c r="E282" s="31">
        <v>3</v>
      </c>
      <c r="F282" s="31">
        <v>404.62</v>
      </c>
      <c r="G282" s="29" t="s">
        <v>1121</v>
      </c>
      <c r="H282" s="29" t="s">
        <v>60</v>
      </c>
      <c r="I282" s="29" t="s">
        <v>50</v>
      </c>
      <c r="J282" s="29" t="s">
        <v>1122</v>
      </c>
      <c r="K282" s="31">
        <v>6</v>
      </c>
      <c r="L282" s="29" t="s">
        <v>37</v>
      </c>
      <c r="M282" s="29" t="s">
        <v>22</v>
      </c>
      <c r="N282" s="31">
        <v>1213.86</v>
      </c>
    </row>
    <row r="283" ht="29.75" spans="1:14">
      <c r="A283" s="29" t="s">
        <v>1123</v>
      </c>
      <c r="B283" s="30">
        <v>45134</v>
      </c>
      <c r="C283" s="29" t="s">
        <v>1124</v>
      </c>
      <c r="D283" s="29" t="s">
        <v>73</v>
      </c>
      <c r="E283" s="31">
        <v>4</v>
      </c>
      <c r="F283" s="31">
        <v>654.79</v>
      </c>
      <c r="G283" s="29" t="s">
        <v>1125</v>
      </c>
      <c r="H283" s="29" t="s">
        <v>65</v>
      </c>
      <c r="I283" s="29" t="s">
        <v>89</v>
      </c>
      <c r="J283" s="29" t="s">
        <v>1126</v>
      </c>
      <c r="K283" s="31">
        <v>9</v>
      </c>
      <c r="L283" s="29"/>
      <c r="M283" s="29" t="s">
        <v>29</v>
      </c>
      <c r="N283" s="31">
        <v>2619.16</v>
      </c>
    </row>
    <row r="284" ht="29.75" spans="1:14">
      <c r="A284" s="29" t="s">
        <v>1127</v>
      </c>
      <c r="B284" s="30">
        <v>45769</v>
      </c>
      <c r="C284" s="29" t="s">
        <v>1128</v>
      </c>
      <c r="D284" s="29" t="s">
        <v>48</v>
      </c>
      <c r="E284" s="31">
        <v>4</v>
      </c>
      <c r="F284" s="31">
        <v>637.79</v>
      </c>
      <c r="G284" s="29" t="s">
        <v>1129</v>
      </c>
      <c r="H284" s="29" t="s">
        <v>60</v>
      </c>
      <c r="I284" s="29" t="s">
        <v>35</v>
      </c>
      <c r="J284" s="29" t="s">
        <v>1130</v>
      </c>
      <c r="K284" s="31">
        <v>9</v>
      </c>
      <c r="L284" s="29" t="s">
        <v>37</v>
      </c>
      <c r="M284" s="29" t="s">
        <v>76</v>
      </c>
      <c r="N284" s="31">
        <v>2551.16</v>
      </c>
    </row>
    <row r="285" ht="29.75" spans="1:14">
      <c r="A285" s="29" t="s">
        <v>1131</v>
      </c>
      <c r="B285" s="30">
        <v>45716</v>
      </c>
      <c r="C285" s="29" t="s">
        <v>1132</v>
      </c>
      <c r="D285" s="29" t="s">
        <v>58</v>
      </c>
      <c r="E285" s="31">
        <v>4</v>
      </c>
      <c r="F285" s="31">
        <v>540.33</v>
      </c>
      <c r="G285" s="29" t="s">
        <v>1133</v>
      </c>
      <c r="H285" s="29" t="s">
        <v>65</v>
      </c>
      <c r="I285" s="29" t="s">
        <v>19</v>
      </c>
      <c r="J285" s="29" t="s">
        <v>1134</v>
      </c>
      <c r="K285" s="31">
        <v>6</v>
      </c>
      <c r="L285" s="29"/>
      <c r="M285" s="29" t="s">
        <v>76</v>
      </c>
      <c r="N285" s="31">
        <v>2161.32</v>
      </c>
    </row>
    <row r="286" ht="29.75" spans="1:14">
      <c r="A286" s="29" t="s">
        <v>1135</v>
      </c>
      <c r="B286" s="30">
        <v>44973</v>
      </c>
      <c r="C286" s="29" t="s">
        <v>1136</v>
      </c>
      <c r="D286" s="29" t="s">
        <v>58</v>
      </c>
      <c r="E286" s="31">
        <v>5</v>
      </c>
      <c r="F286" s="31">
        <v>208.17</v>
      </c>
      <c r="G286" s="29" t="s">
        <v>1137</v>
      </c>
      <c r="H286" s="29" t="s">
        <v>34</v>
      </c>
      <c r="I286" s="29" t="s">
        <v>43</v>
      </c>
      <c r="J286" s="29" t="s">
        <v>1138</v>
      </c>
      <c r="K286" s="31">
        <v>6</v>
      </c>
      <c r="L286" s="29" t="s">
        <v>21</v>
      </c>
      <c r="M286" s="29" t="s">
        <v>45</v>
      </c>
      <c r="N286" s="31">
        <v>1040.85</v>
      </c>
    </row>
    <row r="287" ht="29.75" spans="1:14">
      <c r="A287" s="29" t="s">
        <v>1139</v>
      </c>
      <c r="B287" s="30">
        <v>45818</v>
      </c>
      <c r="C287" s="29" t="s">
        <v>1140</v>
      </c>
      <c r="D287" s="29" t="s">
        <v>25</v>
      </c>
      <c r="E287" s="31">
        <v>1</v>
      </c>
      <c r="F287" s="31">
        <v>338.31</v>
      </c>
      <c r="G287" s="29" t="s">
        <v>1093</v>
      </c>
      <c r="H287" s="29" t="s">
        <v>27</v>
      </c>
      <c r="I287" s="29" t="s">
        <v>50</v>
      </c>
      <c r="J287" s="29" t="s">
        <v>1141</v>
      </c>
      <c r="K287" s="31">
        <v>3</v>
      </c>
      <c r="L287" s="29"/>
      <c r="M287" s="29" t="s">
        <v>76</v>
      </c>
      <c r="N287" s="31">
        <v>338.31</v>
      </c>
    </row>
    <row r="288" ht="29.75" spans="1:14">
      <c r="A288" s="29" t="s">
        <v>1142</v>
      </c>
      <c r="B288" s="30">
        <v>45754</v>
      </c>
      <c r="C288" s="29" t="s">
        <v>1143</v>
      </c>
      <c r="D288" s="29" t="s">
        <v>16</v>
      </c>
      <c r="E288" s="31">
        <v>3</v>
      </c>
      <c r="F288" s="31">
        <v>139.45</v>
      </c>
      <c r="G288" s="29" t="s">
        <v>510</v>
      </c>
      <c r="H288" s="29" t="s">
        <v>60</v>
      </c>
      <c r="I288" s="29" t="s">
        <v>43</v>
      </c>
      <c r="J288" s="29" t="s">
        <v>1144</v>
      </c>
      <c r="K288" s="31">
        <v>8</v>
      </c>
      <c r="L288" s="29" t="s">
        <v>81</v>
      </c>
      <c r="M288" s="29" t="s">
        <v>76</v>
      </c>
      <c r="N288" s="31">
        <v>418.35</v>
      </c>
    </row>
    <row r="289" ht="29.75" spans="1:14">
      <c r="A289" s="29" t="s">
        <v>1145</v>
      </c>
      <c r="B289" s="30">
        <v>45254</v>
      </c>
      <c r="C289" s="29" t="s">
        <v>1146</v>
      </c>
      <c r="D289" s="29" t="s">
        <v>41</v>
      </c>
      <c r="E289" s="31">
        <v>4</v>
      </c>
      <c r="F289" s="31">
        <v>655.18</v>
      </c>
      <c r="G289" s="29" t="s">
        <v>1147</v>
      </c>
      <c r="H289" s="29" t="s">
        <v>27</v>
      </c>
      <c r="I289" s="29" t="s">
        <v>19</v>
      </c>
      <c r="J289" s="29" t="s">
        <v>1148</v>
      </c>
      <c r="K289" s="31">
        <v>5</v>
      </c>
      <c r="L289" s="29"/>
      <c r="M289" s="29" t="s">
        <v>45</v>
      </c>
      <c r="N289" s="31">
        <v>2620.72</v>
      </c>
    </row>
    <row r="290" ht="29.75" spans="1:14">
      <c r="A290" s="29" t="s">
        <v>1149</v>
      </c>
      <c r="B290" s="30">
        <v>44997</v>
      </c>
      <c r="C290" s="29" t="s">
        <v>1150</v>
      </c>
      <c r="D290" s="29" t="s">
        <v>58</v>
      </c>
      <c r="E290" s="31">
        <v>4</v>
      </c>
      <c r="F290" s="31">
        <v>512.75</v>
      </c>
      <c r="G290" s="29" t="s">
        <v>1151</v>
      </c>
      <c r="H290" s="29" t="s">
        <v>18</v>
      </c>
      <c r="I290" s="29" t="s">
        <v>43</v>
      </c>
      <c r="J290" s="29" t="s">
        <v>1152</v>
      </c>
      <c r="K290" s="31">
        <v>8</v>
      </c>
      <c r="L290" s="29" t="s">
        <v>81</v>
      </c>
      <c r="M290" s="29" t="s">
        <v>76</v>
      </c>
      <c r="N290" s="31">
        <v>2051</v>
      </c>
    </row>
    <row r="291" ht="29.75" spans="1:14">
      <c r="A291" s="29" t="s">
        <v>1153</v>
      </c>
      <c r="B291" s="30">
        <v>45133</v>
      </c>
      <c r="C291" s="29" t="s">
        <v>1154</v>
      </c>
      <c r="D291" s="29" t="s">
        <v>41</v>
      </c>
      <c r="E291" s="31">
        <v>4</v>
      </c>
      <c r="F291" s="31">
        <v>160.49</v>
      </c>
      <c r="G291" s="29" t="s">
        <v>79</v>
      </c>
      <c r="H291" s="29" t="s">
        <v>34</v>
      </c>
      <c r="I291" s="29" t="s">
        <v>19</v>
      </c>
      <c r="J291" s="29" t="s">
        <v>1155</v>
      </c>
      <c r="K291" s="31">
        <v>8</v>
      </c>
      <c r="L291" s="29" t="s">
        <v>81</v>
      </c>
      <c r="M291" s="29" t="s">
        <v>29</v>
      </c>
      <c r="N291" s="31">
        <v>641.96</v>
      </c>
    </row>
    <row r="292" ht="29.75" spans="1:14">
      <c r="A292" s="29" t="s">
        <v>1156</v>
      </c>
      <c r="B292" s="30">
        <v>45051</v>
      </c>
      <c r="C292" s="29" t="s">
        <v>1157</v>
      </c>
      <c r="D292" s="29" t="s">
        <v>41</v>
      </c>
      <c r="E292" s="31">
        <v>3</v>
      </c>
      <c r="F292" s="31">
        <v>99.9</v>
      </c>
      <c r="G292" s="29" t="s">
        <v>755</v>
      </c>
      <c r="H292" s="29" t="s">
        <v>65</v>
      </c>
      <c r="I292" s="29" t="s">
        <v>50</v>
      </c>
      <c r="J292" s="29" t="s">
        <v>1158</v>
      </c>
      <c r="K292" s="31">
        <v>8</v>
      </c>
      <c r="L292" s="29" t="s">
        <v>37</v>
      </c>
      <c r="M292" s="29" t="s">
        <v>45</v>
      </c>
      <c r="N292" s="31">
        <v>299.7</v>
      </c>
    </row>
    <row r="293" ht="29.75" spans="1:14">
      <c r="A293" s="29" t="s">
        <v>1159</v>
      </c>
      <c r="B293" s="30">
        <v>45424</v>
      </c>
      <c r="C293" s="29" t="s">
        <v>1160</v>
      </c>
      <c r="D293" s="29" t="s">
        <v>25</v>
      </c>
      <c r="E293" s="31">
        <v>2</v>
      </c>
      <c r="F293" s="31">
        <v>345.01</v>
      </c>
      <c r="G293" s="29" t="s">
        <v>1161</v>
      </c>
      <c r="H293" s="29" t="s">
        <v>34</v>
      </c>
      <c r="I293" s="29" t="s">
        <v>50</v>
      </c>
      <c r="J293" s="29" t="s">
        <v>1162</v>
      </c>
      <c r="K293" s="31">
        <v>6</v>
      </c>
      <c r="L293" s="29" t="s">
        <v>37</v>
      </c>
      <c r="M293" s="29" t="s">
        <v>76</v>
      </c>
      <c r="N293" s="31">
        <v>690.02</v>
      </c>
    </row>
    <row r="294" ht="29.75" spans="1:14">
      <c r="A294" s="29" t="s">
        <v>1163</v>
      </c>
      <c r="B294" s="30">
        <v>45672</v>
      </c>
      <c r="C294" s="29" t="s">
        <v>1164</v>
      </c>
      <c r="D294" s="29" t="s">
        <v>16</v>
      </c>
      <c r="E294" s="31">
        <v>1</v>
      </c>
      <c r="F294" s="31">
        <v>65.95</v>
      </c>
      <c r="G294" s="29" t="s">
        <v>858</v>
      </c>
      <c r="H294" s="29" t="s">
        <v>34</v>
      </c>
      <c r="I294" s="29" t="s">
        <v>50</v>
      </c>
      <c r="J294" s="29" t="s">
        <v>1165</v>
      </c>
      <c r="K294" s="31">
        <v>5</v>
      </c>
      <c r="L294" s="29"/>
      <c r="M294" s="29" t="s">
        <v>45</v>
      </c>
      <c r="N294" s="31">
        <v>65.95</v>
      </c>
    </row>
    <row r="295" ht="29.75" spans="1:14">
      <c r="A295" s="29" t="s">
        <v>1166</v>
      </c>
      <c r="B295" s="30">
        <v>44973</v>
      </c>
      <c r="C295" s="29" t="s">
        <v>1167</v>
      </c>
      <c r="D295" s="29" t="s">
        <v>32</v>
      </c>
      <c r="E295" s="31">
        <v>4</v>
      </c>
      <c r="F295" s="31">
        <v>463.04</v>
      </c>
      <c r="G295" s="29" t="s">
        <v>1168</v>
      </c>
      <c r="H295" s="29" t="s">
        <v>60</v>
      </c>
      <c r="I295" s="29" t="s">
        <v>43</v>
      </c>
      <c r="J295" s="29" t="s">
        <v>1169</v>
      </c>
      <c r="K295" s="31">
        <v>9</v>
      </c>
      <c r="L295" s="29"/>
      <c r="M295" s="29" t="s">
        <v>22</v>
      </c>
      <c r="N295" s="31">
        <v>1852.16</v>
      </c>
    </row>
    <row r="296" ht="29.75" spans="1:14">
      <c r="A296" s="29" t="s">
        <v>1170</v>
      </c>
      <c r="B296" s="30">
        <v>45748</v>
      </c>
      <c r="C296" s="29" t="s">
        <v>1171</v>
      </c>
      <c r="D296" s="29" t="s">
        <v>25</v>
      </c>
      <c r="E296" s="31">
        <v>2</v>
      </c>
      <c r="F296" s="31">
        <v>297.71</v>
      </c>
      <c r="G296" s="29" t="s">
        <v>1172</v>
      </c>
      <c r="H296" s="29" t="s">
        <v>27</v>
      </c>
      <c r="I296" s="29" t="s">
        <v>19</v>
      </c>
      <c r="J296" s="29" t="s">
        <v>1173</v>
      </c>
      <c r="K296" s="31">
        <v>7</v>
      </c>
      <c r="L296" s="29" t="s">
        <v>21</v>
      </c>
      <c r="M296" s="29" t="s">
        <v>29</v>
      </c>
      <c r="N296" s="31">
        <v>595.42</v>
      </c>
    </row>
    <row r="297" ht="29.75" spans="1:14">
      <c r="A297" s="29" t="s">
        <v>1174</v>
      </c>
      <c r="B297" s="30">
        <v>44951</v>
      </c>
      <c r="C297" s="29" t="s">
        <v>1175</v>
      </c>
      <c r="D297" s="29" t="s">
        <v>48</v>
      </c>
      <c r="E297" s="31">
        <v>5</v>
      </c>
      <c r="F297" s="31">
        <v>107.48</v>
      </c>
      <c r="G297" s="29" t="s">
        <v>1176</v>
      </c>
      <c r="H297" s="29" t="s">
        <v>18</v>
      </c>
      <c r="I297" s="29" t="s">
        <v>35</v>
      </c>
      <c r="J297" s="29" t="s">
        <v>1177</v>
      </c>
      <c r="K297" s="31">
        <v>9</v>
      </c>
      <c r="L297" s="29" t="s">
        <v>37</v>
      </c>
      <c r="M297" s="29" t="s">
        <v>38</v>
      </c>
      <c r="N297" s="31">
        <v>537.4</v>
      </c>
    </row>
    <row r="298" ht="29.75" spans="1:14">
      <c r="A298" s="29" t="s">
        <v>1178</v>
      </c>
      <c r="B298" s="30">
        <v>45462</v>
      </c>
      <c r="C298" s="29" t="s">
        <v>1179</v>
      </c>
      <c r="D298" s="29" t="s">
        <v>73</v>
      </c>
      <c r="E298" s="31">
        <v>5</v>
      </c>
      <c r="F298" s="31">
        <v>638.8</v>
      </c>
      <c r="G298" s="29" t="s">
        <v>242</v>
      </c>
      <c r="H298" s="29" t="s">
        <v>18</v>
      </c>
      <c r="I298" s="29" t="s">
        <v>35</v>
      </c>
      <c r="J298" s="29" t="s">
        <v>1180</v>
      </c>
      <c r="K298" s="31">
        <v>10</v>
      </c>
      <c r="L298" s="29" t="s">
        <v>81</v>
      </c>
      <c r="M298" s="29" t="s">
        <v>29</v>
      </c>
      <c r="N298" s="31">
        <v>3194</v>
      </c>
    </row>
    <row r="299" ht="29.75" spans="1:14">
      <c r="A299" s="29" t="s">
        <v>1181</v>
      </c>
      <c r="B299" s="30">
        <v>44979</v>
      </c>
      <c r="C299" s="29" t="s">
        <v>1182</v>
      </c>
      <c r="D299" s="29" t="s">
        <v>73</v>
      </c>
      <c r="E299" s="31">
        <v>2</v>
      </c>
      <c r="F299" s="31">
        <v>493.88</v>
      </c>
      <c r="G299" s="29" t="s">
        <v>1183</v>
      </c>
      <c r="H299" s="29" t="s">
        <v>34</v>
      </c>
      <c r="I299" s="29" t="s">
        <v>43</v>
      </c>
      <c r="J299" s="29" t="s">
        <v>1184</v>
      </c>
      <c r="K299" s="31">
        <v>7</v>
      </c>
      <c r="L299" s="29" t="s">
        <v>21</v>
      </c>
      <c r="M299" s="29" t="s">
        <v>22</v>
      </c>
      <c r="N299" s="31">
        <v>987.76</v>
      </c>
    </row>
    <row r="300" ht="29.75" spans="1:14">
      <c r="A300" s="29" t="s">
        <v>1185</v>
      </c>
      <c r="B300" s="30">
        <v>45279</v>
      </c>
      <c r="C300" s="29" t="s">
        <v>1186</v>
      </c>
      <c r="D300" s="29" t="s">
        <v>48</v>
      </c>
      <c r="E300" s="31">
        <v>4</v>
      </c>
      <c r="F300" s="31">
        <v>301.17</v>
      </c>
      <c r="G300" s="29" t="s">
        <v>201</v>
      </c>
      <c r="H300" s="29" t="s">
        <v>27</v>
      </c>
      <c r="I300" s="29" t="s">
        <v>35</v>
      </c>
      <c r="J300" s="29" t="s">
        <v>1187</v>
      </c>
      <c r="K300" s="31">
        <v>6</v>
      </c>
      <c r="L300" s="29"/>
      <c r="M300" s="29" t="s">
        <v>38</v>
      </c>
      <c r="N300" s="31">
        <v>1204.68</v>
      </c>
    </row>
    <row r="301" ht="29.75" spans="1:14">
      <c r="A301" s="29" t="s">
        <v>1188</v>
      </c>
      <c r="B301" s="30">
        <v>45311</v>
      </c>
      <c r="C301" s="29" t="s">
        <v>1189</v>
      </c>
      <c r="D301" s="29" t="s">
        <v>16</v>
      </c>
      <c r="E301" s="31">
        <v>1</v>
      </c>
      <c r="F301" s="31">
        <v>278.66</v>
      </c>
      <c r="G301" s="29" t="s">
        <v>1190</v>
      </c>
      <c r="H301" s="29" t="s">
        <v>60</v>
      </c>
      <c r="I301" s="29" t="s">
        <v>35</v>
      </c>
      <c r="J301" s="29" t="s">
        <v>1191</v>
      </c>
      <c r="K301" s="31">
        <v>2</v>
      </c>
      <c r="L301" s="29" t="s">
        <v>37</v>
      </c>
      <c r="M301" s="29" t="s">
        <v>22</v>
      </c>
      <c r="N301" s="31">
        <v>278.66</v>
      </c>
    </row>
    <row r="302" ht="29.75" spans="1:14">
      <c r="A302" s="29" t="s">
        <v>1192</v>
      </c>
      <c r="B302" s="30">
        <v>45537</v>
      </c>
      <c r="C302" s="29" t="s">
        <v>1193</v>
      </c>
      <c r="D302" s="29" t="s">
        <v>25</v>
      </c>
      <c r="E302" s="31">
        <v>1</v>
      </c>
      <c r="F302" s="31">
        <v>287.46</v>
      </c>
      <c r="G302" s="29" t="s">
        <v>1194</v>
      </c>
      <c r="H302" s="29" t="s">
        <v>18</v>
      </c>
      <c r="I302" s="29" t="s">
        <v>43</v>
      </c>
      <c r="J302" s="29" t="s">
        <v>1195</v>
      </c>
      <c r="K302" s="31">
        <v>3</v>
      </c>
      <c r="L302" s="29" t="s">
        <v>37</v>
      </c>
      <c r="M302" s="29" t="s">
        <v>45</v>
      </c>
      <c r="N302" s="31">
        <v>287.46</v>
      </c>
    </row>
    <row r="303" ht="29.75" spans="1:14">
      <c r="A303" s="29" t="s">
        <v>1196</v>
      </c>
      <c r="B303" s="30">
        <v>45057</v>
      </c>
      <c r="C303" s="29" t="s">
        <v>1197</v>
      </c>
      <c r="D303" s="29" t="s">
        <v>41</v>
      </c>
      <c r="E303" s="31">
        <v>1</v>
      </c>
      <c r="F303" s="31">
        <v>583.99</v>
      </c>
      <c r="G303" s="29" t="s">
        <v>1198</v>
      </c>
      <c r="H303" s="29" t="s">
        <v>65</v>
      </c>
      <c r="I303" s="29" t="s">
        <v>35</v>
      </c>
      <c r="J303" s="29" t="s">
        <v>1199</v>
      </c>
      <c r="K303" s="31">
        <v>2</v>
      </c>
      <c r="L303" s="29" t="s">
        <v>21</v>
      </c>
      <c r="M303" s="29" t="s">
        <v>38</v>
      </c>
      <c r="N303" s="31">
        <v>583.99</v>
      </c>
    </row>
    <row r="304" ht="29.75" spans="1:14">
      <c r="A304" s="29" t="s">
        <v>1200</v>
      </c>
      <c r="B304" s="30">
        <v>45062</v>
      </c>
      <c r="C304" s="29" t="s">
        <v>1201</v>
      </c>
      <c r="D304" s="29" t="s">
        <v>41</v>
      </c>
      <c r="E304" s="31">
        <v>3</v>
      </c>
      <c r="F304" s="31">
        <v>468.74</v>
      </c>
      <c r="G304" s="29" t="s">
        <v>1202</v>
      </c>
      <c r="H304" s="29" t="s">
        <v>65</v>
      </c>
      <c r="I304" s="29" t="s">
        <v>89</v>
      </c>
      <c r="J304" s="29" t="s">
        <v>1203</v>
      </c>
      <c r="K304" s="31">
        <v>4</v>
      </c>
      <c r="L304" s="29" t="s">
        <v>37</v>
      </c>
      <c r="M304" s="29" t="s">
        <v>22</v>
      </c>
      <c r="N304" s="31">
        <v>1406.22</v>
      </c>
    </row>
    <row r="305" ht="29.75" spans="1:14">
      <c r="A305" s="29" t="s">
        <v>1204</v>
      </c>
      <c r="B305" s="30">
        <v>45633</v>
      </c>
      <c r="C305" s="29" t="s">
        <v>1205</v>
      </c>
      <c r="D305" s="29" t="s">
        <v>32</v>
      </c>
      <c r="E305" s="31">
        <v>1</v>
      </c>
      <c r="F305" s="31">
        <v>30.54</v>
      </c>
      <c r="G305" s="29" t="s">
        <v>1206</v>
      </c>
      <c r="H305" s="29" t="s">
        <v>18</v>
      </c>
      <c r="I305" s="29" t="s">
        <v>43</v>
      </c>
      <c r="J305" s="29" t="s">
        <v>1207</v>
      </c>
      <c r="K305" s="31">
        <v>1</v>
      </c>
      <c r="L305" s="29"/>
      <c r="M305" s="29" t="s">
        <v>76</v>
      </c>
      <c r="N305" s="31">
        <v>30.54</v>
      </c>
    </row>
    <row r="306" ht="29.75" spans="1:14">
      <c r="A306" s="29" t="s">
        <v>1208</v>
      </c>
      <c r="B306" s="30">
        <v>45583</v>
      </c>
      <c r="C306" s="29" t="s">
        <v>1209</v>
      </c>
      <c r="D306" s="29" t="s">
        <v>16</v>
      </c>
      <c r="E306" s="31">
        <v>5</v>
      </c>
      <c r="F306" s="31">
        <v>408.73</v>
      </c>
      <c r="G306" s="29" t="s">
        <v>1210</v>
      </c>
      <c r="H306" s="29" t="s">
        <v>60</v>
      </c>
      <c r="I306" s="29" t="s">
        <v>50</v>
      </c>
      <c r="J306" s="29" t="s">
        <v>1211</v>
      </c>
      <c r="K306" s="31">
        <v>10</v>
      </c>
      <c r="L306" s="29" t="s">
        <v>37</v>
      </c>
      <c r="M306" s="29" t="s">
        <v>22</v>
      </c>
      <c r="N306" s="31">
        <v>2043.65</v>
      </c>
    </row>
    <row r="307" ht="29.75" spans="1:14">
      <c r="A307" s="29" t="s">
        <v>1212</v>
      </c>
      <c r="B307" s="30">
        <v>45255</v>
      </c>
      <c r="C307" s="29" t="s">
        <v>1213</v>
      </c>
      <c r="D307" s="29" t="s">
        <v>58</v>
      </c>
      <c r="E307" s="31">
        <v>4</v>
      </c>
      <c r="F307" s="31">
        <v>126.89</v>
      </c>
      <c r="G307" s="29" t="s">
        <v>1214</v>
      </c>
      <c r="H307" s="29" t="s">
        <v>65</v>
      </c>
      <c r="I307" s="29" t="s">
        <v>89</v>
      </c>
      <c r="J307" s="29" t="s">
        <v>1215</v>
      </c>
      <c r="K307" s="31">
        <v>9</v>
      </c>
      <c r="L307" s="29" t="s">
        <v>37</v>
      </c>
      <c r="M307" s="29" t="s">
        <v>22</v>
      </c>
      <c r="N307" s="31">
        <v>507.56</v>
      </c>
    </row>
    <row r="308" ht="29.75" spans="1:14">
      <c r="A308" s="29" t="s">
        <v>1216</v>
      </c>
      <c r="B308" s="30">
        <v>45450</v>
      </c>
      <c r="C308" s="29" t="s">
        <v>1217</v>
      </c>
      <c r="D308" s="29" t="s">
        <v>48</v>
      </c>
      <c r="E308" s="31">
        <v>2</v>
      </c>
      <c r="F308" s="31">
        <v>57.07</v>
      </c>
      <c r="G308" s="29" t="s">
        <v>1218</v>
      </c>
      <c r="H308" s="29" t="s">
        <v>18</v>
      </c>
      <c r="I308" s="29" t="s">
        <v>43</v>
      </c>
      <c r="J308" s="29" t="s">
        <v>1219</v>
      </c>
      <c r="K308" s="31">
        <v>3</v>
      </c>
      <c r="L308" s="29" t="s">
        <v>21</v>
      </c>
      <c r="M308" s="29" t="s">
        <v>22</v>
      </c>
      <c r="N308" s="31">
        <v>114.14</v>
      </c>
    </row>
    <row r="309" ht="29.75" spans="1:14">
      <c r="A309" s="29" t="s">
        <v>1220</v>
      </c>
      <c r="B309" s="30">
        <v>45108</v>
      </c>
      <c r="C309" s="29" t="s">
        <v>1221</v>
      </c>
      <c r="D309" s="29" t="s">
        <v>58</v>
      </c>
      <c r="E309" s="31">
        <v>3</v>
      </c>
      <c r="F309" s="31">
        <v>557.41</v>
      </c>
      <c r="G309" s="29" t="s">
        <v>1222</v>
      </c>
      <c r="H309" s="29" t="s">
        <v>27</v>
      </c>
      <c r="I309" s="29" t="s">
        <v>50</v>
      </c>
      <c r="J309" s="29" t="s">
        <v>1223</v>
      </c>
      <c r="K309" s="31">
        <v>4</v>
      </c>
      <c r="L309" s="29"/>
      <c r="M309" s="29" t="s">
        <v>38</v>
      </c>
      <c r="N309" s="31">
        <v>1672.23</v>
      </c>
    </row>
    <row r="310" ht="29.75" spans="1:14">
      <c r="A310" s="29" t="s">
        <v>1224</v>
      </c>
      <c r="B310" s="30">
        <v>45271</v>
      </c>
      <c r="C310" s="29" t="s">
        <v>1225</v>
      </c>
      <c r="D310" s="29" t="s">
        <v>48</v>
      </c>
      <c r="E310" s="31">
        <v>3</v>
      </c>
      <c r="F310" s="31">
        <v>448.9</v>
      </c>
      <c r="G310" s="29" t="s">
        <v>719</v>
      </c>
      <c r="H310" s="29" t="s">
        <v>18</v>
      </c>
      <c r="I310" s="29" t="s">
        <v>43</v>
      </c>
      <c r="J310" s="29" t="s">
        <v>1226</v>
      </c>
      <c r="K310" s="31">
        <v>7</v>
      </c>
      <c r="L310" s="29" t="s">
        <v>21</v>
      </c>
      <c r="M310" s="29" t="s">
        <v>22</v>
      </c>
      <c r="N310" s="31">
        <v>1346.7</v>
      </c>
    </row>
    <row r="311" ht="29.75" spans="1:14">
      <c r="A311" s="29" t="s">
        <v>1227</v>
      </c>
      <c r="B311" s="30">
        <v>45202</v>
      </c>
      <c r="C311" s="29" t="s">
        <v>1228</v>
      </c>
      <c r="D311" s="29" t="s">
        <v>41</v>
      </c>
      <c r="E311" s="31">
        <v>4</v>
      </c>
      <c r="F311" s="31">
        <v>549.76</v>
      </c>
      <c r="G311" s="29" t="s">
        <v>1229</v>
      </c>
      <c r="H311" s="29" t="s">
        <v>18</v>
      </c>
      <c r="I311" s="29" t="s">
        <v>50</v>
      </c>
      <c r="J311" s="29" t="s">
        <v>1230</v>
      </c>
      <c r="K311" s="31">
        <v>4</v>
      </c>
      <c r="L311" s="29" t="s">
        <v>37</v>
      </c>
      <c r="M311" s="29" t="s">
        <v>45</v>
      </c>
      <c r="N311" s="31">
        <v>2199.04</v>
      </c>
    </row>
    <row r="312" ht="29.75" spans="1:14">
      <c r="A312" s="29" t="s">
        <v>1231</v>
      </c>
      <c r="B312" s="30">
        <v>45346</v>
      </c>
      <c r="C312" s="29" t="s">
        <v>1232</v>
      </c>
      <c r="D312" s="29" t="s">
        <v>48</v>
      </c>
      <c r="E312" s="31">
        <v>3</v>
      </c>
      <c r="F312" s="31">
        <v>132.48</v>
      </c>
      <c r="G312" s="29" t="s">
        <v>1233</v>
      </c>
      <c r="H312" s="29" t="s">
        <v>27</v>
      </c>
      <c r="I312" s="29" t="s">
        <v>19</v>
      </c>
      <c r="J312" s="29" t="s">
        <v>1234</v>
      </c>
      <c r="K312" s="31">
        <v>4</v>
      </c>
      <c r="L312" s="29"/>
      <c r="M312" s="29" t="s">
        <v>29</v>
      </c>
      <c r="N312" s="31">
        <v>397.44</v>
      </c>
    </row>
    <row r="313" ht="29.75" spans="1:14">
      <c r="A313" s="29" t="s">
        <v>1235</v>
      </c>
      <c r="B313" s="30">
        <v>45794</v>
      </c>
      <c r="C313" s="29" t="s">
        <v>1236</v>
      </c>
      <c r="D313" s="29" t="s">
        <v>73</v>
      </c>
      <c r="E313" s="31">
        <v>5</v>
      </c>
      <c r="F313" s="31">
        <v>489.37</v>
      </c>
      <c r="G313" s="29" t="s">
        <v>1237</v>
      </c>
      <c r="H313" s="29" t="s">
        <v>27</v>
      </c>
      <c r="I313" s="29" t="s">
        <v>43</v>
      </c>
      <c r="J313" s="29" t="s">
        <v>1238</v>
      </c>
      <c r="K313" s="31">
        <v>8</v>
      </c>
      <c r="L313" s="29"/>
      <c r="M313" s="29" t="s">
        <v>22</v>
      </c>
      <c r="N313" s="31">
        <v>2446.85</v>
      </c>
    </row>
    <row r="314" ht="29.75" spans="1:14">
      <c r="A314" s="29" t="s">
        <v>1239</v>
      </c>
      <c r="B314" s="30">
        <v>45801</v>
      </c>
      <c r="C314" s="29" t="s">
        <v>1240</v>
      </c>
      <c r="D314" s="29" t="s">
        <v>48</v>
      </c>
      <c r="E314" s="31">
        <v>5</v>
      </c>
      <c r="F314" s="31">
        <v>66.31</v>
      </c>
      <c r="G314" s="29" t="s">
        <v>921</v>
      </c>
      <c r="H314" s="29" t="s">
        <v>60</v>
      </c>
      <c r="I314" s="29" t="s">
        <v>89</v>
      </c>
      <c r="J314" s="29" t="s">
        <v>1241</v>
      </c>
      <c r="K314" s="31">
        <v>7</v>
      </c>
      <c r="L314" s="29" t="s">
        <v>37</v>
      </c>
      <c r="M314" s="29" t="s">
        <v>29</v>
      </c>
      <c r="N314" s="31">
        <v>331.55</v>
      </c>
    </row>
    <row r="315" ht="29.75" spans="1:14">
      <c r="A315" s="29" t="s">
        <v>1242</v>
      </c>
      <c r="B315" s="30">
        <v>45116</v>
      </c>
      <c r="C315" s="29" t="s">
        <v>1243</v>
      </c>
      <c r="D315" s="29" t="s">
        <v>41</v>
      </c>
      <c r="E315" s="31">
        <v>2</v>
      </c>
      <c r="F315" s="31">
        <v>434.3</v>
      </c>
      <c r="G315" s="29" t="s">
        <v>1244</v>
      </c>
      <c r="H315" s="29" t="s">
        <v>65</v>
      </c>
      <c r="I315" s="29" t="s">
        <v>50</v>
      </c>
      <c r="J315" s="29" t="s">
        <v>1245</v>
      </c>
      <c r="K315" s="31">
        <v>7</v>
      </c>
      <c r="L315" s="29" t="s">
        <v>21</v>
      </c>
      <c r="M315" s="29" t="s">
        <v>22</v>
      </c>
      <c r="N315" s="31">
        <v>868.6</v>
      </c>
    </row>
    <row r="316" ht="29.75" spans="1:14">
      <c r="A316" s="29" t="s">
        <v>1246</v>
      </c>
      <c r="B316" s="30">
        <v>45203</v>
      </c>
      <c r="C316" s="29" t="s">
        <v>1247</v>
      </c>
      <c r="D316" s="29" t="s">
        <v>73</v>
      </c>
      <c r="E316" s="31">
        <v>4</v>
      </c>
      <c r="F316" s="31">
        <v>153.09</v>
      </c>
      <c r="G316" s="29" t="s">
        <v>1248</v>
      </c>
      <c r="H316" s="29" t="s">
        <v>27</v>
      </c>
      <c r="I316" s="29" t="s">
        <v>50</v>
      </c>
      <c r="J316" s="29" t="s">
        <v>1249</v>
      </c>
      <c r="K316" s="31">
        <v>4</v>
      </c>
      <c r="L316" s="29" t="s">
        <v>37</v>
      </c>
      <c r="M316" s="29" t="s">
        <v>29</v>
      </c>
      <c r="N316" s="31">
        <v>612.36</v>
      </c>
    </row>
    <row r="317" ht="29.75" spans="1:14">
      <c r="A317" s="29" t="s">
        <v>1250</v>
      </c>
      <c r="B317" s="30">
        <v>45789</v>
      </c>
      <c r="C317" s="29" t="s">
        <v>1251</v>
      </c>
      <c r="D317" s="29" t="s">
        <v>32</v>
      </c>
      <c r="E317" s="31">
        <v>5</v>
      </c>
      <c r="F317" s="31">
        <v>91.67</v>
      </c>
      <c r="G317" s="29" t="s">
        <v>1252</v>
      </c>
      <c r="H317" s="29" t="s">
        <v>27</v>
      </c>
      <c r="I317" s="29" t="s">
        <v>35</v>
      </c>
      <c r="J317" s="29" t="s">
        <v>1253</v>
      </c>
      <c r="K317" s="31">
        <v>9</v>
      </c>
      <c r="L317" s="29" t="s">
        <v>37</v>
      </c>
      <c r="M317" s="29" t="s">
        <v>38</v>
      </c>
      <c r="N317" s="31">
        <v>458.35</v>
      </c>
    </row>
    <row r="318" ht="29.75" spans="1:14">
      <c r="A318" s="29" t="s">
        <v>1254</v>
      </c>
      <c r="B318" s="30">
        <v>45201</v>
      </c>
      <c r="C318" s="29" t="s">
        <v>1255</v>
      </c>
      <c r="D318" s="29" t="s">
        <v>73</v>
      </c>
      <c r="E318" s="31">
        <v>4</v>
      </c>
      <c r="F318" s="31">
        <v>275.28</v>
      </c>
      <c r="G318" s="29" t="s">
        <v>1256</v>
      </c>
      <c r="H318" s="29" t="s">
        <v>60</v>
      </c>
      <c r="I318" s="29" t="s">
        <v>19</v>
      </c>
      <c r="J318" s="29" t="s">
        <v>1257</v>
      </c>
      <c r="K318" s="31">
        <v>9</v>
      </c>
      <c r="L318" s="29" t="s">
        <v>81</v>
      </c>
      <c r="M318" s="29" t="s">
        <v>45</v>
      </c>
      <c r="N318" s="31">
        <v>1101.12</v>
      </c>
    </row>
    <row r="319" ht="29.75" spans="1:14">
      <c r="A319" s="29" t="s">
        <v>1258</v>
      </c>
      <c r="B319" s="30">
        <v>45026</v>
      </c>
      <c r="C319" s="29" t="s">
        <v>1259</v>
      </c>
      <c r="D319" s="29" t="s">
        <v>16</v>
      </c>
      <c r="E319" s="31">
        <v>2</v>
      </c>
      <c r="F319" s="31">
        <v>139.95</v>
      </c>
      <c r="G319" s="29" t="s">
        <v>1260</v>
      </c>
      <c r="H319" s="29" t="s">
        <v>27</v>
      </c>
      <c r="I319" s="29" t="s">
        <v>43</v>
      </c>
      <c r="J319" s="29" t="s">
        <v>1261</v>
      </c>
      <c r="K319" s="31">
        <v>5</v>
      </c>
      <c r="L319" s="29"/>
      <c r="M319" s="29" t="s">
        <v>22</v>
      </c>
      <c r="N319" s="31">
        <v>279.9</v>
      </c>
    </row>
    <row r="320" ht="29.75" spans="1:14">
      <c r="A320" s="29" t="s">
        <v>1262</v>
      </c>
      <c r="B320" s="30">
        <v>45500</v>
      </c>
      <c r="C320" s="29" t="s">
        <v>1263</v>
      </c>
      <c r="D320" s="29" t="s">
        <v>41</v>
      </c>
      <c r="E320" s="31">
        <v>3</v>
      </c>
      <c r="F320" s="31">
        <v>148.72</v>
      </c>
      <c r="G320" s="29" t="s">
        <v>866</v>
      </c>
      <c r="H320" s="29" t="s">
        <v>18</v>
      </c>
      <c r="I320" s="29" t="s">
        <v>35</v>
      </c>
      <c r="J320" s="29" t="s">
        <v>1264</v>
      </c>
      <c r="K320" s="31">
        <v>7</v>
      </c>
      <c r="L320" s="29" t="s">
        <v>21</v>
      </c>
      <c r="M320" s="29" t="s">
        <v>76</v>
      </c>
      <c r="N320" s="31">
        <v>446.16</v>
      </c>
    </row>
    <row r="321" ht="29.75" spans="1:14">
      <c r="A321" s="29" t="s">
        <v>1265</v>
      </c>
      <c r="B321" s="30">
        <v>45262</v>
      </c>
      <c r="C321" s="29" t="s">
        <v>1266</v>
      </c>
      <c r="D321" s="29" t="s">
        <v>58</v>
      </c>
      <c r="E321" s="31">
        <v>2</v>
      </c>
      <c r="F321" s="31">
        <v>563.06</v>
      </c>
      <c r="G321" s="29" t="s">
        <v>1267</v>
      </c>
      <c r="H321" s="29" t="s">
        <v>65</v>
      </c>
      <c r="I321" s="29" t="s">
        <v>43</v>
      </c>
      <c r="J321" s="29" t="s">
        <v>1268</v>
      </c>
      <c r="K321" s="31">
        <v>6</v>
      </c>
      <c r="L321" s="29"/>
      <c r="M321" s="29" t="s">
        <v>22</v>
      </c>
      <c r="N321" s="31">
        <v>1126.12</v>
      </c>
    </row>
    <row r="322" ht="29.75" spans="1:14">
      <c r="A322" s="29" t="s">
        <v>1269</v>
      </c>
      <c r="B322" s="30">
        <v>45645</v>
      </c>
      <c r="C322" s="29" t="s">
        <v>1270</v>
      </c>
      <c r="D322" s="29" t="s">
        <v>48</v>
      </c>
      <c r="E322" s="31">
        <v>1</v>
      </c>
      <c r="F322" s="31">
        <v>625.51</v>
      </c>
      <c r="G322" s="29" t="s">
        <v>1271</v>
      </c>
      <c r="H322" s="29" t="s">
        <v>34</v>
      </c>
      <c r="I322" s="29" t="s">
        <v>19</v>
      </c>
      <c r="J322" s="29" t="s">
        <v>1272</v>
      </c>
      <c r="K322" s="31">
        <v>1</v>
      </c>
      <c r="L322" s="29" t="s">
        <v>37</v>
      </c>
      <c r="M322" s="29" t="s">
        <v>45</v>
      </c>
      <c r="N322" s="31">
        <v>625.51</v>
      </c>
    </row>
    <row r="323" ht="29.75" spans="1:14">
      <c r="A323" s="29" t="s">
        <v>1273</v>
      </c>
      <c r="B323" s="30">
        <v>45147</v>
      </c>
      <c r="C323" s="29" t="s">
        <v>1274</v>
      </c>
      <c r="D323" s="29" t="s">
        <v>25</v>
      </c>
      <c r="E323" s="31">
        <v>4</v>
      </c>
      <c r="F323" s="31">
        <v>152.29</v>
      </c>
      <c r="G323" s="29" t="s">
        <v>1222</v>
      </c>
      <c r="H323" s="29" t="s">
        <v>18</v>
      </c>
      <c r="I323" s="29" t="s">
        <v>35</v>
      </c>
      <c r="J323" s="29" t="s">
        <v>1275</v>
      </c>
      <c r="K323" s="31">
        <v>6</v>
      </c>
      <c r="L323" s="29" t="s">
        <v>81</v>
      </c>
      <c r="M323" s="29" t="s">
        <v>76</v>
      </c>
      <c r="N323" s="31">
        <v>609.16</v>
      </c>
    </row>
    <row r="324" ht="29.75" spans="1:14">
      <c r="A324" s="29" t="s">
        <v>1276</v>
      </c>
      <c r="B324" s="30">
        <v>45457</v>
      </c>
      <c r="C324" s="29" t="s">
        <v>1277</v>
      </c>
      <c r="D324" s="29" t="s">
        <v>25</v>
      </c>
      <c r="E324" s="31">
        <v>5</v>
      </c>
      <c r="F324" s="31">
        <v>231.82</v>
      </c>
      <c r="G324" s="29" t="s">
        <v>1260</v>
      </c>
      <c r="H324" s="29" t="s">
        <v>18</v>
      </c>
      <c r="I324" s="29" t="s">
        <v>50</v>
      </c>
      <c r="J324" s="29" t="s">
        <v>1278</v>
      </c>
      <c r="K324" s="31">
        <v>6</v>
      </c>
      <c r="L324" s="29" t="s">
        <v>21</v>
      </c>
      <c r="M324" s="29" t="s">
        <v>45</v>
      </c>
      <c r="N324" s="31">
        <v>1159.1</v>
      </c>
    </row>
    <row r="325" ht="29.75" spans="1:14">
      <c r="A325" s="29" t="s">
        <v>1279</v>
      </c>
      <c r="B325" s="30">
        <v>45683</v>
      </c>
      <c r="C325" s="29" t="s">
        <v>1280</v>
      </c>
      <c r="D325" s="29" t="s">
        <v>58</v>
      </c>
      <c r="E325" s="31">
        <v>1</v>
      </c>
      <c r="F325" s="31">
        <v>150.17</v>
      </c>
      <c r="G325" s="29" t="s">
        <v>1281</v>
      </c>
      <c r="H325" s="29" t="s">
        <v>18</v>
      </c>
      <c r="I325" s="29" t="s">
        <v>43</v>
      </c>
      <c r="J325" s="29" t="s">
        <v>1282</v>
      </c>
      <c r="K325" s="31">
        <v>1</v>
      </c>
      <c r="L325" s="29" t="s">
        <v>21</v>
      </c>
      <c r="M325" s="29" t="s">
        <v>29</v>
      </c>
      <c r="N325" s="31">
        <v>150.17</v>
      </c>
    </row>
    <row r="326" ht="29.75" spans="1:14">
      <c r="A326" s="29" t="s">
        <v>1283</v>
      </c>
      <c r="B326" s="30">
        <v>45456</v>
      </c>
      <c r="C326" s="29" t="s">
        <v>1284</v>
      </c>
      <c r="D326" s="29" t="s">
        <v>32</v>
      </c>
      <c r="E326" s="31">
        <v>3</v>
      </c>
      <c r="F326" s="31">
        <v>70.93</v>
      </c>
      <c r="G326" s="29" t="s">
        <v>1285</v>
      </c>
      <c r="H326" s="29" t="s">
        <v>18</v>
      </c>
      <c r="I326" s="29" t="s">
        <v>43</v>
      </c>
      <c r="J326" s="29" t="s">
        <v>1286</v>
      </c>
      <c r="K326" s="31">
        <v>5</v>
      </c>
      <c r="L326" s="29"/>
      <c r="M326" s="29" t="s">
        <v>29</v>
      </c>
      <c r="N326" s="31">
        <v>212.79</v>
      </c>
    </row>
    <row r="327" ht="29.75" spans="1:14">
      <c r="A327" s="29" t="s">
        <v>1287</v>
      </c>
      <c r="B327" s="30">
        <v>45106</v>
      </c>
      <c r="C327" s="29" t="s">
        <v>1288</v>
      </c>
      <c r="D327" s="29" t="s">
        <v>73</v>
      </c>
      <c r="E327" s="31">
        <v>3</v>
      </c>
      <c r="F327" s="31">
        <v>361.39</v>
      </c>
      <c r="G327" s="29" t="s">
        <v>1289</v>
      </c>
      <c r="H327" s="29" t="s">
        <v>34</v>
      </c>
      <c r="I327" s="29" t="s">
        <v>19</v>
      </c>
      <c r="J327" s="29" t="s">
        <v>1290</v>
      </c>
      <c r="K327" s="31">
        <v>8</v>
      </c>
      <c r="L327" s="29"/>
      <c r="M327" s="29" t="s">
        <v>29</v>
      </c>
      <c r="N327" s="31">
        <v>1084.17</v>
      </c>
    </row>
    <row r="328" ht="29.75" spans="1:14">
      <c r="A328" s="29" t="s">
        <v>1291</v>
      </c>
      <c r="B328" s="30">
        <v>45474</v>
      </c>
      <c r="C328" s="29" t="s">
        <v>1292</v>
      </c>
      <c r="D328" s="29" t="s">
        <v>58</v>
      </c>
      <c r="E328" s="31">
        <v>5</v>
      </c>
      <c r="F328" s="31">
        <v>670.48</v>
      </c>
      <c r="G328" s="29" t="s">
        <v>117</v>
      </c>
      <c r="H328" s="29" t="s">
        <v>60</v>
      </c>
      <c r="I328" s="29" t="s">
        <v>43</v>
      </c>
      <c r="J328" s="29" t="s">
        <v>1293</v>
      </c>
      <c r="K328" s="31">
        <v>5</v>
      </c>
      <c r="L328" s="29" t="s">
        <v>21</v>
      </c>
      <c r="M328" s="29" t="s">
        <v>45</v>
      </c>
      <c r="N328" s="31">
        <v>3352.4</v>
      </c>
    </row>
    <row r="329" ht="29.75" spans="1:14">
      <c r="A329" s="29" t="s">
        <v>1294</v>
      </c>
      <c r="B329" s="30">
        <v>45132</v>
      </c>
      <c r="C329" s="29" t="s">
        <v>1295</v>
      </c>
      <c r="D329" s="29" t="s">
        <v>25</v>
      </c>
      <c r="E329" s="31">
        <v>1</v>
      </c>
      <c r="F329" s="31">
        <v>359.99</v>
      </c>
      <c r="G329" s="29" t="s">
        <v>297</v>
      </c>
      <c r="H329" s="29" t="s">
        <v>60</v>
      </c>
      <c r="I329" s="29" t="s">
        <v>35</v>
      </c>
      <c r="J329" s="29" t="s">
        <v>1296</v>
      </c>
      <c r="K329" s="31">
        <v>5</v>
      </c>
      <c r="L329" s="29" t="s">
        <v>21</v>
      </c>
      <c r="M329" s="29" t="s">
        <v>38</v>
      </c>
      <c r="N329" s="31">
        <v>359.99</v>
      </c>
    </row>
    <row r="330" ht="29.75" spans="1:14">
      <c r="A330" s="29" t="s">
        <v>1297</v>
      </c>
      <c r="B330" s="30">
        <v>44985</v>
      </c>
      <c r="C330" s="29" t="s">
        <v>1298</v>
      </c>
      <c r="D330" s="29" t="s">
        <v>32</v>
      </c>
      <c r="E330" s="31">
        <v>5</v>
      </c>
      <c r="F330" s="31">
        <v>674.04</v>
      </c>
      <c r="G330" s="29" t="s">
        <v>1299</v>
      </c>
      <c r="H330" s="29" t="s">
        <v>27</v>
      </c>
      <c r="I330" s="29" t="s">
        <v>35</v>
      </c>
      <c r="J330" s="29" t="s">
        <v>1300</v>
      </c>
      <c r="K330" s="31">
        <v>7</v>
      </c>
      <c r="L330" s="29" t="s">
        <v>21</v>
      </c>
      <c r="M330" s="29" t="s">
        <v>76</v>
      </c>
      <c r="N330" s="31">
        <v>3370.2</v>
      </c>
    </row>
    <row r="331" ht="29.75" spans="1:14">
      <c r="A331" s="29" t="s">
        <v>1301</v>
      </c>
      <c r="B331" s="30">
        <v>45651</v>
      </c>
      <c r="C331" s="29" t="s">
        <v>1302</v>
      </c>
      <c r="D331" s="29" t="s">
        <v>41</v>
      </c>
      <c r="E331" s="31">
        <v>4</v>
      </c>
      <c r="F331" s="31">
        <v>283.16</v>
      </c>
      <c r="G331" s="29" t="s">
        <v>988</v>
      </c>
      <c r="H331" s="29" t="s">
        <v>34</v>
      </c>
      <c r="I331" s="29" t="s">
        <v>19</v>
      </c>
      <c r="J331" s="29" t="s">
        <v>1303</v>
      </c>
      <c r="K331" s="31">
        <v>6</v>
      </c>
      <c r="L331" s="29"/>
      <c r="M331" s="29" t="s">
        <v>76</v>
      </c>
      <c r="N331" s="31">
        <v>1132.64</v>
      </c>
    </row>
    <row r="332" ht="29.75" spans="1:14">
      <c r="A332" s="29" t="s">
        <v>1304</v>
      </c>
      <c r="B332" s="30">
        <v>45445</v>
      </c>
      <c r="C332" s="29" t="s">
        <v>1305</v>
      </c>
      <c r="D332" s="29" t="s">
        <v>73</v>
      </c>
      <c r="E332" s="31">
        <v>5</v>
      </c>
      <c r="F332" s="31">
        <v>260.53</v>
      </c>
      <c r="G332" s="29" t="s">
        <v>1306</v>
      </c>
      <c r="H332" s="29" t="s">
        <v>60</v>
      </c>
      <c r="I332" s="29" t="s">
        <v>89</v>
      </c>
      <c r="J332" s="29" t="s">
        <v>1307</v>
      </c>
      <c r="K332" s="31">
        <v>5</v>
      </c>
      <c r="L332" s="29" t="s">
        <v>21</v>
      </c>
      <c r="M332" s="29" t="s">
        <v>22</v>
      </c>
      <c r="N332" s="31">
        <v>1302.65</v>
      </c>
    </row>
    <row r="333" ht="29.75" spans="1:14">
      <c r="A333" s="29" t="s">
        <v>1308</v>
      </c>
      <c r="B333" s="30">
        <v>45031</v>
      </c>
      <c r="C333" s="29" t="s">
        <v>1309</v>
      </c>
      <c r="D333" s="29" t="s">
        <v>48</v>
      </c>
      <c r="E333" s="31">
        <v>3</v>
      </c>
      <c r="F333" s="31">
        <v>422.13</v>
      </c>
      <c r="G333" s="29" t="s">
        <v>510</v>
      </c>
      <c r="H333" s="29" t="s">
        <v>27</v>
      </c>
      <c r="I333" s="29" t="s">
        <v>50</v>
      </c>
      <c r="J333" s="29" t="s">
        <v>1310</v>
      </c>
      <c r="K333" s="31">
        <v>7</v>
      </c>
      <c r="L333" s="29" t="s">
        <v>21</v>
      </c>
      <c r="M333" s="29" t="s">
        <v>45</v>
      </c>
      <c r="N333" s="31">
        <v>1266.39</v>
      </c>
    </row>
    <row r="334" ht="29.75" spans="1:14">
      <c r="A334" s="29" t="s">
        <v>1311</v>
      </c>
      <c r="B334" s="30">
        <v>45476</v>
      </c>
      <c r="C334" s="29" t="s">
        <v>1312</v>
      </c>
      <c r="D334" s="29" t="s">
        <v>73</v>
      </c>
      <c r="E334" s="31">
        <v>5</v>
      </c>
      <c r="F334" s="31">
        <v>125.02</v>
      </c>
      <c r="G334" s="29" t="s">
        <v>1313</v>
      </c>
      <c r="H334" s="29" t="s">
        <v>18</v>
      </c>
      <c r="I334" s="29" t="s">
        <v>89</v>
      </c>
      <c r="J334" s="29" t="s">
        <v>1314</v>
      </c>
      <c r="K334" s="31">
        <v>9</v>
      </c>
      <c r="L334" s="29" t="s">
        <v>21</v>
      </c>
      <c r="M334" s="29" t="s">
        <v>76</v>
      </c>
      <c r="N334" s="31">
        <v>625.1</v>
      </c>
    </row>
    <row r="335" ht="29.75" spans="1:14">
      <c r="A335" s="29" t="s">
        <v>1315</v>
      </c>
      <c r="B335" s="30">
        <v>45398</v>
      </c>
      <c r="C335" s="29" t="s">
        <v>1316</v>
      </c>
      <c r="D335" s="29" t="s">
        <v>25</v>
      </c>
      <c r="E335" s="31">
        <v>1</v>
      </c>
      <c r="F335" s="31">
        <v>198.51</v>
      </c>
      <c r="G335" s="29" t="s">
        <v>1317</v>
      </c>
      <c r="H335" s="29" t="s">
        <v>34</v>
      </c>
      <c r="I335" s="29" t="s">
        <v>43</v>
      </c>
      <c r="J335" s="29" t="s">
        <v>1318</v>
      </c>
      <c r="K335" s="31">
        <v>5</v>
      </c>
      <c r="L335" s="29" t="s">
        <v>81</v>
      </c>
      <c r="M335" s="29" t="s">
        <v>22</v>
      </c>
      <c r="N335" s="31">
        <v>198.51</v>
      </c>
    </row>
    <row r="336" ht="29.75" spans="1:14">
      <c r="A336" s="29" t="s">
        <v>1319</v>
      </c>
      <c r="B336" s="30">
        <v>45377</v>
      </c>
      <c r="C336" s="29" t="s">
        <v>1320</v>
      </c>
      <c r="D336" s="29" t="s">
        <v>41</v>
      </c>
      <c r="E336" s="31">
        <v>4</v>
      </c>
      <c r="F336" s="31">
        <v>224.75</v>
      </c>
      <c r="G336" s="29" t="s">
        <v>1321</v>
      </c>
      <c r="H336" s="29" t="s">
        <v>27</v>
      </c>
      <c r="I336" s="29" t="s">
        <v>50</v>
      </c>
      <c r="J336" s="29" t="s">
        <v>1322</v>
      </c>
      <c r="K336" s="31">
        <v>7</v>
      </c>
      <c r="L336" s="29" t="s">
        <v>81</v>
      </c>
      <c r="M336" s="29" t="s">
        <v>45</v>
      </c>
      <c r="N336" s="31">
        <v>899</v>
      </c>
    </row>
    <row r="337" ht="29.75" spans="1:14">
      <c r="A337" s="29" t="s">
        <v>1323</v>
      </c>
      <c r="B337" s="30">
        <v>45719</v>
      </c>
      <c r="C337" s="29" t="s">
        <v>1324</v>
      </c>
      <c r="D337" s="29" t="s">
        <v>32</v>
      </c>
      <c r="E337" s="31">
        <v>3</v>
      </c>
      <c r="F337" s="31">
        <v>205.86</v>
      </c>
      <c r="G337" s="29" t="s">
        <v>1244</v>
      </c>
      <c r="H337" s="29" t="s">
        <v>60</v>
      </c>
      <c r="I337" s="29" t="s">
        <v>19</v>
      </c>
      <c r="J337" s="29" t="s">
        <v>1325</v>
      </c>
      <c r="K337" s="31">
        <v>4</v>
      </c>
      <c r="L337" s="29"/>
      <c r="M337" s="29" t="s">
        <v>38</v>
      </c>
      <c r="N337" s="31">
        <v>617.58</v>
      </c>
    </row>
    <row r="338" ht="29.75" spans="1:14">
      <c r="A338" s="29" t="s">
        <v>1326</v>
      </c>
      <c r="B338" s="30">
        <v>45289</v>
      </c>
      <c r="C338" s="29" t="s">
        <v>1327</v>
      </c>
      <c r="D338" s="29" t="s">
        <v>58</v>
      </c>
      <c r="E338" s="31">
        <v>1</v>
      </c>
      <c r="F338" s="31">
        <v>18.2</v>
      </c>
      <c r="G338" s="29" t="s">
        <v>1328</v>
      </c>
      <c r="H338" s="29" t="s">
        <v>18</v>
      </c>
      <c r="I338" s="29" t="s">
        <v>89</v>
      </c>
      <c r="J338" s="29" t="s">
        <v>1329</v>
      </c>
      <c r="K338" s="31">
        <v>4</v>
      </c>
      <c r="L338" s="29" t="s">
        <v>21</v>
      </c>
      <c r="M338" s="29" t="s">
        <v>22</v>
      </c>
      <c r="N338" s="31">
        <v>18.2</v>
      </c>
    </row>
    <row r="339" ht="29.75" spans="1:14">
      <c r="A339" s="29" t="s">
        <v>1330</v>
      </c>
      <c r="B339" s="30">
        <v>45075</v>
      </c>
      <c r="C339" s="29" t="s">
        <v>1331</v>
      </c>
      <c r="D339" s="29" t="s">
        <v>32</v>
      </c>
      <c r="E339" s="31">
        <v>3</v>
      </c>
      <c r="F339" s="31">
        <v>502.77</v>
      </c>
      <c r="G339" s="29" t="s">
        <v>1332</v>
      </c>
      <c r="H339" s="29" t="s">
        <v>18</v>
      </c>
      <c r="I339" s="29" t="s">
        <v>43</v>
      </c>
      <c r="J339" s="29" t="s">
        <v>1333</v>
      </c>
      <c r="K339" s="31">
        <v>8</v>
      </c>
      <c r="L339" s="29" t="s">
        <v>81</v>
      </c>
      <c r="M339" s="29" t="s">
        <v>38</v>
      </c>
      <c r="N339" s="31">
        <v>1508.31</v>
      </c>
    </row>
    <row r="340" ht="29.75" spans="1:14">
      <c r="A340" s="29" t="s">
        <v>1334</v>
      </c>
      <c r="B340" s="30">
        <v>45238</v>
      </c>
      <c r="C340" s="29" t="s">
        <v>1335</v>
      </c>
      <c r="D340" s="29" t="s">
        <v>25</v>
      </c>
      <c r="E340" s="31">
        <v>5</v>
      </c>
      <c r="F340" s="31">
        <v>305.49</v>
      </c>
      <c r="G340" s="29" t="s">
        <v>1336</v>
      </c>
      <c r="H340" s="29" t="s">
        <v>18</v>
      </c>
      <c r="I340" s="29" t="s">
        <v>19</v>
      </c>
      <c r="J340" s="29" t="s">
        <v>1337</v>
      </c>
      <c r="K340" s="31">
        <v>10</v>
      </c>
      <c r="L340" s="29"/>
      <c r="M340" s="29" t="s">
        <v>29</v>
      </c>
      <c r="N340" s="31">
        <v>1527.45</v>
      </c>
    </row>
    <row r="341" ht="29.75" spans="1:14">
      <c r="A341" s="29" t="s">
        <v>1338</v>
      </c>
      <c r="B341" s="30">
        <v>45392</v>
      </c>
      <c r="C341" s="29" t="s">
        <v>1339</v>
      </c>
      <c r="D341" s="29" t="s">
        <v>48</v>
      </c>
      <c r="E341" s="31">
        <v>2</v>
      </c>
      <c r="F341" s="31">
        <v>236.33</v>
      </c>
      <c r="G341" s="29" t="s">
        <v>1340</v>
      </c>
      <c r="H341" s="29" t="s">
        <v>27</v>
      </c>
      <c r="I341" s="29" t="s">
        <v>89</v>
      </c>
      <c r="J341" s="29" t="s">
        <v>1341</v>
      </c>
      <c r="K341" s="31">
        <v>3</v>
      </c>
      <c r="L341" s="29" t="s">
        <v>21</v>
      </c>
      <c r="M341" s="29" t="s">
        <v>22</v>
      </c>
      <c r="N341" s="31">
        <v>472.66</v>
      </c>
    </row>
    <row r="342" ht="29.75" spans="1:14">
      <c r="A342" s="29" t="s">
        <v>1342</v>
      </c>
      <c r="B342" s="30">
        <v>45039</v>
      </c>
      <c r="C342" s="29" t="s">
        <v>1343</v>
      </c>
      <c r="D342" s="29" t="s">
        <v>58</v>
      </c>
      <c r="E342" s="31">
        <v>5</v>
      </c>
      <c r="F342" s="31">
        <v>521.25</v>
      </c>
      <c r="G342" s="29" t="s">
        <v>1344</v>
      </c>
      <c r="H342" s="29" t="s">
        <v>65</v>
      </c>
      <c r="I342" s="29" t="s">
        <v>35</v>
      </c>
      <c r="J342" s="29" t="s">
        <v>1345</v>
      </c>
      <c r="K342" s="31">
        <v>8</v>
      </c>
      <c r="L342" s="29"/>
      <c r="M342" s="29" t="s">
        <v>38</v>
      </c>
      <c r="N342" s="31">
        <v>2606.25</v>
      </c>
    </row>
    <row r="343" ht="29.75" spans="1:14">
      <c r="A343" s="29" t="s">
        <v>1346</v>
      </c>
      <c r="B343" s="30">
        <v>45558</v>
      </c>
      <c r="C343" s="29" t="s">
        <v>1347</v>
      </c>
      <c r="D343" s="29" t="s">
        <v>32</v>
      </c>
      <c r="E343" s="31">
        <v>1</v>
      </c>
      <c r="F343" s="31">
        <v>167.15</v>
      </c>
      <c r="G343" s="29" t="s">
        <v>1348</v>
      </c>
      <c r="H343" s="29" t="s">
        <v>60</v>
      </c>
      <c r="I343" s="29" t="s">
        <v>19</v>
      </c>
      <c r="J343" s="29" t="s">
        <v>1349</v>
      </c>
      <c r="K343" s="31">
        <v>5</v>
      </c>
      <c r="L343" s="29" t="s">
        <v>81</v>
      </c>
      <c r="M343" s="29" t="s">
        <v>38</v>
      </c>
      <c r="N343" s="31">
        <v>167.15</v>
      </c>
    </row>
    <row r="344" ht="29.75" spans="1:14">
      <c r="A344" s="29" t="s">
        <v>1350</v>
      </c>
      <c r="B344" s="30">
        <v>45832</v>
      </c>
      <c r="C344" s="29" t="s">
        <v>1351</v>
      </c>
      <c r="D344" s="29" t="s">
        <v>16</v>
      </c>
      <c r="E344" s="31">
        <v>5</v>
      </c>
      <c r="F344" s="31">
        <v>466.42</v>
      </c>
      <c r="G344" s="29" t="s">
        <v>1352</v>
      </c>
      <c r="H344" s="29" t="s">
        <v>60</v>
      </c>
      <c r="I344" s="29" t="s">
        <v>43</v>
      </c>
      <c r="J344" s="29" t="s">
        <v>1353</v>
      </c>
      <c r="K344" s="31">
        <v>5</v>
      </c>
      <c r="L344" s="29"/>
      <c r="M344" s="29" t="s">
        <v>29</v>
      </c>
      <c r="N344" s="31">
        <v>2332.1</v>
      </c>
    </row>
    <row r="345" ht="29.75" spans="1:14">
      <c r="A345" s="29" t="s">
        <v>1354</v>
      </c>
      <c r="B345" s="30">
        <v>44983</v>
      </c>
      <c r="C345" s="29" t="s">
        <v>1355</v>
      </c>
      <c r="D345" s="29" t="s">
        <v>48</v>
      </c>
      <c r="E345" s="31">
        <v>1</v>
      </c>
      <c r="F345" s="31">
        <v>527.57</v>
      </c>
      <c r="G345" s="29" t="s">
        <v>1356</v>
      </c>
      <c r="H345" s="29" t="s">
        <v>18</v>
      </c>
      <c r="I345" s="29" t="s">
        <v>89</v>
      </c>
      <c r="J345" s="29" t="s">
        <v>1357</v>
      </c>
      <c r="K345" s="31">
        <v>3</v>
      </c>
      <c r="L345" s="29" t="s">
        <v>37</v>
      </c>
      <c r="M345" s="29" t="s">
        <v>45</v>
      </c>
      <c r="N345" s="31">
        <v>527.57</v>
      </c>
    </row>
    <row r="346" ht="29.75" spans="1:14">
      <c r="A346" s="29" t="s">
        <v>1358</v>
      </c>
      <c r="B346" s="30">
        <v>45722</v>
      </c>
      <c r="C346" s="29" t="s">
        <v>1359</v>
      </c>
      <c r="D346" s="29" t="s">
        <v>32</v>
      </c>
      <c r="E346" s="31">
        <v>3</v>
      </c>
      <c r="F346" s="31">
        <v>623.34</v>
      </c>
      <c r="G346" s="29" t="s">
        <v>1360</v>
      </c>
      <c r="H346" s="29" t="s">
        <v>27</v>
      </c>
      <c r="I346" s="29" t="s">
        <v>35</v>
      </c>
      <c r="J346" s="29" t="s">
        <v>1361</v>
      </c>
      <c r="K346" s="31">
        <v>3</v>
      </c>
      <c r="L346" s="29" t="s">
        <v>21</v>
      </c>
      <c r="M346" s="29" t="s">
        <v>22</v>
      </c>
      <c r="N346" s="31">
        <v>1870.02</v>
      </c>
    </row>
    <row r="347" ht="29.75" spans="1:14">
      <c r="A347" s="29" t="s">
        <v>1362</v>
      </c>
      <c r="B347" s="30">
        <v>45267</v>
      </c>
      <c r="C347" s="29" t="s">
        <v>1363</v>
      </c>
      <c r="D347" s="29" t="s">
        <v>32</v>
      </c>
      <c r="E347" s="31">
        <v>5</v>
      </c>
      <c r="F347" s="31">
        <v>501.26</v>
      </c>
      <c r="G347" s="29" t="s">
        <v>1364</v>
      </c>
      <c r="H347" s="29" t="s">
        <v>60</v>
      </c>
      <c r="I347" s="29" t="s">
        <v>19</v>
      </c>
      <c r="J347" s="29" t="s">
        <v>1365</v>
      </c>
      <c r="K347" s="31">
        <v>10</v>
      </c>
      <c r="L347" s="29" t="s">
        <v>37</v>
      </c>
      <c r="M347" s="29" t="s">
        <v>29</v>
      </c>
      <c r="N347" s="31">
        <v>2506.3</v>
      </c>
    </row>
    <row r="348" ht="29.75" spans="1:14">
      <c r="A348" s="29" t="s">
        <v>1366</v>
      </c>
      <c r="B348" s="30">
        <v>45632</v>
      </c>
      <c r="C348" s="29" t="s">
        <v>1367</v>
      </c>
      <c r="D348" s="29" t="s">
        <v>32</v>
      </c>
      <c r="E348" s="31">
        <v>1</v>
      </c>
      <c r="F348" s="31">
        <v>655.09</v>
      </c>
      <c r="G348" s="29" t="s">
        <v>1368</v>
      </c>
      <c r="H348" s="29" t="s">
        <v>65</v>
      </c>
      <c r="I348" s="29" t="s">
        <v>89</v>
      </c>
      <c r="J348" s="29" t="s">
        <v>1369</v>
      </c>
      <c r="K348" s="31">
        <v>6</v>
      </c>
      <c r="L348" s="29"/>
      <c r="M348" s="29" t="s">
        <v>29</v>
      </c>
      <c r="N348" s="31">
        <v>655.09</v>
      </c>
    </row>
    <row r="349" ht="29.75" spans="1:14">
      <c r="A349" s="29" t="s">
        <v>1370</v>
      </c>
      <c r="B349" s="30">
        <v>45325</v>
      </c>
      <c r="C349" s="29" t="s">
        <v>1371</v>
      </c>
      <c r="D349" s="29" t="s">
        <v>48</v>
      </c>
      <c r="E349" s="31">
        <v>4</v>
      </c>
      <c r="F349" s="31">
        <v>264.79</v>
      </c>
      <c r="G349" s="29" t="s">
        <v>1372</v>
      </c>
      <c r="H349" s="29" t="s">
        <v>34</v>
      </c>
      <c r="I349" s="29" t="s">
        <v>89</v>
      </c>
      <c r="J349" s="29" t="s">
        <v>1373</v>
      </c>
      <c r="K349" s="31">
        <v>5</v>
      </c>
      <c r="L349" s="29" t="s">
        <v>21</v>
      </c>
      <c r="M349" s="29" t="s">
        <v>76</v>
      </c>
      <c r="N349" s="31">
        <v>1059.16</v>
      </c>
    </row>
    <row r="350" ht="29.75" spans="1:14">
      <c r="A350" s="29" t="s">
        <v>1374</v>
      </c>
      <c r="B350" s="30">
        <v>45364</v>
      </c>
      <c r="C350" s="29" t="s">
        <v>1375</v>
      </c>
      <c r="D350" s="29" t="s">
        <v>58</v>
      </c>
      <c r="E350" s="31">
        <v>3</v>
      </c>
      <c r="F350" s="31">
        <v>359.73</v>
      </c>
      <c r="G350" s="29" t="s">
        <v>1376</v>
      </c>
      <c r="H350" s="29" t="s">
        <v>18</v>
      </c>
      <c r="I350" s="29" t="s">
        <v>43</v>
      </c>
      <c r="J350" s="29" t="s">
        <v>1377</v>
      </c>
      <c r="K350" s="31">
        <v>7</v>
      </c>
      <c r="L350" s="29" t="s">
        <v>37</v>
      </c>
      <c r="M350" s="29" t="s">
        <v>38</v>
      </c>
      <c r="N350" s="31">
        <v>1079.19</v>
      </c>
    </row>
    <row r="351" ht="29.75" spans="1:14">
      <c r="A351" s="29" t="s">
        <v>1378</v>
      </c>
      <c r="B351" s="30">
        <v>45260</v>
      </c>
      <c r="C351" s="29" t="s">
        <v>1379</v>
      </c>
      <c r="D351" s="29" t="s">
        <v>41</v>
      </c>
      <c r="E351" s="31">
        <v>1</v>
      </c>
      <c r="F351" s="31">
        <v>465.33</v>
      </c>
      <c r="G351" s="29" t="s">
        <v>1380</v>
      </c>
      <c r="H351" s="29" t="s">
        <v>60</v>
      </c>
      <c r="I351" s="29" t="s">
        <v>50</v>
      </c>
      <c r="J351" s="29" t="s">
        <v>1381</v>
      </c>
      <c r="K351" s="31">
        <v>2</v>
      </c>
      <c r="L351" s="29" t="s">
        <v>37</v>
      </c>
      <c r="M351" s="29" t="s">
        <v>76</v>
      </c>
      <c r="N351" s="31">
        <v>465.33</v>
      </c>
    </row>
    <row r="352" ht="29.75" spans="1:14">
      <c r="A352" s="29" t="s">
        <v>1382</v>
      </c>
      <c r="B352" s="30">
        <v>45080</v>
      </c>
      <c r="C352" s="29" t="s">
        <v>1383</v>
      </c>
      <c r="D352" s="29" t="s">
        <v>41</v>
      </c>
      <c r="E352" s="31">
        <v>2</v>
      </c>
      <c r="F352" s="31">
        <v>54.41</v>
      </c>
      <c r="G352" s="29" t="s">
        <v>1384</v>
      </c>
      <c r="H352" s="29" t="s">
        <v>27</v>
      </c>
      <c r="I352" s="29" t="s">
        <v>19</v>
      </c>
      <c r="J352" s="29" t="s">
        <v>1385</v>
      </c>
      <c r="K352" s="31">
        <v>6</v>
      </c>
      <c r="L352" s="29"/>
      <c r="M352" s="29" t="s">
        <v>22</v>
      </c>
      <c r="N352" s="31">
        <v>108.82</v>
      </c>
    </row>
    <row r="353" ht="29.75" spans="1:14">
      <c r="A353" s="29" t="s">
        <v>1386</v>
      </c>
      <c r="B353" s="30">
        <v>45703</v>
      </c>
      <c r="C353" s="29" t="s">
        <v>1387</v>
      </c>
      <c r="D353" s="29" t="s">
        <v>58</v>
      </c>
      <c r="E353" s="31">
        <v>1</v>
      </c>
      <c r="F353" s="31">
        <v>64.66</v>
      </c>
      <c r="G353" s="29" t="s">
        <v>1388</v>
      </c>
      <c r="H353" s="29" t="s">
        <v>18</v>
      </c>
      <c r="I353" s="29" t="s">
        <v>50</v>
      </c>
      <c r="J353" s="29" t="s">
        <v>1389</v>
      </c>
      <c r="K353" s="31">
        <v>4</v>
      </c>
      <c r="L353" s="29"/>
      <c r="M353" s="29" t="s">
        <v>22</v>
      </c>
      <c r="N353" s="31">
        <v>64.66</v>
      </c>
    </row>
    <row r="354" ht="29.75" spans="1:14">
      <c r="A354" s="29" t="s">
        <v>1390</v>
      </c>
      <c r="B354" s="30">
        <v>45169</v>
      </c>
      <c r="C354" s="29" t="s">
        <v>1391</v>
      </c>
      <c r="D354" s="29" t="s">
        <v>41</v>
      </c>
      <c r="E354" s="31">
        <v>5</v>
      </c>
      <c r="F354" s="31">
        <v>173.96</v>
      </c>
      <c r="G354" s="29" t="s">
        <v>1392</v>
      </c>
      <c r="H354" s="29" t="s">
        <v>18</v>
      </c>
      <c r="I354" s="29" t="s">
        <v>89</v>
      </c>
      <c r="J354" s="29" t="s">
        <v>1393</v>
      </c>
      <c r="K354" s="31">
        <v>8</v>
      </c>
      <c r="L354" s="29" t="s">
        <v>81</v>
      </c>
      <c r="M354" s="29" t="s">
        <v>22</v>
      </c>
      <c r="N354" s="31">
        <v>869.8</v>
      </c>
    </row>
    <row r="355" ht="29.75" spans="1:14">
      <c r="A355" s="29" t="s">
        <v>1394</v>
      </c>
      <c r="B355" s="30">
        <v>45744</v>
      </c>
      <c r="C355" s="29" t="s">
        <v>1395</v>
      </c>
      <c r="D355" s="29" t="s">
        <v>32</v>
      </c>
      <c r="E355" s="31">
        <v>1</v>
      </c>
      <c r="F355" s="31">
        <v>630.82</v>
      </c>
      <c r="G355" s="29" t="s">
        <v>1396</v>
      </c>
      <c r="H355" s="29" t="s">
        <v>27</v>
      </c>
      <c r="I355" s="29" t="s">
        <v>50</v>
      </c>
      <c r="J355" s="29" t="s">
        <v>1397</v>
      </c>
      <c r="K355" s="31">
        <v>5</v>
      </c>
      <c r="L355" s="29" t="s">
        <v>37</v>
      </c>
      <c r="M355" s="29" t="s">
        <v>76</v>
      </c>
      <c r="N355" s="31">
        <v>630.82</v>
      </c>
    </row>
    <row r="356" ht="29.75" spans="1:14">
      <c r="A356" s="29" t="s">
        <v>1398</v>
      </c>
      <c r="B356" s="30">
        <v>45118</v>
      </c>
      <c r="C356" s="29" t="s">
        <v>1399</v>
      </c>
      <c r="D356" s="29" t="s">
        <v>25</v>
      </c>
      <c r="E356" s="31">
        <v>1</v>
      </c>
      <c r="F356" s="31">
        <v>693.41</v>
      </c>
      <c r="G356" s="29" t="s">
        <v>1400</v>
      </c>
      <c r="H356" s="29" t="s">
        <v>18</v>
      </c>
      <c r="I356" s="29" t="s">
        <v>19</v>
      </c>
      <c r="J356" s="29" t="s">
        <v>1401</v>
      </c>
      <c r="K356" s="31">
        <v>4</v>
      </c>
      <c r="L356" s="29"/>
      <c r="M356" s="29" t="s">
        <v>22</v>
      </c>
      <c r="N356" s="31">
        <v>693.41</v>
      </c>
    </row>
    <row r="357" ht="29.75" spans="1:14">
      <c r="A357" s="29" t="s">
        <v>1402</v>
      </c>
      <c r="B357" s="30">
        <v>45811</v>
      </c>
      <c r="C357" s="29" t="s">
        <v>1403</v>
      </c>
      <c r="D357" s="29" t="s">
        <v>32</v>
      </c>
      <c r="E357" s="31">
        <v>3</v>
      </c>
      <c r="F357" s="31">
        <v>433.33</v>
      </c>
      <c r="G357" s="29" t="s">
        <v>1404</v>
      </c>
      <c r="H357" s="29" t="s">
        <v>34</v>
      </c>
      <c r="I357" s="29" t="s">
        <v>35</v>
      </c>
      <c r="J357" s="29" t="s">
        <v>1405</v>
      </c>
      <c r="K357" s="31">
        <v>4</v>
      </c>
      <c r="L357" s="29" t="s">
        <v>37</v>
      </c>
      <c r="M357" s="29" t="s">
        <v>29</v>
      </c>
      <c r="N357" s="31">
        <v>1299.99</v>
      </c>
    </row>
    <row r="358" ht="29.75" spans="1:14">
      <c r="A358" s="29" t="s">
        <v>1406</v>
      </c>
      <c r="B358" s="30">
        <v>45052</v>
      </c>
      <c r="C358" s="29" t="s">
        <v>1407</v>
      </c>
      <c r="D358" s="29" t="s">
        <v>48</v>
      </c>
      <c r="E358" s="31">
        <v>5</v>
      </c>
      <c r="F358" s="31">
        <v>374.58</v>
      </c>
      <c r="G358" s="29" t="s">
        <v>1408</v>
      </c>
      <c r="H358" s="29" t="s">
        <v>60</v>
      </c>
      <c r="I358" s="29" t="s">
        <v>35</v>
      </c>
      <c r="J358" s="29" t="s">
        <v>1409</v>
      </c>
      <c r="K358" s="31">
        <v>10</v>
      </c>
      <c r="L358" s="29" t="s">
        <v>37</v>
      </c>
      <c r="M358" s="29" t="s">
        <v>22</v>
      </c>
      <c r="N358" s="31">
        <v>1872.9</v>
      </c>
    </row>
    <row r="359" ht="29.75" spans="1:14">
      <c r="A359" s="29" t="s">
        <v>1410</v>
      </c>
      <c r="B359" s="30">
        <v>45115</v>
      </c>
      <c r="C359" s="29" t="s">
        <v>1411</v>
      </c>
      <c r="D359" s="29" t="s">
        <v>58</v>
      </c>
      <c r="E359" s="31">
        <v>5</v>
      </c>
      <c r="F359" s="31">
        <v>408.56</v>
      </c>
      <c r="G359" s="29" t="s">
        <v>1340</v>
      </c>
      <c r="H359" s="29" t="s">
        <v>18</v>
      </c>
      <c r="I359" s="29" t="s">
        <v>50</v>
      </c>
      <c r="J359" s="29" t="s">
        <v>1412</v>
      </c>
      <c r="K359" s="31">
        <v>8</v>
      </c>
      <c r="L359" s="29" t="s">
        <v>37</v>
      </c>
      <c r="M359" s="29" t="s">
        <v>22</v>
      </c>
      <c r="N359" s="31">
        <v>2042.8</v>
      </c>
    </row>
    <row r="360" ht="29.75" spans="1:14">
      <c r="A360" s="29" t="s">
        <v>1413</v>
      </c>
      <c r="B360" s="30">
        <v>45389</v>
      </c>
      <c r="C360" s="29" t="s">
        <v>1414</v>
      </c>
      <c r="D360" s="29" t="s">
        <v>32</v>
      </c>
      <c r="E360" s="31">
        <v>2</v>
      </c>
      <c r="F360" s="31">
        <v>183.67</v>
      </c>
      <c r="G360" s="29" t="s">
        <v>1415</v>
      </c>
      <c r="H360" s="29" t="s">
        <v>27</v>
      </c>
      <c r="I360" s="29" t="s">
        <v>35</v>
      </c>
      <c r="J360" s="29" t="s">
        <v>1416</v>
      </c>
      <c r="K360" s="31">
        <v>3</v>
      </c>
      <c r="L360" s="29" t="s">
        <v>21</v>
      </c>
      <c r="M360" s="29" t="s">
        <v>76</v>
      </c>
      <c r="N360" s="31">
        <v>367.34</v>
      </c>
    </row>
    <row r="361" ht="29.75" spans="1:14">
      <c r="A361" s="29" t="s">
        <v>1417</v>
      </c>
      <c r="B361" s="30">
        <v>45086</v>
      </c>
      <c r="C361" s="29" t="s">
        <v>1418</v>
      </c>
      <c r="D361" s="29" t="s">
        <v>73</v>
      </c>
      <c r="E361" s="31">
        <v>4</v>
      </c>
      <c r="F361" s="31">
        <v>606.57</v>
      </c>
      <c r="G361" s="29" t="s">
        <v>1419</v>
      </c>
      <c r="H361" s="29" t="s">
        <v>18</v>
      </c>
      <c r="I361" s="29" t="s">
        <v>50</v>
      </c>
      <c r="J361" s="29" t="s">
        <v>1420</v>
      </c>
      <c r="K361" s="31">
        <v>5</v>
      </c>
      <c r="L361" s="29" t="s">
        <v>81</v>
      </c>
      <c r="M361" s="29" t="s">
        <v>29</v>
      </c>
      <c r="N361" s="31">
        <v>2426.28</v>
      </c>
    </row>
    <row r="362" ht="29.75" spans="1:14">
      <c r="A362" s="29" t="s">
        <v>1421</v>
      </c>
      <c r="B362" s="30">
        <v>45449</v>
      </c>
      <c r="C362" s="29" t="s">
        <v>1422</v>
      </c>
      <c r="D362" s="29" t="s">
        <v>25</v>
      </c>
      <c r="E362" s="31">
        <v>4</v>
      </c>
      <c r="F362" s="31">
        <v>589.57</v>
      </c>
      <c r="G362" s="29" t="s">
        <v>1423</v>
      </c>
      <c r="H362" s="29" t="s">
        <v>65</v>
      </c>
      <c r="I362" s="29" t="s">
        <v>89</v>
      </c>
      <c r="J362" s="29" t="s">
        <v>1424</v>
      </c>
      <c r="K362" s="31">
        <v>8</v>
      </c>
      <c r="L362" s="29"/>
      <c r="M362" s="29" t="s">
        <v>22</v>
      </c>
      <c r="N362" s="31">
        <v>2358.28</v>
      </c>
    </row>
    <row r="363" ht="29.75" spans="1:14">
      <c r="A363" s="29" t="s">
        <v>1425</v>
      </c>
      <c r="B363" s="30">
        <v>45472</v>
      </c>
      <c r="C363" s="29" t="s">
        <v>1426</v>
      </c>
      <c r="D363" s="29" t="s">
        <v>48</v>
      </c>
      <c r="E363" s="31">
        <v>5</v>
      </c>
      <c r="F363" s="31">
        <v>659.85</v>
      </c>
      <c r="G363" s="29" t="s">
        <v>1427</v>
      </c>
      <c r="H363" s="29" t="s">
        <v>34</v>
      </c>
      <c r="I363" s="29" t="s">
        <v>50</v>
      </c>
      <c r="J363" s="29" t="s">
        <v>1428</v>
      </c>
      <c r="K363" s="31">
        <v>9</v>
      </c>
      <c r="L363" s="29" t="s">
        <v>21</v>
      </c>
      <c r="M363" s="29" t="s">
        <v>45</v>
      </c>
      <c r="N363" s="31">
        <v>3299.25</v>
      </c>
    </row>
    <row r="364" ht="29.75" spans="1:14">
      <c r="A364" s="29" t="s">
        <v>1429</v>
      </c>
      <c r="B364" s="30">
        <v>45104</v>
      </c>
      <c r="C364" s="29" t="s">
        <v>1430</v>
      </c>
      <c r="D364" s="29" t="s">
        <v>16</v>
      </c>
      <c r="E364" s="31">
        <v>4</v>
      </c>
      <c r="F364" s="31">
        <v>206.84</v>
      </c>
      <c r="G364" s="29" t="s">
        <v>1431</v>
      </c>
      <c r="H364" s="29" t="s">
        <v>65</v>
      </c>
      <c r="I364" s="29" t="s">
        <v>35</v>
      </c>
      <c r="J364" s="29" t="s">
        <v>1432</v>
      </c>
      <c r="K364" s="31">
        <v>5</v>
      </c>
      <c r="L364" s="29" t="s">
        <v>81</v>
      </c>
      <c r="M364" s="29" t="s">
        <v>22</v>
      </c>
      <c r="N364" s="31">
        <v>827.36</v>
      </c>
    </row>
    <row r="365" ht="29.75" spans="1:14">
      <c r="A365" s="29" t="s">
        <v>1433</v>
      </c>
      <c r="B365" s="30">
        <v>45436</v>
      </c>
      <c r="C365" s="29" t="s">
        <v>1434</v>
      </c>
      <c r="D365" s="29" t="s">
        <v>58</v>
      </c>
      <c r="E365" s="31">
        <v>5</v>
      </c>
      <c r="F365" s="31">
        <v>113.87</v>
      </c>
      <c r="G365" s="29" t="s">
        <v>212</v>
      </c>
      <c r="H365" s="29" t="s">
        <v>34</v>
      </c>
      <c r="I365" s="29" t="s">
        <v>89</v>
      </c>
      <c r="J365" s="29" t="s">
        <v>1435</v>
      </c>
      <c r="K365" s="31">
        <v>6</v>
      </c>
      <c r="L365" s="29" t="s">
        <v>21</v>
      </c>
      <c r="M365" s="29" t="s">
        <v>38</v>
      </c>
      <c r="N365" s="31">
        <v>569.35</v>
      </c>
    </row>
    <row r="366" ht="29.75" spans="1:14">
      <c r="A366" s="29" t="s">
        <v>1436</v>
      </c>
      <c r="B366" s="30">
        <v>45254</v>
      </c>
      <c r="C366" s="29" t="s">
        <v>1437</v>
      </c>
      <c r="D366" s="29" t="s">
        <v>25</v>
      </c>
      <c r="E366" s="31">
        <v>5</v>
      </c>
      <c r="F366" s="31">
        <v>628.74</v>
      </c>
      <c r="G366" s="29" t="s">
        <v>1121</v>
      </c>
      <c r="H366" s="29" t="s">
        <v>65</v>
      </c>
      <c r="I366" s="29" t="s">
        <v>35</v>
      </c>
      <c r="J366" s="29" t="s">
        <v>1438</v>
      </c>
      <c r="K366" s="31">
        <v>9</v>
      </c>
      <c r="L366" s="29" t="s">
        <v>37</v>
      </c>
      <c r="M366" s="29" t="s">
        <v>45</v>
      </c>
      <c r="N366" s="31">
        <v>3143.7</v>
      </c>
    </row>
    <row r="367" ht="29.75" spans="1:14">
      <c r="A367" s="29" t="s">
        <v>1439</v>
      </c>
      <c r="B367" s="30">
        <v>45702</v>
      </c>
      <c r="C367" s="29" t="s">
        <v>1440</v>
      </c>
      <c r="D367" s="29" t="s">
        <v>25</v>
      </c>
      <c r="E367" s="31">
        <v>1</v>
      </c>
      <c r="F367" s="31">
        <v>678.38</v>
      </c>
      <c r="G367" s="29" t="s">
        <v>1313</v>
      </c>
      <c r="H367" s="29" t="s">
        <v>34</v>
      </c>
      <c r="I367" s="29" t="s">
        <v>35</v>
      </c>
      <c r="J367" s="29" t="s">
        <v>1441</v>
      </c>
      <c r="K367" s="31">
        <v>4</v>
      </c>
      <c r="L367" s="29" t="s">
        <v>21</v>
      </c>
      <c r="M367" s="29" t="s">
        <v>29</v>
      </c>
      <c r="N367" s="31">
        <v>678.38</v>
      </c>
    </row>
    <row r="368" ht="29.75" spans="1:14">
      <c r="A368" s="29" t="s">
        <v>1442</v>
      </c>
      <c r="B368" s="30">
        <v>44967</v>
      </c>
      <c r="C368" s="29" t="s">
        <v>1443</v>
      </c>
      <c r="D368" s="29" t="s">
        <v>48</v>
      </c>
      <c r="E368" s="31">
        <v>3</v>
      </c>
      <c r="F368" s="31">
        <v>602.24</v>
      </c>
      <c r="G368" s="29" t="s">
        <v>1444</v>
      </c>
      <c r="H368" s="29" t="s">
        <v>18</v>
      </c>
      <c r="I368" s="29" t="s">
        <v>89</v>
      </c>
      <c r="J368" s="29" t="s">
        <v>1445</v>
      </c>
      <c r="K368" s="31">
        <v>8</v>
      </c>
      <c r="L368" s="29"/>
      <c r="M368" s="29" t="s">
        <v>29</v>
      </c>
      <c r="N368" s="31">
        <v>1806.72</v>
      </c>
    </row>
    <row r="369" ht="29.75" spans="1:14">
      <c r="A369" s="29" t="s">
        <v>1446</v>
      </c>
      <c r="B369" s="30">
        <v>45407</v>
      </c>
      <c r="C369" s="29" t="s">
        <v>1447</v>
      </c>
      <c r="D369" s="29" t="s">
        <v>58</v>
      </c>
      <c r="E369" s="31">
        <v>5</v>
      </c>
      <c r="F369" s="31">
        <v>658.77</v>
      </c>
      <c r="G369" s="29" t="s">
        <v>1032</v>
      </c>
      <c r="H369" s="29" t="s">
        <v>60</v>
      </c>
      <c r="I369" s="29" t="s">
        <v>89</v>
      </c>
      <c r="J369" s="29" t="s">
        <v>1448</v>
      </c>
      <c r="K369" s="31">
        <v>10</v>
      </c>
      <c r="L369" s="29" t="s">
        <v>37</v>
      </c>
      <c r="M369" s="29" t="s">
        <v>22</v>
      </c>
      <c r="N369" s="31">
        <v>3293.85</v>
      </c>
    </row>
    <row r="370" ht="29.75" spans="1:14">
      <c r="A370" s="29" t="s">
        <v>1449</v>
      </c>
      <c r="B370" s="30">
        <v>45047</v>
      </c>
      <c r="C370" s="29" t="s">
        <v>1450</v>
      </c>
      <c r="D370" s="29" t="s">
        <v>16</v>
      </c>
      <c r="E370" s="31">
        <v>3</v>
      </c>
      <c r="F370" s="31">
        <v>271.02</v>
      </c>
      <c r="G370" s="29" t="s">
        <v>1451</v>
      </c>
      <c r="H370" s="29" t="s">
        <v>34</v>
      </c>
      <c r="I370" s="29" t="s">
        <v>35</v>
      </c>
      <c r="J370" s="29" t="s">
        <v>1452</v>
      </c>
      <c r="K370" s="31">
        <v>6</v>
      </c>
      <c r="L370" s="29"/>
      <c r="M370" s="29" t="s">
        <v>76</v>
      </c>
      <c r="N370" s="31">
        <v>813.06</v>
      </c>
    </row>
    <row r="371" ht="29.75" spans="1:14">
      <c r="A371" s="29" t="s">
        <v>1453</v>
      </c>
      <c r="B371" s="30">
        <v>45648</v>
      </c>
      <c r="C371" s="29" t="s">
        <v>1454</v>
      </c>
      <c r="D371" s="29" t="s">
        <v>16</v>
      </c>
      <c r="E371" s="31">
        <v>5</v>
      </c>
      <c r="F371" s="31">
        <v>375.25</v>
      </c>
      <c r="G371" s="29" t="s">
        <v>1455</v>
      </c>
      <c r="H371" s="29" t="s">
        <v>60</v>
      </c>
      <c r="I371" s="29" t="s">
        <v>89</v>
      </c>
      <c r="J371" s="29" t="s">
        <v>1456</v>
      </c>
      <c r="K371" s="31">
        <v>9</v>
      </c>
      <c r="L371" s="29" t="s">
        <v>21</v>
      </c>
      <c r="M371" s="29" t="s">
        <v>38</v>
      </c>
      <c r="N371" s="31">
        <v>1876.25</v>
      </c>
    </row>
    <row r="372" ht="29.75" spans="1:14">
      <c r="A372" s="29" t="s">
        <v>1457</v>
      </c>
      <c r="B372" s="30">
        <v>45780</v>
      </c>
      <c r="C372" s="29" t="s">
        <v>1458</v>
      </c>
      <c r="D372" s="29" t="s">
        <v>25</v>
      </c>
      <c r="E372" s="31">
        <v>1</v>
      </c>
      <c r="F372" s="31">
        <v>312.11</v>
      </c>
      <c r="G372" s="29" t="s">
        <v>1459</v>
      </c>
      <c r="H372" s="29" t="s">
        <v>27</v>
      </c>
      <c r="I372" s="29" t="s">
        <v>35</v>
      </c>
      <c r="J372" s="29" t="s">
        <v>1460</v>
      </c>
      <c r="K372" s="31">
        <v>4</v>
      </c>
      <c r="L372" s="29" t="s">
        <v>81</v>
      </c>
      <c r="M372" s="29" t="s">
        <v>45</v>
      </c>
      <c r="N372" s="31">
        <v>312.11</v>
      </c>
    </row>
    <row r="373" ht="29.75" spans="1:14">
      <c r="A373" s="29" t="s">
        <v>1461</v>
      </c>
      <c r="B373" s="30">
        <v>44931</v>
      </c>
      <c r="C373" s="29" t="s">
        <v>1462</v>
      </c>
      <c r="D373" s="29" t="s">
        <v>25</v>
      </c>
      <c r="E373" s="31">
        <v>5</v>
      </c>
      <c r="F373" s="31">
        <v>307.76</v>
      </c>
      <c r="G373" s="29" t="s">
        <v>88</v>
      </c>
      <c r="H373" s="29" t="s">
        <v>60</v>
      </c>
      <c r="I373" s="29" t="s">
        <v>89</v>
      </c>
      <c r="J373" s="29" t="s">
        <v>1463</v>
      </c>
      <c r="K373" s="31">
        <v>9</v>
      </c>
      <c r="L373" s="29" t="s">
        <v>37</v>
      </c>
      <c r="M373" s="29" t="s">
        <v>76</v>
      </c>
      <c r="N373" s="31">
        <v>1538.8</v>
      </c>
    </row>
    <row r="374" ht="29.75" spans="1:14">
      <c r="A374" s="29" t="s">
        <v>1464</v>
      </c>
      <c r="B374" s="30">
        <v>45702</v>
      </c>
      <c r="C374" s="29" t="s">
        <v>1465</v>
      </c>
      <c r="D374" s="29" t="s">
        <v>41</v>
      </c>
      <c r="E374" s="31">
        <v>3</v>
      </c>
      <c r="F374" s="31">
        <v>483.53</v>
      </c>
      <c r="G374" s="29" t="s">
        <v>1466</v>
      </c>
      <c r="H374" s="29" t="s">
        <v>65</v>
      </c>
      <c r="I374" s="29" t="s">
        <v>43</v>
      </c>
      <c r="J374" s="29" t="s">
        <v>1467</v>
      </c>
      <c r="K374" s="31">
        <v>4</v>
      </c>
      <c r="L374" s="29"/>
      <c r="M374" s="29" t="s">
        <v>29</v>
      </c>
      <c r="N374" s="31">
        <v>1450.59</v>
      </c>
    </row>
    <row r="375" ht="29.75" spans="1:14">
      <c r="A375" s="29" t="s">
        <v>1468</v>
      </c>
      <c r="B375" s="30">
        <v>44928</v>
      </c>
      <c r="C375" s="29" t="s">
        <v>1469</v>
      </c>
      <c r="D375" s="29" t="s">
        <v>58</v>
      </c>
      <c r="E375" s="31">
        <v>3</v>
      </c>
      <c r="F375" s="31">
        <v>341.15</v>
      </c>
      <c r="G375" s="29" t="s">
        <v>1470</v>
      </c>
      <c r="H375" s="29" t="s">
        <v>65</v>
      </c>
      <c r="I375" s="29" t="s">
        <v>89</v>
      </c>
      <c r="J375" s="29" t="s">
        <v>1471</v>
      </c>
      <c r="K375" s="31">
        <v>4</v>
      </c>
      <c r="L375" s="29" t="s">
        <v>37</v>
      </c>
      <c r="M375" s="29" t="s">
        <v>22</v>
      </c>
      <c r="N375" s="31">
        <v>1023.45</v>
      </c>
    </row>
    <row r="376" ht="29.75" spans="1:14">
      <c r="A376" s="29" t="s">
        <v>1472</v>
      </c>
      <c r="B376" s="30">
        <v>45551</v>
      </c>
      <c r="C376" s="29" t="s">
        <v>1473</v>
      </c>
      <c r="D376" s="29" t="s">
        <v>16</v>
      </c>
      <c r="E376" s="31">
        <v>1</v>
      </c>
      <c r="F376" s="31">
        <v>571.9</v>
      </c>
      <c r="G376" s="29" t="s">
        <v>327</v>
      </c>
      <c r="H376" s="29" t="s">
        <v>60</v>
      </c>
      <c r="I376" s="29" t="s">
        <v>89</v>
      </c>
      <c r="J376" s="29" t="s">
        <v>1474</v>
      </c>
      <c r="K376" s="31">
        <v>1</v>
      </c>
      <c r="L376" s="29" t="s">
        <v>81</v>
      </c>
      <c r="M376" s="29" t="s">
        <v>22</v>
      </c>
      <c r="N376" s="31">
        <v>571.9</v>
      </c>
    </row>
    <row r="377" ht="29.75" spans="1:14">
      <c r="A377" s="29" t="s">
        <v>1475</v>
      </c>
      <c r="B377" s="30">
        <v>45673</v>
      </c>
      <c r="C377" s="29" t="s">
        <v>1476</v>
      </c>
      <c r="D377" s="29" t="s">
        <v>16</v>
      </c>
      <c r="E377" s="31">
        <v>4</v>
      </c>
      <c r="F377" s="31">
        <v>95.03</v>
      </c>
      <c r="G377" s="29" t="s">
        <v>1477</v>
      </c>
      <c r="H377" s="29" t="s">
        <v>27</v>
      </c>
      <c r="I377" s="29" t="s">
        <v>19</v>
      </c>
      <c r="J377" s="29" t="s">
        <v>1478</v>
      </c>
      <c r="K377" s="31">
        <v>8</v>
      </c>
      <c r="L377" s="29" t="s">
        <v>37</v>
      </c>
      <c r="M377" s="29" t="s">
        <v>45</v>
      </c>
      <c r="N377" s="31">
        <v>380.12</v>
      </c>
    </row>
    <row r="378" ht="29.75" spans="1:14">
      <c r="A378" s="29" t="s">
        <v>1479</v>
      </c>
      <c r="B378" s="30">
        <v>45162</v>
      </c>
      <c r="C378" s="29" t="s">
        <v>1480</v>
      </c>
      <c r="D378" s="29" t="s">
        <v>16</v>
      </c>
      <c r="E378" s="31">
        <v>5</v>
      </c>
      <c r="F378" s="31">
        <v>201.22</v>
      </c>
      <c r="G378" s="29" t="s">
        <v>1481</v>
      </c>
      <c r="H378" s="29" t="s">
        <v>18</v>
      </c>
      <c r="I378" s="29" t="s">
        <v>89</v>
      </c>
      <c r="J378" s="29" t="s">
        <v>1482</v>
      </c>
      <c r="K378" s="31">
        <v>6</v>
      </c>
      <c r="L378" s="29" t="s">
        <v>37</v>
      </c>
      <c r="M378" s="29" t="s">
        <v>45</v>
      </c>
      <c r="N378" s="31">
        <v>1006.1</v>
      </c>
    </row>
    <row r="379" ht="29.75" spans="1:14">
      <c r="A379" s="29" t="s">
        <v>1483</v>
      </c>
      <c r="B379" s="30">
        <v>45495</v>
      </c>
      <c r="C379" s="29" t="s">
        <v>1484</v>
      </c>
      <c r="D379" s="29" t="s">
        <v>16</v>
      </c>
      <c r="E379" s="31">
        <v>1</v>
      </c>
      <c r="F379" s="31">
        <v>260.26</v>
      </c>
      <c r="G379" s="29" t="s">
        <v>1229</v>
      </c>
      <c r="H379" s="29" t="s">
        <v>27</v>
      </c>
      <c r="I379" s="29" t="s">
        <v>89</v>
      </c>
      <c r="J379" s="29" t="s">
        <v>1485</v>
      </c>
      <c r="K379" s="31">
        <v>5</v>
      </c>
      <c r="L379" s="29" t="s">
        <v>81</v>
      </c>
      <c r="M379" s="29" t="s">
        <v>22</v>
      </c>
      <c r="N379" s="31">
        <v>260.26</v>
      </c>
    </row>
    <row r="380" ht="29.75" spans="1:14">
      <c r="A380" s="29" t="s">
        <v>1486</v>
      </c>
      <c r="B380" s="30">
        <v>45323</v>
      </c>
      <c r="C380" s="29" t="s">
        <v>1487</v>
      </c>
      <c r="D380" s="29" t="s">
        <v>41</v>
      </c>
      <c r="E380" s="31">
        <v>5</v>
      </c>
      <c r="F380" s="31">
        <v>64.5</v>
      </c>
      <c r="G380" s="29" t="s">
        <v>1488</v>
      </c>
      <c r="H380" s="29" t="s">
        <v>34</v>
      </c>
      <c r="I380" s="29" t="s">
        <v>89</v>
      </c>
      <c r="J380" s="29" t="s">
        <v>1489</v>
      </c>
      <c r="K380" s="31">
        <v>8</v>
      </c>
      <c r="L380" s="29" t="s">
        <v>81</v>
      </c>
      <c r="M380" s="29" t="s">
        <v>22</v>
      </c>
      <c r="N380" s="31">
        <v>322.5</v>
      </c>
    </row>
    <row r="381" ht="29.75" spans="1:14">
      <c r="A381" s="29" t="s">
        <v>1490</v>
      </c>
      <c r="B381" s="30">
        <v>45556</v>
      </c>
      <c r="C381" s="29" t="s">
        <v>1491</v>
      </c>
      <c r="D381" s="29" t="s">
        <v>25</v>
      </c>
      <c r="E381" s="31">
        <v>3</v>
      </c>
      <c r="F381" s="31">
        <v>297.67</v>
      </c>
      <c r="G381" s="29" t="s">
        <v>739</v>
      </c>
      <c r="H381" s="29" t="s">
        <v>27</v>
      </c>
      <c r="I381" s="29" t="s">
        <v>19</v>
      </c>
      <c r="J381" s="29" t="s">
        <v>1492</v>
      </c>
      <c r="K381" s="31">
        <v>6</v>
      </c>
      <c r="L381" s="29"/>
      <c r="M381" s="29" t="s">
        <v>76</v>
      </c>
      <c r="N381" s="31">
        <v>893.01</v>
      </c>
    </row>
    <row r="382" ht="29.75" spans="1:14">
      <c r="A382" s="29" t="s">
        <v>1493</v>
      </c>
      <c r="B382" s="30">
        <v>45402</v>
      </c>
      <c r="C382" s="29" t="s">
        <v>1494</v>
      </c>
      <c r="D382" s="29" t="s">
        <v>48</v>
      </c>
      <c r="E382" s="31">
        <v>4</v>
      </c>
      <c r="F382" s="31">
        <v>331.9</v>
      </c>
      <c r="G382" s="29" t="s">
        <v>1081</v>
      </c>
      <c r="H382" s="29" t="s">
        <v>65</v>
      </c>
      <c r="I382" s="29" t="s">
        <v>89</v>
      </c>
      <c r="J382" s="29" t="s">
        <v>1495</v>
      </c>
      <c r="K382" s="31">
        <v>5</v>
      </c>
      <c r="L382" s="29" t="s">
        <v>21</v>
      </c>
      <c r="M382" s="29" t="s">
        <v>22</v>
      </c>
      <c r="N382" s="31">
        <v>1327.6</v>
      </c>
    </row>
    <row r="383" ht="29.75" spans="1:14">
      <c r="A383" s="29" t="s">
        <v>1496</v>
      </c>
      <c r="B383" s="30">
        <v>45084</v>
      </c>
      <c r="C383" s="29" t="s">
        <v>1497</v>
      </c>
      <c r="D383" s="29" t="s">
        <v>41</v>
      </c>
      <c r="E383" s="31">
        <v>1</v>
      </c>
      <c r="F383" s="31">
        <v>191.76</v>
      </c>
      <c r="G383" s="29" t="s">
        <v>223</v>
      </c>
      <c r="H383" s="29" t="s">
        <v>34</v>
      </c>
      <c r="I383" s="29" t="s">
        <v>43</v>
      </c>
      <c r="J383" s="29" t="s">
        <v>1498</v>
      </c>
      <c r="K383" s="31">
        <v>1</v>
      </c>
      <c r="L383" s="29" t="s">
        <v>37</v>
      </c>
      <c r="M383" s="29" t="s">
        <v>22</v>
      </c>
      <c r="N383" s="31">
        <v>191.76</v>
      </c>
    </row>
    <row r="384" ht="29.75" spans="1:14">
      <c r="A384" s="29" t="s">
        <v>1499</v>
      </c>
      <c r="B384" s="30">
        <v>45687</v>
      </c>
      <c r="C384" s="29" t="s">
        <v>1500</v>
      </c>
      <c r="D384" s="29" t="s">
        <v>48</v>
      </c>
      <c r="E384" s="31">
        <v>4</v>
      </c>
      <c r="F384" s="31">
        <v>263.09</v>
      </c>
      <c r="G384" s="29" t="s">
        <v>1501</v>
      </c>
      <c r="H384" s="29" t="s">
        <v>18</v>
      </c>
      <c r="I384" s="29" t="s">
        <v>19</v>
      </c>
      <c r="J384" s="29" t="s">
        <v>1502</v>
      </c>
      <c r="K384" s="31">
        <v>8</v>
      </c>
      <c r="L384" s="29" t="s">
        <v>21</v>
      </c>
      <c r="M384" s="29" t="s">
        <v>76</v>
      </c>
      <c r="N384" s="31">
        <v>1052.36</v>
      </c>
    </row>
    <row r="385" ht="29.75" spans="1:14">
      <c r="A385" s="29" t="s">
        <v>1503</v>
      </c>
      <c r="B385" s="30">
        <v>44946</v>
      </c>
      <c r="C385" s="29" t="s">
        <v>1504</v>
      </c>
      <c r="D385" s="29" t="s">
        <v>41</v>
      </c>
      <c r="E385" s="31">
        <v>4</v>
      </c>
      <c r="F385" s="31">
        <v>393.8</v>
      </c>
      <c r="G385" s="29" t="s">
        <v>407</v>
      </c>
      <c r="H385" s="29" t="s">
        <v>34</v>
      </c>
      <c r="I385" s="29" t="s">
        <v>89</v>
      </c>
      <c r="J385" s="29" t="s">
        <v>1505</v>
      </c>
      <c r="K385" s="31">
        <v>7</v>
      </c>
      <c r="L385" s="29" t="s">
        <v>21</v>
      </c>
      <c r="M385" s="29" t="s">
        <v>38</v>
      </c>
      <c r="N385" s="31">
        <v>1575.2</v>
      </c>
    </row>
    <row r="386" ht="29.75" spans="1:14">
      <c r="A386" s="29" t="s">
        <v>1506</v>
      </c>
      <c r="B386" s="30">
        <v>45620</v>
      </c>
      <c r="C386" s="29" t="s">
        <v>1507</v>
      </c>
      <c r="D386" s="29" t="s">
        <v>41</v>
      </c>
      <c r="E386" s="31">
        <v>3</v>
      </c>
      <c r="F386" s="31">
        <v>553.57</v>
      </c>
      <c r="G386" s="29" t="s">
        <v>1508</v>
      </c>
      <c r="H386" s="29" t="s">
        <v>34</v>
      </c>
      <c r="I386" s="29" t="s">
        <v>43</v>
      </c>
      <c r="J386" s="29" t="s">
        <v>1509</v>
      </c>
      <c r="K386" s="31">
        <v>4</v>
      </c>
      <c r="L386" s="29" t="s">
        <v>37</v>
      </c>
      <c r="M386" s="29" t="s">
        <v>45</v>
      </c>
      <c r="N386" s="31">
        <v>1660.71</v>
      </c>
    </row>
    <row r="387" ht="29.75" spans="1:14">
      <c r="A387" s="29" t="s">
        <v>1510</v>
      </c>
      <c r="B387" s="30">
        <v>45230</v>
      </c>
      <c r="C387" s="29" t="s">
        <v>1511</v>
      </c>
      <c r="D387" s="29" t="s">
        <v>41</v>
      </c>
      <c r="E387" s="31">
        <v>5</v>
      </c>
      <c r="F387" s="31">
        <v>191.63</v>
      </c>
      <c r="G387" s="29" t="s">
        <v>293</v>
      </c>
      <c r="H387" s="29" t="s">
        <v>60</v>
      </c>
      <c r="I387" s="29" t="s">
        <v>50</v>
      </c>
      <c r="J387" s="29" t="s">
        <v>1512</v>
      </c>
      <c r="K387" s="31">
        <v>6</v>
      </c>
      <c r="L387" s="29" t="s">
        <v>37</v>
      </c>
      <c r="M387" s="29" t="s">
        <v>45</v>
      </c>
      <c r="N387" s="31">
        <v>958.15</v>
      </c>
    </row>
    <row r="388" ht="29.75" spans="1:14">
      <c r="A388" s="29" t="s">
        <v>1513</v>
      </c>
      <c r="B388" s="30">
        <v>45044</v>
      </c>
      <c r="C388" s="29" t="s">
        <v>1514</v>
      </c>
      <c r="D388" s="29" t="s">
        <v>32</v>
      </c>
      <c r="E388" s="31">
        <v>1</v>
      </c>
      <c r="F388" s="31">
        <v>93.02</v>
      </c>
      <c r="G388" s="29" t="s">
        <v>1515</v>
      </c>
      <c r="H388" s="29" t="s">
        <v>27</v>
      </c>
      <c r="I388" s="29" t="s">
        <v>43</v>
      </c>
      <c r="J388" s="29" t="s">
        <v>1516</v>
      </c>
      <c r="K388" s="31">
        <v>4</v>
      </c>
      <c r="L388" s="29"/>
      <c r="M388" s="29" t="s">
        <v>38</v>
      </c>
      <c r="N388" s="31">
        <v>93.02</v>
      </c>
    </row>
    <row r="389" ht="29.75" spans="1:14">
      <c r="A389" s="29" t="s">
        <v>1517</v>
      </c>
      <c r="B389" s="30">
        <v>45470</v>
      </c>
      <c r="C389" s="29" t="s">
        <v>1518</v>
      </c>
      <c r="D389" s="29" t="s">
        <v>48</v>
      </c>
      <c r="E389" s="31">
        <v>2</v>
      </c>
      <c r="F389" s="31">
        <v>39.53</v>
      </c>
      <c r="G389" s="29" t="s">
        <v>69</v>
      </c>
      <c r="H389" s="29" t="s">
        <v>34</v>
      </c>
      <c r="I389" s="29" t="s">
        <v>19</v>
      </c>
      <c r="J389" s="29" t="s">
        <v>1519</v>
      </c>
      <c r="K389" s="31">
        <v>3</v>
      </c>
      <c r="L389" s="29" t="s">
        <v>81</v>
      </c>
      <c r="M389" s="29" t="s">
        <v>76</v>
      </c>
      <c r="N389" s="31">
        <v>79.06</v>
      </c>
    </row>
    <row r="390" ht="29.75" spans="1:14">
      <c r="A390" s="29" t="s">
        <v>1520</v>
      </c>
      <c r="B390" s="30">
        <v>45288</v>
      </c>
      <c r="C390" s="29" t="s">
        <v>1521</v>
      </c>
      <c r="D390" s="29" t="s">
        <v>48</v>
      </c>
      <c r="E390" s="31">
        <v>3</v>
      </c>
      <c r="F390" s="31">
        <v>633.97</v>
      </c>
      <c r="G390" s="29" t="s">
        <v>438</v>
      </c>
      <c r="H390" s="29" t="s">
        <v>65</v>
      </c>
      <c r="I390" s="29" t="s">
        <v>89</v>
      </c>
      <c r="J390" s="29" t="s">
        <v>1522</v>
      </c>
      <c r="K390" s="31">
        <v>7</v>
      </c>
      <c r="L390" s="29" t="s">
        <v>81</v>
      </c>
      <c r="M390" s="29" t="s">
        <v>45</v>
      </c>
      <c r="N390" s="31">
        <v>1901.91</v>
      </c>
    </row>
    <row r="391" ht="29.75" spans="1:14">
      <c r="A391" s="29" t="s">
        <v>1523</v>
      </c>
      <c r="B391" s="30">
        <v>45277</v>
      </c>
      <c r="C391" s="29" t="s">
        <v>1524</v>
      </c>
      <c r="D391" s="29" t="s">
        <v>73</v>
      </c>
      <c r="E391" s="31">
        <v>4</v>
      </c>
      <c r="F391" s="31">
        <v>697.5</v>
      </c>
      <c r="G391" s="29" t="s">
        <v>1525</v>
      </c>
      <c r="H391" s="29" t="s">
        <v>65</v>
      </c>
      <c r="I391" s="29" t="s">
        <v>19</v>
      </c>
      <c r="J391" s="29" t="s">
        <v>1526</v>
      </c>
      <c r="K391" s="31">
        <v>7</v>
      </c>
      <c r="L391" s="29" t="s">
        <v>37</v>
      </c>
      <c r="M391" s="29" t="s">
        <v>29</v>
      </c>
      <c r="N391" s="31">
        <v>2790</v>
      </c>
    </row>
    <row r="392" ht="29.75" spans="1:14">
      <c r="A392" s="29" t="s">
        <v>1527</v>
      </c>
      <c r="B392" s="30">
        <v>45121</v>
      </c>
      <c r="C392" s="29" t="s">
        <v>1528</v>
      </c>
      <c r="D392" s="29" t="s">
        <v>48</v>
      </c>
      <c r="E392" s="31">
        <v>5</v>
      </c>
      <c r="F392" s="31">
        <v>508.69</v>
      </c>
      <c r="G392" s="29" t="s">
        <v>1376</v>
      </c>
      <c r="H392" s="29" t="s">
        <v>65</v>
      </c>
      <c r="I392" s="29" t="s">
        <v>50</v>
      </c>
      <c r="J392" s="29" t="s">
        <v>1529</v>
      </c>
      <c r="K392" s="31">
        <v>10</v>
      </c>
      <c r="L392" s="29" t="s">
        <v>37</v>
      </c>
      <c r="M392" s="29" t="s">
        <v>76</v>
      </c>
      <c r="N392" s="31">
        <v>2543.45</v>
      </c>
    </row>
    <row r="393" ht="29.75" spans="1:14">
      <c r="A393" s="29" t="s">
        <v>1530</v>
      </c>
      <c r="B393" s="30">
        <v>45673</v>
      </c>
      <c r="C393" s="29" t="s">
        <v>1531</v>
      </c>
      <c r="D393" s="29" t="s">
        <v>58</v>
      </c>
      <c r="E393" s="31">
        <v>2</v>
      </c>
      <c r="F393" s="31">
        <v>527.46</v>
      </c>
      <c r="G393" s="29" t="s">
        <v>1137</v>
      </c>
      <c r="H393" s="29" t="s">
        <v>18</v>
      </c>
      <c r="I393" s="29" t="s">
        <v>35</v>
      </c>
      <c r="J393" s="29" t="s">
        <v>1532</v>
      </c>
      <c r="K393" s="31">
        <v>3</v>
      </c>
      <c r="L393" s="29" t="s">
        <v>37</v>
      </c>
      <c r="M393" s="29" t="s">
        <v>29</v>
      </c>
      <c r="N393" s="31">
        <v>1054.92</v>
      </c>
    </row>
    <row r="394" ht="29.75" spans="1:14">
      <c r="A394" s="29" t="s">
        <v>1533</v>
      </c>
      <c r="B394" s="30">
        <v>45350</v>
      </c>
      <c r="C394" s="29" t="s">
        <v>1534</v>
      </c>
      <c r="D394" s="29" t="s">
        <v>25</v>
      </c>
      <c r="E394" s="31">
        <v>1</v>
      </c>
      <c r="F394" s="31">
        <v>627.2</v>
      </c>
      <c r="G394" s="29" t="s">
        <v>1427</v>
      </c>
      <c r="H394" s="29" t="s">
        <v>27</v>
      </c>
      <c r="I394" s="29" t="s">
        <v>50</v>
      </c>
      <c r="J394" s="29" t="s">
        <v>1535</v>
      </c>
      <c r="K394" s="31">
        <v>1</v>
      </c>
      <c r="L394" s="29" t="s">
        <v>81</v>
      </c>
      <c r="M394" s="29" t="s">
        <v>38</v>
      </c>
      <c r="N394" s="31">
        <v>627.2</v>
      </c>
    </row>
    <row r="395" ht="29.75" spans="1:14">
      <c r="A395" s="29" t="s">
        <v>1536</v>
      </c>
      <c r="B395" s="30">
        <v>45487</v>
      </c>
      <c r="C395" s="29" t="s">
        <v>1537</v>
      </c>
      <c r="D395" s="29" t="s">
        <v>48</v>
      </c>
      <c r="E395" s="31">
        <v>1</v>
      </c>
      <c r="F395" s="31">
        <v>75.01</v>
      </c>
      <c r="G395" s="29" t="s">
        <v>1538</v>
      </c>
      <c r="H395" s="29" t="s">
        <v>34</v>
      </c>
      <c r="I395" s="29" t="s">
        <v>43</v>
      </c>
      <c r="J395" s="29" t="s">
        <v>1539</v>
      </c>
      <c r="K395" s="31">
        <v>3</v>
      </c>
      <c r="L395" s="29"/>
      <c r="M395" s="29" t="s">
        <v>76</v>
      </c>
      <c r="N395" s="31">
        <v>75.01</v>
      </c>
    </row>
    <row r="396" ht="29.75" spans="1:14">
      <c r="A396" s="29" t="s">
        <v>1540</v>
      </c>
      <c r="B396" s="30">
        <v>45112</v>
      </c>
      <c r="C396" s="29" t="s">
        <v>1541</v>
      </c>
      <c r="D396" s="29" t="s">
        <v>73</v>
      </c>
      <c r="E396" s="31">
        <v>5</v>
      </c>
      <c r="F396" s="31">
        <v>529.55</v>
      </c>
      <c r="G396" s="29" t="s">
        <v>1542</v>
      </c>
      <c r="H396" s="29" t="s">
        <v>60</v>
      </c>
      <c r="I396" s="29" t="s">
        <v>19</v>
      </c>
      <c r="J396" s="29" t="s">
        <v>1543</v>
      </c>
      <c r="K396" s="31">
        <v>10</v>
      </c>
      <c r="L396" s="29"/>
      <c r="M396" s="29" t="s">
        <v>45</v>
      </c>
      <c r="N396" s="31">
        <v>2647.75</v>
      </c>
    </row>
    <row r="397" ht="29.75" spans="1:14">
      <c r="A397" s="29" t="s">
        <v>1544</v>
      </c>
      <c r="B397" s="30">
        <v>45772</v>
      </c>
      <c r="C397" s="29" t="s">
        <v>1545</v>
      </c>
      <c r="D397" s="29" t="s">
        <v>25</v>
      </c>
      <c r="E397" s="31">
        <v>3</v>
      </c>
      <c r="F397" s="31">
        <v>127.41</v>
      </c>
      <c r="G397" s="29" t="s">
        <v>169</v>
      </c>
      <c r="H397" s="29" t="s">
        <v>60</v>
      </c>
      <c r="I397" s="29" t="s">
        <v>50</v>
      </c>
      <c r="J397" s="29" t="s">
        <v>1546</v>
      </c>
      <c r="K397" s="31">
        <v>7</v>
      </c>
      <c r="L397" s="29" t="s">
        <v>21</v>
      </c>
      <c r="M397" s="29" t="s">
        <v>29</v>
      </c>
      <c r="N397" s="31">
        <v>382.23</v>
      </c>
    </row>
    <row r="398" ht="29.75" spans="1:14">
      <c r="A398" s="29" t="s">
        <v>1547</v>
      </c>
      <c r="B398" s="30">
        <v>45261</v>
      </c>
      <c r="C398" s="29" t="s">
        <v>1548</v>
      </c>
      <c r="D398" s="29" t="s">
        <v>32</v>
      </c>
      <c r="E398" s="31">
        <v>5</v>
      </c>
      <c r="F398" s="31">
        <v>287.13</v>
      </c>
      <c r="G398" s="29" t="s">
        <v>1549</v>
      </c>
      <c r="H398" s="29" t="s">
        <v>27</v>
      </c>
      <c r="I398" s="29" t="s">
        <v>19</v>
      </c>
      <c r="J398" s="29" t="s">
        <v>1550</v>
      </c>
      <c r="K398" s="31">
        <v>10</v>
      </c>
      <c r="L398" s="29" t="s">
        <v>21</v>
      </c>
      <c r="M398" s="29" t="s">
        <v>38</v>
      </c>
      <c r="N398" s="31">
        <v>1435.65</v>
      </c>
    </row>
    <row r="399" ht="29.75" spans="1:14">
      <c r="A399" s="29" t="s">
        <v>1551</v>
      </c>
      <c r="B399" s="30">
        <v>45197</v>
      </c>
      <c r="C399" s="29" t="s">
        <v>1552</v>
      </c>
      <c r="D399" s="29" t="s">
        <v>16</v>
      </c>
      <c r="E399" s="31">
        <v>1</v>
      </c>
      <c r="F399" s="31">
        <v>427.06</v>
      </c>
      <c r="G399" s="29" t="s">
        <v>1553</v>
      </c>
      <c r="H399" s="29" t="s">
        <v>27</v>
      </c>
      <c r="I399" s="29" t="s">
        <v>35</v>
      </c>
      <c r="J399" s="29" t="s">
        <v>1554</v>
      </c>
      <c r="K399" s="31">
        <v>1</v>
      </c>
      <c r="L399" s="29" t="s">
        <v>81</v>
      </c>
      <c r="M399" s="29" t="s">
        <v>29</v>
      </c>
      <c r="N399" s="31">
        <v>427.06</v>
      </c>
    </row>
    <row r="400" ht="29.75" spans="1:14">
      <c r="A400" s="29" t="s">
        <v>1555</v>
      </c>
      <c r="B400" s="30">
        <v>45539</v>
      </c>
      <c r="C400" s="29" t="s">
        <v>1556</v>
      </c>
      <c r="D400" s="29" t="s">
        <v>25</v>
      </c>
      <c r="E400" s="31">
        <v>5</v>
      </c>
      <c r="F400" s="31">
        <v>53.93</v>
      </c>
      <c r="G400" s="29" t="s">
        <v>841</v>
      </c>
      <c r="H400" s="29" t="s">
        <v>60</v>
      </c>
      <c r="I400" s="29" t="s">
        <v>19</v>
      </c>
      <c r="J400" s="29" t="s">
        <v>1557</v>
      </c>
      <c r="K400" s="31">
        <v>7</v>
      </c>
      <c r="L400" s="29" t="s">
        <v>21</v>
      </c>
      <c r="M400" s="29" t="s">
        <v>22</v>
      </c>
      <c r="N400" s="31">
        <v>269.65</v>
      </c>
    </row>
    <row r="401" ht="29.75" spans="1:14">
      <c r="A401" s="29" t="s">
        <v>1558</v>
      </c>
      <c r="B401" s="30">
        <v>45298</v>
      </c>
      <c r="C401" s="29" t="s">
        <v>1559</v>
      </c>
      <c r="D401" s="29" t="s">
        <v>32</v>
      </c>
      <c r="E401" s="31">
        <v>5</v>
      </c>
      <c r="F401" s="31">
        <v>423.93</v>
      </c>
      <c r="G401" s="29" t="s">
        <v>1560</v>
      </c>
      <c r="H401" s="29" t="s">
        <v>18</v>
      </c>
      <c r="I401" s="29" t="s">
        <v>43</v>
      </c>
      <c r="J401" s="29" t="s">
        <v>1561</v>
      </c>
      <c r="K401" s="31">
        <v>5</v>
      </c>
      <c r="L401" s="29" t="s">
        <v>37</v>
      </c>
      <c r="M401" s="29" t="s">
        <v>45</v>
      </c>
      <c r="N401" s="31">
        <v>2119.65</v>
      </c>
    </row>
    <row r="402" ht="29.75" spans="1:14">
      <c r="A402" s="29" t="s">
        <v>1562</v>
      </c>
      <c r="B402" s="30">
        <v>45563</v>
      </c>
      <c r="C402" s="29" t="s">
        <v>1563</v>
      </c>
      <c r="D402" s="29" t="s">
        <v>73</v>
      </c>
      <c r="E402" s="31">
        <v>4</v>
      </c>
      <c r="F402" s="31">
        <v>160.22</v>
      </c>
      <c r="G402" s="29" t="s">
        <v>1564</v>
      </c>
      <c r="H402" s="29" t="s">
        <v>18</v>
      </c>
      <c r="I402" s="29" t="s">
        <v>43</v>
      </c>
      <c r="J402" s="29" t="s">
        <v>1565</v>
      </c>
      <c r="K402" s="31">
        <v>9</v>
      </c>
      <c r="L402" s="29" t="s">
        <v>81</v>
      </c>
      <c r="M402" s="29" t="s">
        <v>22</v>
      </c>
      <c r="N402" s="31">
        <v>640.88</v>
      </c>
    </row>
    <row r="403" ht="29.75" spans="1:14">
      <c r="A403" s="29" t="s">
        <v>1566</v>
      </c>
      <c r="B403" s="30">
        <v>45756</v>
      </c>
      <c r="C403" s="29" t="s">
        <v>1567</v>
      </c>
      <c r="D403" s="29" t="s">
        <v>48</v>
      </c>
      <c r="E403" s="31">
        <v>1</v>
      </c>
      <c r="F403" s="31">
        <v>538.68</v>
      </c>
      <c r="G403" s="29" t="s">
        <v>1427</v>
      </c>
      <c r="H403" s="29" t="s">
        <v>18</v>
      </c>
      <c r="I403" s="29" t="s">
        <v>43</v>
      </c>
      <c r="J403" s="29" t="s">
        <v>1568</v>
      </c>
      <c r="K403" s="31">
        <v>6</v>
      </c>
      <c r="L403" s="29"/>
      <c r="M403" s="29" t="s">
        <v>29</v>
      </c>
      <c r="N403" s="31">
        <v>538.68</v>
      </c>
    </row>
    <row r="404" ht="29.75" spans="1:14">
      <c r="A404" s="29" t="s">
        <v>1569</v>
      </c>
      <c r="B404" s="30">
        <v>45025</v>
      </c>
      <c r="C404" s="29" t="s">
        <v>1570</v>
      </c>
      <c r="D404" s="29" t="s">
        <v>48</v>
      </c>
      <c r="E404" s="31">
        <v>5</v>
      </c>
      <c r="F404" s="31">
        <v>337.38</v>
      </c>
      <c r="G404" s="29" t="s">
        <v>1571</v>
      </c>
      <c r="H404" s="29" t="s">
        <v>60</v>
      </c>
      <c r="I404" s="29" t="s">
        <v>19</v>
      </c>
      <c r="J404" s="29" t="s">
        <v>1572</v>
      </c>
      <c r="K404" s="31">
        <v>5</v>
      </c>
      <c r="L404" s="29"/>
      <c r="M404" s="29" t="s">
        <v>29</v>
      </c>
      <c r="N404" s="31">
        <v>1686.9</v>
      </c>
    </row>
    <row r="405" ht="29.75" spans="1:14">
      <c r="A405" s="29" t="s">
        <v>1573</v>
      </c>
      <c r="B405" s="30">
        <v>45606</v>
      </c>
      <c r="C405" s="29" t="s">
        <v>1574</v>
      </c>
      <c r="D405" s="29" t="s">
        <v>32</v>
      </c>
      <c r="E405" s="31">
        <v>1</v>
      </c>
      <c r="F405" s="31">
        <v>620.21</v>
      </c>
      <c r="G405" s="29" t="s">
        <v>1121</v>
      </c>
      <c r="H405" s="29" t="s">
        <v>27</v>
      </c>
      <c r="I405" s="29" t="s">
        <v>43</v>
      </c>
      <c r="J405" s="29" t="s">
        <v>1575</v>
      </c>
      <c r="K405" s="31">
        <v>1</v>
      </c>
      <c r="L405" s="29" t="s">
        <v>37</v>
      </c>
      <c r="M405" s="29" t="s">
        <v>29</v>
      </c>
      <c r="N405" s="31">
        <v>620.21</v>
      </c>
    </row>
    <row r="406" ht="29.75" spans="1:14">
      <c r="A406" s="29" t="s">
        <v>1576</v>
      </c>
      <c r="B406" s="30">
        <v>44994</v>
      </c>
      <c r="C406" s="29" t="s">
        <v>1577</v>
      </c>
      <c r="D406" s="29" t="s">
        <v>16</v>
      </c>
      <c r="E406" s="31">
        <v>2</v>
      </c>
      <c r="F406" s="31">
        <v>99.1</v>
      </c>
      <c r="G406" s="29" t="s">
        <v>305</v>
      </c>
      <c r="H406" s="29" t="s">
        <v>65</v>
      </c>
      <c r="I406" s="29" t="s">
        <v>50</v>
      </c>
      <c r="J406" s="29" t="s">
        <v>1578</v>
      </c>
      <c r="K406" s="31">
        <v>6</v>
      </c>
      <c r="L406" s="29"/>
      <c r="M406" s="29" t="s">
        <v>22</v>
      </c>
      <c r="N406" s="31">
        <v>198.2</v>
      </c>
    </row>
    <row r="407" ht="29.75" spans="1:14">
      <c r="A407" s="29" t="s">
        <v>1579</v>
      </c>
      <c r="B407" s="30">
        <v>45683</v>
      </c>
      <c r="C407" s="29" t="s">
        <v>1580</v>
      </c>
      <c r="D407" s="29" t="s">
        <v>16</v>
      </c>
      <c r="E407" s="31">
        <v>4</v>
      </c>
      <c r="F407" s="31">
        <v>451.97</v>
      </c>
      <c r="G407" s="29" t="s">
        <v>1444</v>
      </c>
      <c r="H407" s="29" t="s">
        <v>27</v>
      </c>
      <c r="I407" s="29" t="s">
        <v>35</v>
      </c>
      <c r="J407" s="29" t="s">
        <v>1581</v>
      </c>
      <c r="K407" s="31">
        <v>7</v>
      </c>
      <c r="L407" s="29" t="s">
        <v>81</v>
      </c>
      <c r="M407" s="29" t="s">
        <v>38</v>
      </c>
      <c r="N407" s="31">
        <v>1807.88</v>
      </c>
    </row>
    <row r="408" ht="29.75" spans="1:14">
      <c r="A408" s="29" t="s">
        <v>1582</v>
      </c>
      <c r="B408" s="30">
        <v>45270</v>
      </c>
      <c r="C408" s="29" t="s">
        <v>1583</v>
      </c>
      <c r="D408" s="29" t="s">
        <v>32</v>
      </c>
      <c r="E408" s="31">
        <v>4</v>
      </c>
      <c r="F408" s="31">
        <v>66.1</v>
      </c>
      <c r="G408" s="29" t="s">
        <v>763</v>
      </c>
      <c r="H408" s="29" t="s">
        <v>65</v>
      </c>
      <c r="I408" s="29" t="s">
        <v>43</v>
      </c>
      <c r="J408" s="29" t="s">
        <v>1584</v>
      </c>
      <c r="K408" s="31">
        <v>9</v>
      </c>
      <c r="L408" s="29" t="s">
        <v>81</v>
      </c>
      <c r="M408" s="29" t="s">
        <v>76</v>
      </c>
      <c r="N408" s="31">
        <v>264.4</v>
      </c>
    </row>
    <row r="409" ht="29.75" spans="1:14">
      <c r="A409" s="29" t="s">
        <v>1585</v>
      </c>
      <c r="B409" s="30">
        <v>45151</v>
      </c>
      <c r="C409" s="29" t="s">
        <v>1586</v>
      </c>
      <c r="D409" s="29" t="s">
        <v>32</v>
      </c>
      <c r="E409" s="31">
        <v>4</v>
      </c>
      <c r="F409" s="31">
        <v>547.32</v>
      </c>
      <c r="G409" s="29" t="s">
        <v>1054</v>
      </c>
      <c r="H409" s="29" t="s">
        <v>65</v>
      </c>
      <c r="I409" s="29" t="s">
        <v>43</v>
      </c>
      <c r="J409" s="29" t="s">
        <v>1587</v>
      </c>
      <c r="K409" s="31">
        <v>8</v>
      </c>
      <c r="L409" s="29" t="s">
        <v>37</v>
      </c>
      <c r="M409" s="29" t="s">
        <v>22</v>
      </c>
      <c r="N409" s="31">
        <v>2189.28</v>
      </c>
    </row>
    <row r="410" ht="29.75" spans="1:14">
      <c r="A410" s="29" t="s">
        <v>1588</v>
      </c>
      <c r="B410" s="30">
        <v>45658</v>
      </c>
      <c r="C410" s="29" t="s">
        <v>1589</v>
      </c>
      <c r="D410" s="29" t="s">
        <v>48</v>
      </c>
      <c r="E410" s="31">
        <v>3</v>
      </c>
      <c r="F410" s="31">
        <v>412.53</v>
      </c>
      <c r="G410" s="29" t="s">
        <v>1590</v>
      </c>
      <c r="H410" s="29" t="s">
        <v>27</v>
      </c>
      <c r="I410" s="29" t="s">
        <v>89</v>
      </c>
      <c r="J410" s="29" t="s">
        <v>1591</v>
      </c>
      <c r="K410" s="31">
        <v>6</v>
      </c>
      <c r="L410" s="29" t="s">
        <v>81</v>
      </c>
      <c r="M410" s="29" t="s">
        <v>76</v>
      </c>
      <c r="N410" s="31">
        <v>1237.59</v>
      </c>
    </row>
    <row r="411" ht="29.75" spans="1:14">
      <c r="A411" s="29" t="s">
        <v>1592</v>
      </c>
      <c r="B411" s="30">
        <v>45105</v>
      </c>
      <c r="C411" s="29" t="s">
        <v>1593</v>
      </c>
      <c r="D411" s="29" t="s">
        <v>73</v>
      </c>
      <c r="E411" s="31">
        <v>5</v>
      </c>
      <c r="F411" s="31">
        <v>84.13</v>
      </c>
      <c r="G411" s="29" t="s">
        <v>1594</v>
      </c>
      <c r="H411" s="29" t="s">
        <v>27</v>
      </c>
      <c r="I411" s="29" t="s">
        <v>50</v>
      </c>
      <c r="J411" s="29" t="s">
        <v>1595</v>
      </c>
      <c r="K411" s="31">
        <v>9</v>
      </c>
      <c r="L411" s="29" t="s">
        <v>21</v>
      </c>
      <c r="M411" s="29" t="s">
        <v>76</v>
      </c>
      <c r="N411" s="31">
        <v>420.65</v>
      </c>
    </row>
    <row r="412" ht="29.75" spans="1:14">
      <c r="A412" s="29" t="s">
        <v>1596</v>
      </c>
      <c r="B412" s="30">
        <v>45309</v>
      </c>
      <c r="C412" s="29" t="s">
        <v>1597</v>
      </c>
      <c r="D412" s="29" t="s">
        <v>32</v>
      </c>
      <c r="E412" s="31">
        <v>2</v>
      </c>
      <c r="F412" s="31">
        <v>518.23</v>
      </c>
      <c r="G412" s="29" t="s">
        <v>1598</v>
      </c>
      <c r="H412" s="29" t="s">
        <v>18</v>
      </c>
      <c r="I412" s="29" t="s">
        <v>19</v>
      </c>
      <c r="J412" s="29" t="s">
        <v>1599</v>
      </c>
      <c r="K412" s="31">
        <v>5</v>
      </c>
      <c r="L412" s="29"/>
      <c r="M412" s="29" t="s">
        <v>38</v>
      </c>
      <c r="N412" s="31">
        <v>1036.46</v>
      </c>
    </row>
    <row r="413" ht="29.75" spans="1:14">
      <c r="A413" s="29" t="s">
        <v>1600</v>
      </c>
      <c r="B413" s="30">
        <v>45462</v>
      </c>
      <c r="C413" s="29" t="s">
        <v>1601</v>
      </c>
      <c r="D413" s="29" t="s">
        <v>73</v>
      </c>
      <c r="E413" s="31">
        <v>2</v>
      </c>
      <c r="F413" s="31">
        <v>39.51</v>
      </c>
      <c r="G413" s="29" t="s">
        <v>630</v>
      </c>
      <c r="H413" s="29" t="s">
        <v>27</v>
      </c>
      <c r="I413" s="29" t="s">
        <v>19</v>
      </c>
      <c r="J413" s="29" t="s">
        <v>1602</v>
      </c>
      <c r="K413" s="31">
        <v>5</v>
      </c>
      <c r="L413" s="29"/>
      <c r="M413" s="29" t="s">
        <v>45</v>
      </c>
      <c r="N413" s="31">
        <v>79.02</v>
      </c>
    </row>
    <row r="414" ht="29.75" spans="1:14">
      <c r="A414" s="29" t="s">
        <v>1603</v>
      </c>
      <c r="B414" s="30">
        <v>45758</v>
      </c>
      <c r="C414" s="29" t="s">
        <v>1604</v>
      </c>
      <c r="D414" s="29" t="s">
        <v>32</v>
      </c>
      <c r="E414" s="31">
        <v>5</v>
      </c>
      <c r="F414" s="31">
        <v>133.01</v>
      </c>
      <c r="G414" s="29" t="s">
        <v>1605</v>
      </c>
      <c r="H414" s="29" t="s">
        <v>34</v>
      </c>
      <c r="I414" s="29" t="s">
        <v>43</v>
      </c>
      <c r="J414" s="29" t="s">
        <v>1606</v>
      </c>
      <c r="K414" s="31">
        <v>10</v>
      </c>
      <c r="L414" s="29"/>
      <c r="M414" s="29" t="s">
        <v>45</v>
      </c>
      <c r="N414" s="31">
        <v>665.05</v>
      </c>
    </row>
    <row r="415" ht="29.75" spans="1:14">
      <c r="A415" s="29" t="s">
        <v>1607</v>
      </c>
      <c r="B415" s="30">
        <v>45207</v>
      </c>
      <c r="C415" s="29" t="s">
        <v>1608</v>
      </c>
      <c r="D415" s="29" t="s">
        <v>32</v>
      </c>
      <c r="E415" s="31">
        <v>1</v>
      </c>
      <c r="F415" s="31">
        <v>118.8</v>
      </c>
      <c r="G415" s="29" t="s">
        <v>1609</v>
      </c>
      <c r="H415" s="29" t="s">
        <v>27</v>
      </c>
      <c r="I415" s="29" t="s">
        <v>50</v>
      </c>
      <c r="J415" s="29" t="s">
        <v>1610</v>
      </c>
      <c r="K415" s="31">
        <v>6</v>
      </c>
      <c r="L415" s="29" t="s">
        <v>21</v>
      </c>
      <c r="M415" s="29" t="s">
        <v>38</v>
      </c>
      <c r="N415" s="31">
        <v>118.8</v>
      </c>
    </row>
    <row r="416" ht="29.75" spans="1:14">
      <c r="A416" s="29" t="s">
        <v>1611</v>
      </c>
      <c r="B416" s="30">
        <v>45781</v>
      </c>
      <c r="C416" s="29" t="s">
        <v>1612</v>
      </c>
      <c r="D416" s="29" t="s">
        <v>73</v>
      </c>
      <c r="E416" s="31">
        <v>2</v>
      </c>
      <c r="F416" s="31">
        <v>139.57</v>
      </c>
      <c r="G416" s="29" t="s">
        <v>1613</v>
      </c>
      <c r="H416" s="29" t="s">
        <v>65</v>
      </c>
      <c r="I416" s="29" t="s">
        <v>50</v>
      </c>
      <c r="J416" s="29" t="s">
        <v>1614</v>
      </c>
      <c r="K416" s="31">
        <v>4</v>
      </c>
      <c r="L416" s="29" t="s">
        <v>81</v>
      </c>
      <c r="M416" s="29" t="s">
        <v>45</v>
      </c>
      <c r="N416" s="31">
        <v>279.14</v>
      </c>
    </row>
    <row r="417" ht="29.75" spans="1:14">
      <c r="A417" s="29" t="s">
        <v>1615</v>
      </c>
      <c r="B417" s="30">
        <v>45753</v>
      </c>
      <c r="C417" s="29" t="s">
        <v>1616</v>
      </c>
      <c r="D417" s="29" t="s">
        <v>41</v>
      </c>
      <c r="E417" s="31">
        <v>1</v>
      </c>
      <c r="F417" s="31">
        <v>184.15</v>
      </c>
      <c r="G417" s="29" t="s">
        <v>1074</v>
      </c>
      <c r="H417" s="29" t="s">
        <v>60</v>
      </c>
      <c r="I417" s="29" t="s">
        <v>19</v>
      </c>
      <c r="J417" s="29" t="s">
        <v>1617</v>
      </c>
      <c r="K417" s="31">
        <v>5</v>
      </c>
      <c r="L417" s="29" t="s">
        <v>37</v>
      </c>
      <c r="M417" s="29" t="s">
        <v>45</v>
      </c>
      <c r="N417" s="31">
        <v>184.15</v>
      </c>
    </row>
    <row r="418" ht="29.75" spans="1:14">
      <c r="A418" s="29" t="s">
        <v>1618</v>
      </c>
      <c r="B418" s="30">
        <v>45125</v>
      </c>
      <c r="C418" s="29" t="s">
        <v>1619</v>
      </c>
      <c r="D418" s="29" t="s">
        <v>58</v>
      </c>
      <c r="E418" s="31">
        <v>2</v>
      </c>
      <c r="F418" s="31">
        <v>644.05</v>
      </c>
      <c r="G418" s="29" t="s">
        <v>1620</v>
      </c>
      <c r="H418" s="29" t="s">
        <v>60</v>
      </c>
      <c r="I418" s="29" t="s">
        <v>35</v>
      </c>
      <c r="J418" s="29" t="s">
        <v>1621</v>
      </c>
      <c r="K418" s="31">
        <v>5</v>
      </c>
      <c r="L418" s="29" t="s">
        <v>81</v>
      </c>
      <c r="M418" s="29" t="s">
        <v>29</v>
      </c>
      <c r="N418" s="31">
        <v>1288.1</v>
      </c>
    </row>
    <row r="419" ht="29.75" spans="1:14">
      <c r="A419" s="29" t="s">
        <v>1622</v>
      </c>
      <c r="B419" s="30">
        <v>45223</v>
      </c>
      <c r="C419" s="29" t="s">
        <v>1623</v>
      </c>
      <c r="D419" s="29" t="s">
        <v>58</v>
      </c>
      <c r="E419" s="31">
        <v>5</v>
      </c>
      <c r="F419" s="31">
        <v>55.41</v>
      </c>
      <c r="G419" s="29" t="s">
        <v>1624</v>
      </c>
      <c r="H419" s="29" t="s">
        <v>27</v>
      </c>
      <c r="I419" s="29" t="s">
        <v>35</v>
      </c>
      <c r="J419" s="29" t="s">
        <v>1625</v>
      </c>
      <c r="K419" s="31">
        <v>5</v>
      </c>
      <c r="L419" s="29"/>
      <c r="M419" s="29" t="s">
        <v>76</v>
      </c>
      <c r="N419" s="31">
        <v>277.05</v>
      </c>
    </row>
    <row r="420" ht="29.75" spans="1:14">
      <c r="A420" s="29" t="s">
        <v>1626</v>
      </c>
      <c r="B420" s="30">
        <v>44937</v>
      </c>
      <c r="C420" s="29" t="s">
        <v>1627</v>
      </c>
      <c r="D420" s="29" t="s">
        <v>48</v>
      </c>
      <c r="E420" s="31">
        <v>1</v>
      </c>
      <c r="F420" s="31">
        <v>310.93</v>
      </c>
      <c r="G420" s="29" t="s">
        <v>1628</v>
      </c>
      <c r="H420" s="29" t="s">
        <v>27</v>
      </c>
      <c r="I420" s="29" t="s">
        <v>35</v>
      </c>
      <c r="J420" s="29" t="s">
        <v>1629</v>
      </c>
      <c r="K420" s="31">
        <v>3</v>
      </c>
      <c r="L420" s="29"/>
      <c r="M420" s="29" t="s">
        <v>45</v>
      </c>
      <c r="N420" s="31">
        <v>310.93</v>
      </c>
    </row>
    <row r="421" ht="29.75" spans="1:14">
      <c r="A421" s="29" t="s">
        <v>1630</v>
      </c>
      <c r="B421" s="30">
        <v>45399</v>
      </c>
      <c r="C421" s="29" t="s">
        <v>1631</v>
      </c>
      <c r="D421" s="29" t="s">
        <v>32</v>
      </c>
      <c r="E421" s="31">
        <v>2</v>
      </c>
      <c r="F421" s="31">
        <v>216.66</v>
      </c>
      <c r="G421" s="29" t="s">
        <v>1376</v>
      </c>
      <c r="H421" s="29" t="s">
        <v>18</v>
      </c>
      <c r="I421" s="29" t="s">
        <v>89</v>
      </c>
      <c r="J421" s="29" t="s">
        <v>1632</v>
      </c>
      <c r="K421" s="31">
        <v>6</v>
      </c>
      <c r="L421" s="29" t="s">
        <v>37</v>
      </c>
      <c r="M421" s="29" t="s">
        <v>22</v>
      </c>
      <c r="N421" s="31">
        <v>433.32</v>
      </c>
    </row>
    <row r="422" ht="29.75" spans="1:14">
      <c r="A422" s="29" t="s">
        <v>1633</v>
      </c>
      <c r="B422" s="30">
        <v>45625</v>
      </c>
      <c r="C422" s="29" t="s">
        <v>1634</v>
      </c>
      <c r="D422" s="29" t="s">
        <v>25</v>
      </c>
      <c r="E422" s="31">
        <v>1</v>
      </c>
      <c r="F422" s="31">
        <v>452.7</v>
      </c>
      <c r="G422" s="29" t="s">
        <v>1635</v>
      </c>
      <c r="H422" s="29" t="s">
        <v>18</v>
      </c>
      <c r="I422" s="29" t="s">
        <v>19</v>
      </c>
      <c r="J422" s="29" t="s">
        <v>1636</v>
      </c>
      <c r="K422" s="31">
        <v>5</v>
      </c>
      <c r="L422" s="29" t="s">
        <v>37</v>
      </c>
      <c r="M422" s="29" t="s">
        <v>22</v>
      </c>
      <c r="N422" s="31">
        <v>452.7</v>
      </c>
    </row>
    <row r="423" ht="29.75" spans="1:14">
      <c r="A423" s="29" t="s">
        <v>1637</v>
      </c>
      <c r="B423" s="30">
        <v>45214</v>
      </c>
      <c r="C423" s="29" t="s">
        <v>1638</v>
      </c>
      <c r="D423" s="29" t="s">
        <v>41</v>
      </c>
      <c r="E423" s="31">
        <v>2</v>
      </c>
      <c r="F423" s="31">
        <v>288.21</v>
      </c>
      <c r="G423" s="29" t="s">
        <v>1639</v>
      </c>
      <c r="H423" s="29" t="s">
        <v>18</v>
      </c>
      <c r="I423" s="29" t="s">
        <v>35</v>
      </c>
      <c r="J423" s="29" t="s">
        <v>1640</v>
      </c>
      <c r="K423" s="31">
        <v>5</v>
      </c>
      <c r="L423" s="29"/>
      <c r="M423" s="29" t="s">
        <v>38</v>
      </c>
      <c r="N423" s="31">
        <v>576.42</v>
      </c>
    </row>
    <row r="424" ht="29.75" spans="1:14">
      <c r="A424" s="29" t="s">
        <v>1641</v>
      </c>
      <c r="B424" s="30">
        <v>45082</v>
      </c>
      <c r="C424" s="29" t="s">
        <v>1642</v>
      </c>
      <c r="D424" s="29" t="s">
        <v>25</v>
      </c>
      <c r="E424" s="31">
        <v>4</v>
      </c>
      <c r="F424" s="31">
        <v>206.6</v>
      </c>
      <c r="G424" s="29" t="s">
        <v>105</v>
      </c>
      <c r="H424" s="29" t="s">
        <v>60</v>
      </c>
      <c r="I424" s="29" t="s">
        <v>43</v>
      </c>
      <c r="J424" s="29" t="s">
        <v>1643</v>
      </c>
      <c r="K424" s="31">
        <v>6</v>
      </c>
      <c r="L424" s="29" t="s">
        <v>81</v>
      </c>
      <c r="M424" s="29" t="s">
        <v>29</v>
      </c>
      <c r="N424" s="31">
        <v>826.4</v>
      </c>
    </row>
    <row r="425" ht="29.75" spans="1:14">
      <c r="A425" s="29" t="s">
        <v>1644</v>
      </c>
      <c r="B425" s="30">
        <v>45493</v>
      </c>
      <c r="C425" s="29" t="s">
        <v>1645</v>
      </c>
      <c r="D425" s="29" t="s">
        <v>48</v>
      </c>
      <c r="E425" s="31">
        <v>4</v>
      </c>
      <c r="F425" s="31">
        <v>685.2</v>
      </c>
      <c r="G425" s="29" t="s">
        <v>1125</v>
      </c>
      <c r="H425" s="29" t="s">
        <v>60</v>
      </c>
      <c r="I425" s="29" t="s">
        <v>35</v>
      </c>
      <c r="J425" s="29" t="s">
        <v>1646</v>
      </c>
      <c r="K425" s="31">
        <v>6</v>
      </c>
      <c r="L425" s="29" t="s">
        <v>81</v>
      </c>
      <c r="M425" s="29" t="s">
        <v>76</v>
      </c>
      <c r="N425" s="31">
        <v>2740.8</v>
      </c>
    </row>
    <row r="426" ht="29.75" spans="1:14">
      <c r="A426" s="29" t="s">
        <v>1647</v>
      </c>
      <c r="B426" s="30">
        <v>45028</v>
      </c>
      <c r="C426" s="29" t="s">
        <v>1648</v>
      </c>
      <c r="D426" s="29" t="s">
        <v>41</v>
      </c>
      <c r="E426" s="31">
        <v>5</v>
      </c>
      <c r="F426" s="31">
        <v>22.94</v>
      </c>
      <c r="G426" s="29" t="s">
        <v>1260</v>
      </c>
      <c r="H426" s="29" t="s">
        <v>65</v>
      </c>
      <c r="I426" s="29" t="s">
        <v>89</v>
      </c>
      <c r="J426" s="29" t="s">
        <v>1649</v>
      </c>
      <c r="K426" s="31">
        <v>10</v>
      </c>
      <c r="L426" s="29"/>
      <c r="M426" s="29" t="s">
        <v>38</v>
      </c>
      <c r="N426" s="31">
        <v>114.7</v>
      </c>
    </row>
    <row r="427" ht="29.75" spans="1:14">
      <c r="A427" s="29" t="s">
        <v>1650</v>
      </c>
      <c r="B427" s="30">
        <v>44994</v>
      </c>
      <c r="C427" s="29" t="s">
        <v>1651</v>
      </c>
      <c r="D427" s="29" t="s">
        <v>58</v>
      </c>
      <c r="E427" s="31">
        <v>2</v>
      </c>
      <c r="F427" s="31">
        <v>301.88</v>
      </c>
      <c r="G427" s="29" t="s">
        <v>1652</v>
      </c>
      <c r="H427" s="29" t="s">
        <v>60</v>
      </c>
      <c r="I427" s="29" t="s">
        <v>43</v>
      </c>
      <c r="J427" s="29" t="s">
        <v>1653</v>
      </c>
      <c r="K427" s="31">
        <v>5</v>
      </c>
      <c r="L427" s="29" t="s">
        <v>81</v>
      </c>
      <c r="M427" s="29" t="s">
        <v>38</v>
      </c>
      <c r="N427" s="31">
        <v>603.76</v>
      </c>
    </row>
    <row r="428" ht="29.75" spans="1:14">
      <c r="A428" s="29" t="s">
        <v>1654</v>
      </c>
      <c r="B428" s="30">
        <v>45732</v>
      </c>
      <c r="C428" s="29" t="s">
        <v>1655</v>
      </c>
      <c r="D428" s="29" t="s">
        <v>16</v>
      </c>
      <c r="E428" s="31">
        <v>5</v>
      </c>
      <c r="F428" s="31">
        <v>57.45</v>
      </c>
      <c r="G428" s="29" t="s">
        <v>1656</v>
      </c>
      <c r="H428" s="29" t="s">
        <v>65</v>
      </c>
      <c r="I428" s="29" t="s">
        <v>35</v>
      </c>
      <c r="J428" s="29" t="s">
        <v>1657</v>
      </c>
      <c r="K428" s="31">
        <v>10</v>
      </c>
      <c r="L428" s="29"/>
      <c r="M428" s="29" t="s">
        <v>45</v>
      </c>
      <c r="N428" s="31">
        <v>287.25</v>
      </c>
    </row>
    <row r="429" ht="29.75" spans="1:14">
      <c r="A429" s="29" t="s">
        <v>1658</v>
      </c>
      <c r="B429" s="30">
        <v>45644</v>
      </c>
      <c r="C429" s="29" t="s">
        <v>1659</v>
      </c>
      <c r="D429" s="29" t="s">
        <v>73</v>
      </c>
      <c r="E429" s="31">
        <v>1</v>
      </c>
      <c r="F429" s="31">
        <v>161.24</v>
      </c>
      <c r="G429" s="29" t="s">
        <v>1660</v>
      </c>
      <c r="H429" s="29" t="s">
        <v>34</v>
      </c>
      <c r="I429" s="29" t="s">
        <v>89</v>
      </c>
      <c r="J429" s="29" t="s">
        <v>1661</v>
      </c>
      <c r="K429" s="31">
        <v>3</v>
      </c>
      <c r="L429" s="29" t="s">
        <v>81</v>
      </c>
      <c r="M429" s="29" t="s">
        <v>22</v>
      </c>
      <c r="N429" s="31">
        <v>161.24</v>
      </c>
    </row>
    <row r="430" ht="29.75" spans="1:14">
      <c r="A430" s="29" t="s">
        <v>1662</v>
      </c>
      <c r="B430" s="30">
        <v>45622</v>
      </c>
      <c r="C430" s="29" t="s">
        <v>1663</v>
      </c>
      <c r="D430" s="29" t="s">
        <v>41</v>
      </c>
      <c r="E430" s="31">
        <v>4</v>
      </c>
      <c r="F430" s="31">
        <v>262.58</v>
      </c>
      <c r="G430" s="29" t="s">
        <v>161</v>
      </c>
      <c r="H430" s="29" t="s">
        <v>27</v>
      </c>
      <c r="I430" s="29" t="s">
        <v>35</v>
      </c>
      <c r="J430" s="29" t="s">
        <v>1664</v>
      </c>
      <c r="K430" s="31">
        <v>8</v>
      </c>
      <c r="L430" s="29" t="s">
        <v>81</v>
      </c>
      <c r="M430" s="29" t="s">
        <v>38</v>
      </c>
      <c r="N430" s="31">
        <v>1050.32</v>
      </c>
    </row>
    <row r="431" ht="29.75" spans="1:14">
      <c r="A431" s="29" t="s">
        <v>1665</v>
      </c>
      <c r="B431" s="30">
        <v>45645</v>
      </c>
      <c r="C431" s="29" t="s">
        <v>1666</v>
      </c>
      <c r="D431" s="29" t="s">
        <v>48</v>
      </c>
      <c r="E431" s="31">
        <v>4</v>
      </c>
      <c r="F431" s="31">
        <v>515.19</v>
      </c>
      <c r="G431" s="29" t="s">
        <v>466</v>
      </c>
      <c r="H431" s="29" t="s">
        <v>34</v>
      </c>
      <c r="I431" s="29" t="s">
        <v>89</v>
      </c>
      <c r="J431" s="29" t="s">
        <v>1667</v>
      </c>
      <c r="K431" s="31">
        <v>9</v>
      </c>
      <c r="L431" s="29" t="s">
        <v>21</v>
      </c>
      <c r="M431" s="29" t="s">
        <v>45</v>
      </c>
      <c r="N431" s="31">
        <v>2060.76</v>
      </c>
    </row>
    <row r="432" ht="29.75" spans="1:14">
      <c r="A432" s="29" t="s">
        <v>1668</v>
      </c>
      <c r="B432" s="30">
        <v>45084</v>
      </c>
      <c r="C432" s="29" t="s">
        <v>1669</v>
      </c>
      <c r="D432" s="29" t="s">
        <v>25</v>
      </c>
      <c r="E432" s="31">
        <v>1</v>
      </c>
      <c r="F432" s="31">
        <v>450.07</v>
      </c>
      <c r="G432" s="29" t="s">
        <v>1670</v>
      </c>
      <c r="H432" s="29" t="s">
        <v>60</v>
      </c>
      <c r="I432" s="29" t="s">
        <v>19</v>
      </c>
      <c r="J432" s="29" t="s">
        <v>1671</v>
      </c>
      <c r="K432" s="31">
        <v>6</v>
      </c>
      <c r="L432" s="29" t="s">
        <v>37</v>
      </c>
      <c r="M432" s="29" t="s">
        <v>76</v>
      </c>
      <c r="N432" s="31">
        <v>450.07</v>
      </c>
    </row>
    <row r="433" ht="29.75" spans="1:14">
      <c r="A433" s="29" t="s">
        <v>1672</v>
      </c>
      <c r="B433" s="30">
        <v>45571</v>
      </c>
      <c r="C433" s="29" t="s">
        <v>1673</v>
      </c>
      <c r="D433" s="29" t="s">
        <v>48</v>
      </c>
      <c r="E433" s="31">
        <v>1</v>
      </c>
      <c r="F433" s="31">
        <v>52.54</v>
      </c>
      <c r="G433" s="29" t="s">
        <v>652</v>
      </c>
      <c r="H433" s="29" t="s">
        <v>18</v>
      </c>
      <c r="I433" s="29" t="s">
        <v>35</v>
      </c>
      <c r="J433" s="29" t="s">
        <v>1674</v>
      </c>
      <c r="K433" s="31">
        <v>6</v>
      </c>
      <c r="L433" s="29" t="s">
        <v>81</v>
      </c>
      <c r="M433" s="29" t="s">
        <v>45</v>
      </c>
      <c r="N433" s="31">
        <v>52.54</v>
      </c>
    </row>
    <row r="434" ht="29.75" spans="1:14">
      <c r="A434" s="29" t="s">
        <v>1675</v>
      </c>
      <c r="B434" s="30">
        <v>45173</v>
      </c>
      <c r="C434" s="29" t="s">
        <v>1676</v>
      </c>
      <c r="D434" s="29" t="s">
        <v>32</v>
      </c>
      <c r="E434" s="31">
        <v>2</v>
      </c>
      <c r="F434" s="31">
        <v>424.32</v>
      </c>
      <c r="G434" s="29" t="s">
        <v>1677</v>
      </c>
      <c r="H434" s="29" t="s">
        <v>34</v>
      </c>
      <c r="I434" s="29" t="s">
        <v>43</v>
      </c>
      <c r="J434" s="29" t="s">
        <v>1678</v>
      </c>
      <c r="K434" s="31">
        <v>6</v>
      </c>
      <c r="L434" s="29"/>
      <c r="M434" s="29" t="s">
        <v>29</v>
      </c>
      <c r="N434" s="31">
        <v>848.64</v>
      </c>
    </row>
    <row r="435" ht="29.75" spans="1:14">
      <c r="A435" s="29" t="s">
        <v>1679</v>
      </c>
      <c r="B435" s="30">
        <v>45164</v>
      </c>
      <c r="C435" s="29" t="s">
        <v>1680</v>
      </c>
      <c r="D435" s="29" t="s">
        <v>16</v>
      </c>
      <c r="E435" s="31">
        <v>3</v>
      </c>
      <c r="F435" s="31">
        <v>631.64</v>
      </c>
      <c r="G435" s="29" t="s">
        <v>996</v>
      </c>
      <c r="H435" s="29" t="s">
        <v>34</v>
      </c>
      <c r="I435" s="29" t="s">
        <v>43</v>
      </c>
      <c r="J435" s="29" t="s">
        <v>1681</v>
      </c>
      <c r="K435" s="31">
        <v>3</v>
      </c>
      <c r="L435" s="29" t="s">
        <v>37</v>
      </c>
      <c r="M435" s="29" t="s">
        <v>45</v>
      </c>
      <c r="N435" s="31">
        <v>1894.92</v>
      </c>
    </row>
    <row r="436" ht="29.75" spans="1:14">
      <c r="A436" s="29" t="s">
        <v>1682</v>
      </c>
      <c r="B436" s="30">
        <v>45221</v>
      </c>
      <c r="C436" s="29" t="s">
        <v>1683</v>
      </c>
      <c r="D436" s="29" t="s">
        <v>48</v>
      </c>
      <c r="E436" s="31">
        <v>5</v>
      </c>
      <c r="F436" s="31">
        <v>327.68</v>
      </c>
      <c r="G436" s="29" t="s">
        <v>316</v>
      </c>
      <c r="H436" s="29" t="s">
        <v>34</v>
      </c>
      <c r="I436" s="29" t="s">
        <v>43</v>
      </c>
      <c r="J436" s="29" t="s">
        <v>1684</v>
      </c>
      <c r="K436" s="31">
        <v>6</v>
      </c>
      <c r="L436" s="29"/>
      <c r="M436" s="29" t="s">
        <v>45</v>
      </c>
      <c r="N436" s="31">
        <v>1638.4</v>
      </c>
    </row>
    <row r="437" ht="29.75" spans="1:14">
      <c r="A437" s="29" t="s">
        <v>1685</v>
      </c>
      <c r="B437" s="30">
        <v>45073</v>
      </c>
      <c r="C437" s="29" t="s">
        <v>1686</v>
      </c>
      <c r="D437" s="29" t="s">
        <v>48</v>
      </c>
      <c r="E437" s="31">
        <v>1</v>
      </c>
      <c r="F437" s="31">
        <v>414.47</v>
      </c>
      <c r="G437" s="29" t="s">
        <v>1256</v>
      </c>
      <c r="H437" s="29" t="s">
        <v>18</v>
      </c>
      <c r="I437" s="29" t="s">
        <v>43</v>
      </c>
      <c r="J437" s="29" t="s">
        <v>1687</v>
      </c>
      <c r="K437" s="31">
        <v>3</v>
      </c>
      <c r="L437" s="29" t="s">
        <v>37</v>
      </c>
      <c r="M437" s="29" t="s">
        <v>22</v>
      </c>
      <c r="N437" s="31">
        <v>414.47</v>
      </c>
    </row>
    <row r="438" ht="29.75" spans="1:14">
      <c r="A438" s="29" t="s">
        <v>1688</v>
      </c>
      <c r="B438" s="30">
        <v>44968</v>
      </c>
      <c r="C438" s="29" t="s">
        <v>1689</v>
      </c>
      <c r="D438" s="29" t="s">
        <v>58</v>
      </c>
      <c r="E438" s="31">
        <v>4</v>
      </c>
      <c r="F438" s="31">
        <v>221.33</v>
      </c>
      <c r="G438" s="29" t="s">
        <v>652</v>
      </c>
      <c r="H438" s="29" t="s">
        <v>27</v>
      </c>
      <c r="I438" s="29" t="s">
        <v>89</v>
      </c>
      <c r="J438" s="29" t="s">
        <v>1690</v>
      </c>
      <c r="K438" s="31">
        <v>5</v>
      </c>
      <c r="L438" s="29"/>
      <c r="M438" s="29" t="s">
        <v>76</v>
      </c>
      <c r="N438" s="31">
        <v>885.32</v>
      </c>
    </row>
    <row r="439" ht="29.75" spans="1:14">
      <c r="A439" s="29" t="s">
        <v>1691</v>
      </c>
      <c r="B439" s="30">
        <v>45400</v>
      </c>
      <c r="C439" s="29" t="s">
        <v>1692</v>
      </c>
      <c r="D439" s="29" t="s">
        <v>25</v>
      </c>
      <c r="E439" s="31">
        <v>1</v>
      </c>
      <c r="F439" s="31">
        <v>512.39</v>
      </c>
      <c r="G439" s="29" t="s">
        <v>1693</v>
      </c>
      <c r="H439" s="29" t="s">
        <v>27</v>
      </c>
      <c r="I439" s="29" t="s">
        <v>50</v>
      </c>
      <c r="J439" s="29" t="s">
        <v>1694</v>
      </c>
      <c r="K439" s="31">
        <v>2</v>
      </c>
      <c r="L439" s="29" t="s">
        <v>37</v>
      </c>
      <c r="M439" s="29" t="s">
        <v>22</v>
      </c>
      <c r="N439" s="31">
        <v>512.39</v>
      </c>
    </row>
    <row r="440" ht="29.75" spans="1:14">
      <c r="A440" s="29" t="s">
        <v>1695</v>
      </c>
      <c r="B440" s="30">
        <v>45660</v>
      </c>
      <c r="C440" s="29" t="s">
        <v>1696</v>
      </c>
      <c r="D440" s="29" t="s">
        <v>32</v>
      </c>
      <c r="E440" s="31">
        <v>3</v>
      </c>
      <c r="F440" s="31">
        <v>459.34</v>
      </c>
      <c r="G440" s="29" t="s">
        <v>1697</v>
      </c>
      <c r="H440" s="29" t="s">
        <v>60</v>
      </c>
      <c r="I440" s="29" t="s">
        <v>89</v>
      </c>
      <c r="J440" s="29" t="s">
        <v>1698</v>
      </c>
      <c r="K440" s="31">
        <v>3</v>
      </c>
      <c r="L440" s="29" t="s">
        <v>21</v>
      </c>
      <c r="M440" s="29" t="s">
        <v>22</v>
      </c>
      <c r="N440" s="31">
        <v>1378.02</v>
      </c>
    </row>
    <row r="441" ht="29.75" spans="1:14">
      <c r="A441" s="29" t="s">
        <v>1699</v>
      </c>
      <c r="B441" s="30">
        <v>45543</v>
      </c>
      <c r="C441" s="29" t="s">
        <v>1700</v>
      </c>
      <c r="D441" s="29" t="s">
        <v>32</v>
      </c>
      <c r="E441" s="31">
        <v>1</v>
      </c>
      <c r="F441" s="31">
        <v>146.32</v>
      </c>
      <c r="G441" s="29" t="s">
        <v>1701</v>
      </c>
      <c r="H441" s="29" t="s">
        <v>27</v>
      </c>
      <c r="I441" s="29" t="s">
        <v>19</v>
      </c>
      <c r="J441" s="29" t="s">
        <v>1702</v>
      </c>
      <c r="K441" s="31">
        <v>4</v>
      </c>
      <c r="L441" s="29" t="s">
        <v>81</v>
      </c>
      <c r="M441" s="29" t="s">
        <v>45</v>
      </c>
      <c r="N441" s="31">
        <v>146.32</v>
      </c>
    </row>
    <row r="442" ht="29.75" spans="1:14">
      <c r="A442" s="29" t="s">
        <v>1703</v>
      </c>
      <c r="B442" s="30">
        <v>45601</v>
      </c>
      <c r="C442" s="29" t="s">
        <v>1704</v>
      </c>
      <c r="D442" s="29" t="s">
        <v>73</v>
      </c>
      <c r="E442" s="31">
        <v>4</v>
      </c>
      <c r="F442" s="31">
        <v>83.6</v>
      </c>
      <c r="G442" s="29" t="s">
        <v>1244</v>
      </c>
      <c r="H442" s="29" t="s">
        <v>18</v>
      </c>
      <c r="I442" s="29" t="s">
        <v>89</v>
      </c>
      <c r="J442" s="29" t="s">
        <v>1705</v>
      </c>
      <c r="K442" s="31">
        <v>4</v>
      </c>
      <c r="L442" s="29" t="s">
        <v>21</v>
      </c>
      <c r="M442" s="29" t="s">
        <v>45</v>
      </c>
      <c r="N442" s="31">
        <v>334.4</v>
      </c>
    </row>
    <row r="443" ht="29.75" spans="1:14">
      <c r="A443" s="29" t="s">
        <v>1706</v>
      </c>
      <c r="B443" s="30">
        <v>45273</v>
      </c>
      <c r="C443" s="29" t="s">
        <v>1707</v>
      </c>
      <c r="D443" s="29" t="s">
        <v>48</v>
      </c>
      <c r="E443" s="31">
        <v>2</v>
      </c>
      <c r="F443" s="31">
        <v>328.54</v>
      </c>
      <c r="G443" s="29" t="s">
        <v>1708</v>
      </c>
      <c r="H443" s="29" t="s">
        <v>60</v>
      </c>
      <c r="I443" s="29" t="s">
        <v>43</v>
      </c>
      <c r="J443" s="29" t="s">
        <v>1709</v>
      </c>
      <c r="K443" s="31">
        <v>6</v>
      </c>
      <c r="L443" s="29" t="s">
        <v>37</v>
      </c>
      <c r="M443" s="29" t="s">
        <v>38</v>
      </c>
      <c r="N443" s="31">
        <v>657.08</v>
      </c>
    </row>
    <row r="444" ht="29.75" spans="1:14">
      <c r="A444" s="29" t="s">
        <v>1710</v>
      </c>
      <c r="B444" s="30">
        <v>45418</v>
      </c>
      <c r="C444" s="29" t="s">
        <v>1711</v>
      </c>
      <c r="D444" s="29" t="s">
        <v>41</v>
      </c>
      <c r="E444" s="31">
        <v>5</v>
      </c>
      <c r="F444" s="31">
        <v>314.94</v>
      </c>
      <c r="G444" s="29" t="s">
        <v>1712</v>
      </c>
      <c r="H444" s="29" t="s">
        <v>65</v>
      </c>
      <c r="I444" s="29" t="s">
        <v>89</v>
      </c>
      <c r="J444" s="29" t="s">
        <v>1713</v>
      </c>
      <c r="K444" s="31">
        <v>8</v>
      </c>
      <c r="L444" s="29" t="s">
        <v>21</v>
      </c>
      <c r="M444" s="29" t="s">
        <v>22</v>
      </c>
      <c r="N444" s="31">
        <v>1574.7</v>
      </c>
    </row>
    <row r="445" ht="29.75" spans="1:14">
      <c r="A445" s="29" t="s">
        <v>1714</v>
      </c>
      <c r="B445" s="30">
        <v>45426</v>
      </c>
      <c r="C445" s="29" t="s">
        <v>1715</v>
      </c>
      <c r="D445" s="29" t="s">
        <v>41</v>
      </c>
      <c r="E445" s="31">
        <v>2</v>
      </c>
      <c r="F445" s="31">
        <v>69.64</v>
      </c>
      <c r="G445" s="29" t="s">
        <v>289</v>
      </c>
      <c r="H445" s="29" t="s">
        <v>65</v>
      </c>
      <c r="I445" s="29" t="s">
        <v>43</v>
      </c>
      <c r="J445" s="29" t="s">
        <v>1716</v>
      </c>
      <c r="K445" s="31">
        <v>6</v>
      </c>
      <c r="L445" s="29"/>
      <c r="M445" s="29" t="s">
        <v>45</v>
      </c>
      <c r="N445" s="31">
        <v>139.28</v>
      </c>
    </row>
    <row r="446" ht="29.75" spans="1:14">
      <c r="A446" s="29" t="s">
        <v>1717</v>
      </c>
      <c r="B446" s="30">
        <v>45451</v>
      </c>
      <c r="C446" s="29" t="s">
        <v>1718</v>
      </c>
      <c r="D446" s="29" t="s">
        <v>48</v>
      </c>
      <c r="E446" s="31">
        <v>1</v>
      </c>
      <c r="F446" s="31">
        <v>135.17</v>
      </c>
      <c r="G446" s="29" t="s">
        <v>1719</v>
      </c>
      <c r="H446" s="29" t="s">
        <v>27</v>
      </c>
      <c r="I446" s="29" t="s">
        <v>19</v>
      </c>
      <c r="J446" s="29" t="s">
        <v>1720</v>
      </c>
      <c r="K446" s="31">
        <v>6</v>
      </c>
      <c r="L446" s="29" t="s">
        <v>37</v>
      </c>
      <c r="M446" s="29" t="s">
        <v>22</v>
      </c>
      <c r="N446" s="31">
        <v>135.17</v>
      </c>
    </row>
    <row r="447" ht="29.75" spans="1:14">
      <c r="A447" s="29" t="s">
        <v>1721</v>
      </c>
      <c r="B447" s="30">
        <v>45374</v>
      </c>
      <c r="C447" s="29" t="s">
        <v>1722</v>
      </c>
      <c r="D447" s="29" t="s">
        <v>25</v>
      </c>
      <c r="E447" s="31">
        <v>1</v>
      </c>
      <c r="F447" s="31">
        <v>487.21</v>
      </c>
      <c r="G447" s="29" t="s">
        <v>1723</v>
      </c>
      <c r="H447" s="29" t="s">
        <v>65</v>
      </c>
      <c r="I447" s="29" t="s">
        <v>50</v>
      </c>
      <c r="J447" s="29" t="s">
        <v>1724</v>
      </c>
      <c r="K447" s="31">
        <v>3</v>
      </c>
      <c r="L447" s="29" t="s">
        <v>21</v>
      </c>
      <c r="M447" s="29" t="s">
        <v>29</v>
      </c>
      <c r="N447" s="31">
        <v>487.21</v>
      </c>
    </row>
    <row r="448" ht="29.75" spans="1:14">
      <c r="A448" s="29" t="s">
        <v>1725</v>
      </c>
      <c r="B448" s="30">
        <v>45217</v>
      </c>
      <c r="C448" s="29" t="s">
        <v>1726</v>
      </c>
      <c r="D448" s="29" t="s">
        <v>58</v>
      </c>
      <c r="E448" s="31">
        <v>5</v>
      </c>
      <c r="F448" s="31">
        <v>509.58</v>
      </c>
      <c r="G448" s="29" t="s">
        <v>1727</v>
      </c>
      <c r="H448" s="29" t="s">
        <v>27</v>
      </c>
      <c r="I448" s="29" t="s">
        <v>50</v>
      </c>
      <c r="J448" s="29" t="s">
        <v>1728</v>
      </c>
      <c r="K448" s="31">
        <v>6</v>
      </c>
      <c r="L448" s="29" t="s">
        <v>37</v>
      </c>
      <c r="M448" s="29" t="s">
        <v>22</v>
      </c>
      <c r="N448" s="31">
        <v>2547.9</v>
      </c>
    </row>
    <row r="449" ht="29.75" spans="1:14">
      <c r="A449" s="29" t="s">
        <v>1729</v>
      </c>
      <c r="B449" s="30">
        <v>45389</v>
      </c>
      <c r="C449" s="29" t="s">
        <v>1730</v>
      </c>
      <c r="D449" s="29" t="s">
        <v>48</v>
      </c>
      <c r="E449" s="31">
        <v>2</v>
      </c>
      <c r="F449" s="31">
        <v>416.81</v>
      </c>
      <c r="G449" s="29" t="s">
        <v>1731</v>
      </c>
      <c r="H449" s="29" t="s">
        <v>65</v>
      </c>
      <c r="I449" s="29" t="s">
        <v>43</v>
      </c>
      <c r="J449" s="29" t="s">
        <v>1732</v>
      </c>
      <c r="K449" s="31">
        <v>2</v>
      </c>
      <c r="L449" s="29"/>
      <c r="M449" s="29" t="s">
        <v>45</v>
      </c>
      <c r="N449" s="31">
        <v>833.62</v>
      </c>
    </row>
    <row r="450" ht="29.75" spans="1:14">
      <c r="A450" s="29" t="s">
        <v>1733</v>
      </c>
      <c r="B450" s="30">
        <v>45173</v>
      </c>
      <c r="C450" s="29" t="s">
        <v>1734</v>
      </c>
      <c r="D450" s="29" t="s">
        <v>58</v>
      </c>
      <c r="E450" s="31">
        <v>2</v>
      </c>
      <c r="F450" s="31">
        <v>160</v>
      </c>
      <c r="G450" s="29" t="s">
        <v>1735</v>
      </c>
      <c r="H450" s="29" t="s">
        <v>65</v>
      </c>
      <c r="I450" s="29" t="s">
        <v>89</v>
      </c>
      <c r="J450" s="29" t="s">
        <v>1736</v>
      </c>
      <c r="K450" s="31">
        <v>4</v>
      </c>
      <c r="L450" s="29" t="s">
        <v>21</v>
      </c>
      <c r="M450" s="29" t="s">
        <v>22</v>
      </c>
      <c r="N450" s="31">
        <v>320</v>
      </c>
    </row>
    <row r="451" ht="29.75" spans="1:14">
      <c r="A451" s="29" t="s">
        <v>1737</v>
      </c>
      <c r="B451" s="30">
        <v>45530</v>
      </c>
      <c r="C451" s="29" t="s">
        <v>1738</v>
      </c>
      <c r="D451" s="29" t="s">
        <v>32</v>
      </c>
      <c r="E451" s="31">
        <v>3</v>
      </c>
      <c r="F451" s="31">
        <v>253.05</v>
      </c>
      <c r="G451" s="29" t="s">
        <v>1739</v>
      </c>
      <c r="H451" s="29" t="s">
        <v>27</v>
      </c>
      <c r="I451" s="29" t="s">
        <v>89</v>
      </c>
      <c r="J451" s="29" t="s">
        <v>1740</v>
      </c>
      <c r="K451" s="31">
        <v>3</v>
      </c>
      <c r="L451" s="29"/>
      <c r="M451" s="29" t="s">
        <v>22</v>
      </c>
      <c r="N451" s="31">
        <v>759.15</v>
      </c>
    </row>
    <row r="452" ht="29.75" spans="1:14">
      <c r="A452" s="29" t="s">
        <v>1741</v>
      </c>
      <c r="B452" s="30">
        <v>45306</v>
      </c>
      <c r="C452" s="29" t="s">
        <v>1742</v>
      </c>
      <c r="D452" s="29" t="s">
        <v>16</v>
      </c>
      <c r="E452" s="31">
        <v>5</v>
      </c>
      <c r="F452" s="31">
        <v>615.1</v>
      </c>
      <c r="G452" s="29" t="s">
        <v>1743</v>
      </c>
      <c r="H452" s="29" t="s">
        <v>60</v>
      </c>
      <c r="I452" s="29" t="s">
        <v>43</v>
      </c>
      <c r="J452" s="29" t="s">
        <v>1744</v>
      </c>
      <c r="K452" s="31">
        <v>10</v>
      </c>
      <c r="L452" s="29" t="s">
        <v>81</v>
      </c>
      <c r="M452" s="29" t="s">
        <v>22</v>
      </c>
      <c r="N452" s="31">
        <v>3075.5</v>
      </c>
    </row>
    <row r="453" ht="29.75" spans="1:14">
      <c r="A453" s="29" t="s">
        <v>1745</v>
      </c>
      <c r="B453" s="30">
        <v>45017</v>
      </c>
      <c r="C453" s="29" t="s">
        <v>1746</v>
      </c>
      <c r="D453" s="29" t="s">
        <v>16</v>
      </c>
      <c r="E453" s="31">
        <v>1</v>
      </c>
      <c r="F453" s="31">
        <v>183.18</v>
      </c>
      <c r="G453" s="29" t="s">
        <v>450</v>
      </c>
      <c r="H453" s="29" t="s">
        <v>18</v>
      </c>
      <c r="I453" s="29" t="s">
        <v>35</v>
      </c>
      <c r="J453" s="29" t="s">
        <v>1747</v>
      </c>
      <c r="K453" s="31">
        <v>6</v>
      </c>
      <c r="L453" s="29" t="s">
        <v>21</v>
      </c>
      <c r="M453" s="29" t="s">
        <v>38</v>
      </c>
      <c r="N453" s="31">
        <v>183.18</v>
      </c>
    </row>
    <row r="454" ht="29.75" spans="1:14">
      <c r="A454" s="29" t="s">
        <v>1748</v>
      </c>
      <c r="B454" s="30">
        <v>45130</v>
      </c>
      <c r="C454" s="29" t="s">
        <v>1749</v>
      </c>
      <c r="D454" s="29" t="s">
        <v>48</v>
      </c>
      <c r="E454" s="31">
        <v>1</v>
      </c>
      <c r="F454" s="31">
        <v>75.78</v>
      </c>
      <c r="G454" s="29" t="s">
        <v>1750</v>
      </c>
      <c r="H454" s="29" t="s">
        <v>65</v>
      </c>
      <c r="I454" s="29" t="s">
        <v>89</v>
      </c>
      <c r="J454" s="29" t="s">
        <v>1751</v>
      </c>
      <c r="K454" s="31">
        <v>5</v>
      </c>
      <c r="L454" s="29" t="s">
        <v>21</v>
      </c>
      <c r="M454" s="29" t="s">
        <v>76</v>
      </c>
      <c r="N454" s="31">
        <v>75.78</v>
      </c>
    </row>
    <row r="455" ht="29.75" spans="1:14">
      <c r="A455" s="29" t="s">
        <v>1752</v>
      </c>
      <c r="B455" s="30">
        <v>45779</v>
      </c>
      <c r="C455" s="29" t="s">
        <v>1753</v>
      </c>
      <c r="D455" s="29" t="s">
        <v>32</v>
      </c>
      <c r="E455" s="31">
        <v>1</v>
      </c>
      <c r="F455" s="31">
        <v>675.57</v>
      </c>
      <c r="G455" s="29" t="s">
        <v>1754</v>
      </c>
      <c r="H455" s="29" t="s">
        <v>65</v>
      </c>
      <c r="I455" s="29" t="s">
        <v>19</v>
      </c>
      <c r="J455" s="29" t="s">
        <v>1755</v>
      </c>
      <c r="K455" s="31">
        <v>1</v>
      </c>
      <c r="L455" s="29" t="s">
        <v>81</v>
      </c>
      <c r="M455" s="29" t="s">
        <v>45</v>
      </c>
      <c r="N455" s="31">
        <v>675.57</v>
      </c>
    </row>
    <row r="456" ht="29.75" spans="1:14">
      <c r="A456" s="29" t="s">
        <v>1756</v>
      </c>
      <c r="B456" s="30">
        <v>45623</v>
      </c>
      <c r="C456" s="29" t="s">
        <v>1757</v>
      </c>
      <c r="D456" s="29" t="s">
        <v>58</v>
      </c>
      <c r="E456" s="31">
        <v>1</v>
      </c>
      <c r="F456" s="31">
        <v>109.29</v>
      </c>
      <c r="G456" s="29" t="s">
        <v>1758</v>
      </c>
      <c r="H456" s="29" t="s">
        <v>18</v>
      </c>
      <c r="I456" s="29" t="s">
        <v>35</v>
      </c>
      <c r="J456" s="29" t="s">
        <v>1759</v>
      </c>
      <c r="K456" s="31">
        <v>5</v>
      </c>
      <c r="L456" s="29" t="s">
        <v>37</v>
      </c>
      <c r="M456" s="29" t="s">
        <v>76</v>
      </c>
      <c r="N456" s="31">
        <v>109.29</v>
      </c>
    </row>
    <row r="457" ht="29.75" spans="1:14">
      <c r="A457" s="29" t="s">
        <v>1760</v>
      </c>
      <c r="B457" s="30">
        <v>45377</v>
      </c>
      <c r="C457" s="29" t="s">
        <v>1761</v>
      </c>
      <c r="D457" s="29" t="s">
        <v>25</v>
      </c>
      <c r="E457" s="31">
        <v>1</v>
      </c>
      <c r="F457" s="31">
        <v>639.83</v>
      </c>
      <c r="G457" s="29" t="s">
        <v>1762</v>
      </c>
      <c r="H457" s="29" t="s">
        <v>18</v>
      </c>
      <c r="I457" s="29" t="s">
        <v>89</v>
      </c>
      <c r="J457" s="29" t="s">
        <v>1763</v>
      </c>
      <c r="K457" s="31">
        <v>2</v>
      </c>
      <c r="L457" s="29" t="s">
        <v>21</v>
      </c>
      <c r="M457" s="29" t="s">
        <v>29</v>
      </c>
      <c r="N457" s="31">
        <v>639.83</v>
      </c>
    </row>
    <row r="458" ht="29.75" spans="1:14">
      <c r="A458" s="29" t="s">
        <v>1764</v>
      </c>
      <c r="B458" s="30">
        <v>45103</v>
      </c>
      <c r="C458" s="29" t="s">
        <v>1765</v>
      </c>
      <c r="D458" s="29" t="s">
        <v>73</v>
      </c>
      <c r="E458" s="31">
        <v>5</v>
      </c>
      <c r="F458" s="31">
        <v>62.81</v>
      </c>
      <c r="G458" s="29" t="s">
        <v>1364</v>
      </c>
      <c r="H458" s="29" t="s">
        <v>34</v>
      </c>
      <c r="I458" s="29" t="s">
        <v>19</v>
      </c>
      <c r="J458" s="29" t="s">
        <v>1766</v>
      </c>
      <c r="K458" s="31">
        <v>9</v>
      </c>
      <c r="L458" s="29" t="s">
        <v>21</v>
      </c>
      <c r="M458" s="29" t="s">
        <v>45</v>
      </c>
      <c r="N458" s="31">
        <v>314.05</v>
      </c>
    </row>
    <row r="459" ht="29.75" spans="1:14">
      <c r="A459" s="29" t="s">
        <v>1767</v>
      </c>
      <c r="B459" s="30">
        <v>45802</v>
      </c>
      <c r="C459" s="29" t="s">
        <v>1768</v>
      </c>
      <c r="D459" s="29" t="s">
        <v>73</v>
      </c>
      <c r="E459" s="31">
        <v>4</v>
      </c>
      <c r="F459" s="31">
        <v>615.83</v>
      </c>
      <c r="G459" s="29" t="s">
        <v>1769</v>
      </c>
      <c r="H459" s="29" t="s">
        <v>27</v>
      </c>
      <c r="I459" s="29" t="s">
        <v>43</v>
      </c>
      <c r="J459" s="29" t="s">
        <v>1770</v>
      </c>
      <c r="K459" s="31">
        <v>4</v>
      </c>
      <c r="L459" s="29" t="s">
        <v>81</v>
      </c>
      <c r="M459" s="29" t="s">
        <v>22</v>
      </c>
      <c r="N459" s="31">
        <v>2463.32</v>
      </c>
    </row>
    <row r="460" ht="29.75" spans="1:14">
      <c r="A460" s="29" t="s">
        <v>1771</v>
      </c>
      <c r="B460" s="30">
        <v>45475</v>
      </c>
      <c r="C460" s="29" t="s">
        <v>1772</v>
      </c>
      <c r="D460" s="29" t="s">
        <v>16</v>
      </c>
      <c r="E460" s="31">
        <v>4</v>
      </c>
      <c r="F460" s="31">
        <v>510.58</v>
      </c>
      <c r="G460" s="29" t="s">
        <v>399</v>
      </c>
      <c r="H460" s="29" t="s">
        <v>34</v>
      </c>
      <c r="I460" s="29" t="s">
        <v>43</v>
      </c>
      <c r="J460" s="29" t="s">
        <v>1773</v>
      </c>
      <c r="K460" s="31">
        <v>7</v>
      </c>
      <c r="L460" s="29" t="s">
        <v>81</v>
      </c>
      <c r="M460" s="29" t="s">
        <v>38</v>
      </c>
      <c r="N460" s="31">
        <v>2042.32</v>
      </c>
    </row>
    <row r="461" ht="29.75" spans="1:14">
      <c r="A461" s="29" t="s">
        <v>1774</v>
      </c>
      <c r="B461" s="30">
        <v>45497</v>
      </c>
      <c r="C461" s="29" t="s">
        <v>1775</v>
      </c>
      <c r="D461" s="29" t="s">
        <v>73</v>
      </c>
      <c r="E461" s="31">
        <v>1</v>
      </c>
      <c r="F461" s="31">
        <v>334.39</v>
      </c>
      <c r="G461" s="29" t="s">
        <v>1670</v>
      </c>
      <c r="H461" s="29" t="s">
        <v>34</v>
      </c>
      <c r="I461" s="29" t="s">
        <v>43</v>
      </c>
      <c r="J461" s="29" t="s">
        <v>1776</v>
      </c>
      <c r="K461" s="31">
        <v>2</v>
      </c>
      <c r="L461" s="29"/>
      <c r="M461" s="29" t="s">
        <v>22</v>
      </c>
      <c r="N461" s="31">
        <v>334.39</v>
      </c>
    </row>
    <row r="462" ht="29.75" spans="1:14">
      <c r="A462" s="29" t="s">
        <v>1777</v>
      </c>
      <c r="B462" s="30">
        <v>45571</v>
      </c>
      <c r="C462" s="29" t="s">
        <v>1778</v>
      </c>
      <c r="D462" s="29" t="s">
        <v>58</v>
      </c>
      <c r="E462" s="31">
        <v>1</v>
      </c>
      <c r="F462" s="31">
        <v>144.25</v>
      </c>
      <c r="G462" s="29" t="s">
        <v>1779</v>
      </c>
      <c r="H462" s="29" t="s">
        <v>65</v>
      </c>
      <c r="I462" s="29" t="s">
        <v>43</v>
      </c>
      <c r="J462" s="29" t="s">
        <v>1780</v>
      </c>
      <c r="K462" s="31">
        <v>2</v>
      </c>
      <c r="L462" s="29" t="s">
        <v>81</v>
      </c>
      <c r="M462" s="29" t="s">
        <v>29</v>
      </c>
      <c r="N462" s="31">
        <v>144.25</v>
      </c>
    </row>
    <row r="463" ht="29.75" spans="1:14">
      <c r="A463" s="29" t="s">
        <v>1781</v>
      </c>
      <c r="B463" s="30">
        <v>45451</v>
      </c>
      <c r="C463" s="29" t="s">
        <v>1782</v>
      </c>
      <c r="D463" s="29" t="s">
        <v>32</v>
      </c>
      <c r="E463" s="31">
        <v>1</v>
      </c>
      <c r="F463" s="31">
        <v>401.82</v>
      </c>
      <c r="G463" s="29" t="s">
        <v>972</v>
      </c>
      <c r="H463" s="29" t="s">
        <v>34</v>
      </c>
      <c r="I463" s="29" t="s">
        <v>19</v>
      </c>
      <c r="J463" s="29" t="s">
        <v>1783</v>
      </c>
      <c r="K463" s="31">
        <v>5</v>
      </c>
      <c r="L463" s="29" t="s">
        <v>37</v>
      </c>
      <c r="M463" s="29" t="s">
        <v>76</v>
      </c>
      <c r="N463" s="31">
        <v>401.82</v>
      </c>
    </row>
    <row r="464" ht="29.75" spans="1:14">
      <c r="A464" s="29" t="s">
        <v>1784</v>
      </c>
      <c r="B464" s="30">
        <v>45747</v>
      </c>
      <c r="C464" s="29" t="s">
        <v>1785</v>
      </c>
      <c r="D464" s="29" t="s">
        <v>25</v>
      </c>
      <c r="E464" s="31">
        <v>1</v>
      </c>
      <c r="F464" s="31">
        <v>252.68</v>
      </c>
      <c r="G464" s="29" t="s">
        <v>1786</v>
      </c>
      <c r="H464" s="29" t="s">
        <v>27</v>
      </c>
      <c r="I464" s="29" t="s">
        <v>35</v>
      </c>
      <c r="J464" s="29" t="s">
        <v>1787</v>
      </c>
      <c r="K464" s="31">
        <v>1</v>
      </c>
      <c r="L464" s="29"/>
      <c r="M464" s="29" t="s">
        <v>29</v>
      </c>
      <c r="N464" s="31">
        <v>252.68</v>
      </c>
    </row>
    <row r="465" ht="29.75" spans="1:14">
      <c r="A465" s="29" t="s">
        <v>1788</v>
      </c>
      <c r="B465" s="30">
        <v>45072</v>
      </c>
      <c r="C465" s="29" t="s">
        <v>1789</v>
      </c>
      <c r="D465" s="29" t="s">
        <v>58</v>
      </c>
      <c r="E465" s="31">
        <v>5</v>
      </c>
      <c r="F465" s="31">
        <v>662.78</v>
      </c>
      <c r="G465" s="29" t="s">
        <v>1790</v>
      </c>
      <c r="H465" s="29" t="s">
        <v>18</v>
      </c>
      <c r="I465" s="29" t="s">
        <v>19</v>
      </c>
      <c r="J465" s="29" t="s">
        <v>1791</v>
      </c>
      <c r="K465" s="31">
        <v>9</v>
      </c>
      <c r="L465" s="29" t="s">
        <v>21</v>
      </c>
      <c r="M465" s="29" t="s">
        <v>22</v>
      </c>
      <c r="N465" s="31">
        <v>3313.9</v>
      </c>
    </row>
    <row r="466" ht="29.75" spans="1:14">
      <c r="A466" s="29" t="s">
        <v>1792</v>
      </c>
      <c r="B466" s="30">
        <v>44999</v>
      </c>
      <c r="C466" s="29" t="s">
        <v>1793</v>
      </c>
      <c r="D466" s="29" t="s">
        <v>32</v>
      </c>
      <c r="E466" s="31">
        <v>4</v>
      </c>
      <c r="F466" s="31">
        <v>434.42</v>
      </c>
      <c r="G466" s="29" t="s">
        <v>1794</v>
      </c>
      <c r="H466" s="29" t="s">
        <v>27</v>
      </c>
      <c r="I466" s="29" t="s">
        <v>35</v>
      </c>
      <c r="J466" s="29" t="s">
        <v>1795</v>
      </c>
      <c r="K466" s="31">
        <v>6</v>
      </c>
      <c r="L466" s="29" t="s">
        <v>37</v>
      </c>
      <c r="M466" s="29" t="s">
        <v>76</v>
      </c>
      <c r="N466" s="31">
        <v>1737.68</v>
      </c>
    </row>
    <row r="467" ht="29.75" spans="1:14">
      <c r="A467" s="29" t="s">
        <v>1796</v>
      </c>
      <c r="B467" s="30">
        <v>45348</v>
      </c>
      <c r="C467" s="29" t="s">
        <v>1797</v>
      </c>
      <c r="D467" s="29" t="s">
        <v>48</v>
      </c>
      <c r="E467" s="31">
        <v>5</v>
      </c>
      <c r="F467" s="31">
        <v>513.49</v>
      </c>
      <c r="G467" s="29" t="s">
        <v>1798</v>
      </c>
      <c r="H467" s="29" t="s">
        <v>60</v>
      </c>
      <c r="I467" s="29" t="s">
        <v>35</v>
      </c>
      <c r="J467" s="29" t="s">
        <v>1799</v>
      </c>
      <c r="K467" s="31">
        <v>8</v>
      </c>
      <c r="L467" s="29"/>
      <c r="M467" s="29" t="s">
        <v>76</v>
      </c>
      <c r="N467" s="31">
        <v>2567.45</v>
      </c>
    </row>
    <row r="468" ht="29.75" spans="1:14">
      <c r="A468" s="29" t="s">
        <v>1800</v>
      </c>
      <c r="B468" s="30">
        <v>45125</v>
      </c>
      <c r="C468" s="29" t="s">
        <v>1801</v>
      </c>
      <c r="D468" s="29" t="s">
        <v>25</v>
      </c>
      <c r="E468" s="31">
        <v>1</v>
      </c>
      <c r="F468" s="31">
        <v>432.47</v>
      </c>
      <c r="G468" s="29" t="s">
        <v>161</v>
      </c>
      <c r="H468" s="29" t="s">
        <v>65</v>
      </c>
      <c r="I468" s="29" t="s">
        <v>50</v>
      </c>
      <c r="J468" s="29" t="s">
        <v>1802</v>
      </c>
      <c r="K468" s="31">
        <v>4</v>
      </c>
      <c r="L468" s="29" t="s">
        <v>37</v>
      </c>
      <c r="M468" s="29" t="s">
        <v>29</v>
      </c>
      <c r="N468" s="31">
        <v>432.47</v>
      </c>
    </row>
    <row r="469" ht="29.75" spans="1:14">
      <c r="A469" s="29" t="s">
        <v>1803</v>
      </c>
      <c r="B469" s="30">
        <v>45534</v>
      </c>
      <c r="C469" s="29" t="s">
        <v>1804</v>
      </c>
      <c r="D469" s="29" t="s">
        <v>73</v>
      </c>
      <c r="E469" s="31">
        <v>1</v>
      </c>
      <c r="F469" s="31">
        <v>45.94</v>
      </c>
      <c r="G469" s="29" t="s">
        <v>763</v>
      </c>
      <c r="H469" s="29" t="s">
        <v>65</v>
      </c>
      <c r="I469" s="29" t="s">
        <v>35</v>
      </c>
      <c r="J469" s="29" t="s">
        <v>1805</v>
      </c>
      <c r="K469" s="31">
        <v>2</v>
      </c>
      <c r="L469" s="29" t="s">
        <v>81</v>
      </c>
      <c r="M469" s="29" t="s">
        <v>38</v>
      </c>
      <c r="N469" s="31">
        <v>45.94</v>
      </c>
    </row>
    <row r="470" ht="29.75" spans="1:14">
      <c r="A470" s="29" t="s">
        <v>1806</v>
      </c>
      <c r="B470" s="30">
        <v>45829</v>
      </c>
      <c r="C470" s="29" t="s">
        <v>1807</v>
      </c>
      <c r="D470" s="29" t="s">
        <v>25</v>
      </c>
      <c r="E470" s="31">
        <v>1</v>
      </c>
      <c r="F470" s="31">
        <v>418.36</v>
      </c>
      <c r="G470" s="29" t="s">
        <v>1808</v>
      </c>
      <c r="H470" s="29" t="s">
        <v>34</v>
      </c>
      <c r="I470" s="29" t="s">
        <v>50</v>
      </c>
      <c r="J470" s="29" t="s">
        <v>1809</v>
      </c>
      <c r="K470" s="31">
        <v>5</v>
      </c>
      <c r="L470" s="29" t="s">
        <v>37</v>
      </c>
      <c r="M470" s="29" t="s">
        <v>38</v>
      </c>
      <c r="N470" s="31">
        <v>418.36</v>
      </c>
    </row>
    <row r="471" ht="29.75" spans="1:14">
      <c r="A471" s="29" t="s">
        <v>1810</v>
      </c>
      <c r="B471" s="30">
        <v>45256</v>
      </c>
      <c r="C471" s="29" t="s">
        <v>1811</v>
      </c>
      <c r="D471" s="29" t="s">
        <v>41</v>
      </c>
      <c r="E471" s="31">
        <v>5</v>
      </c>
      <c r="F471" s="31">
        <v>676.98</v>
      </c>
      <c r="G471" s="29" t="s">
        <v>618</v>
      </c>
      <c r="H471" s="29" t="s">
        <v>65</v>
      </c>
      <c r="I471" s="29" t="s">
        <v>35</v>
      </c>
      <c r="J471" s="29" t="s">
        <v>1812</v>
      </c>
      <c r="K471" s="31">
        <v>5</v>
      </c>
      <c r="L471" s="29"/>
      <c r="M471" s="29" t="s">
        <v>45</v>
      </c>
      <c r="N471" s="31">
        <v>3384.9</v>
      </c>
    </row>
    <row r="472" ht="29.75" spans="1:14">
      <c r="A472" s="29" t="s">
        <v>1813</v>
      </c>
      <c r="B472" s="30">
        <v>45198</v>
      </c>
      <c r="C472" s="29" t="s">
        <v>1814</v>
      </c>
      <c r="D472" s="29" t="s">
        <v>32</v>
      </c>
      <c r="E472" s="31">
        <v>4</v>
      </c>
      <c r="F472" s="31">
        <v>263.62</v>
      </c>
      <c r="G472" s="29" t="s">
        <v>1815</v>
      </c>
      <c r="H472" s="29" t="s">
        <v>65</v>
      </c>
      <c r="I472" s="29" t="s">
        <v>19</v>
      </c>
      <c r="J472" s="29" t="s">
        <v>1816</v>
      </c>
      <c r="K472" s="31">
        <v>5</v>
      </c>
      <c r="L472" s="29" t="s">
        <v>21</v>
      </c>
      <c r="M472" s="29" t="s">
        <v>38</v>
      </c>
      <c r="N472" s="31">
        <v>1054.48</v>
      </c>
    </row>
    <row r="473" ht="29.75" spans="1:14">
      <c r="A473" s="29" t="s">
        <v>1817</v>
      </c>
      <c r="B473" s="30">
        <v>45766</v>
      </c>
      <c r="C473" s="29" t="s">
        <v>1818</v>
      </c>
      <c r="D473" s="29" t="s">
        <v>73</v>
      </c>
      <c r="E473" s="31">
        <v>5</v>
      </c>
      <c r="F473" s="31">
        <v>551.27</v>
      </c>
      <c r="G473" s="29" t="s">
        <v>1819</v>
      </c>
      <c r="H473" s="29" t="s">
        <v>27</v>
      </c>
      <c r="I473" s="29" t="s">
        <v>35</v>
      </c>
      <c r="J473" s="29" t="s">
        <v>1820</v>
      </c>
      <c r="K473" s="31">
        <v>7</v>
      </c>
      <c r="L473" s="29" t="s">
        <v>37</v>
      </c>
      <c r="M473" s="29" t="s">
        <v>29</v>
      </c>
      <c r="N473" s="31">
        <v>2756.35</v>
      </c>
    </row>
    <row r="474" ht="29.75" spans="1:14">
      <c r="A474" s="29" t="s">
        <v>1821</v>
      </c>
      <c r="B474" s="30">
        <v>44932</v>
      </c>
      <c r="C474" s="29" t="s">
        <v>1822</v>
      </c>
      <c r="D474" s="29" t="s">
        <v>41</v>
      </c>
      <c r="E474" s="31">
        <v>3</v>
      </c>
      <c r="F474" s="31">
        <v>508.12</v>
      </c>
      <c r="G474" s="29" t="s">
        <v>1823</v>
      </c>
      <c r="H474" s="29" t="s">
        <v>34</v>
      </c>
      <c r="I474" s="29" t="s">
        <v>35</v>
      </c>
      <c r="J474" s="29" t="s">
        <v>1824</v>
      </c>
      <c r="K474" s="31">
        <v>8</v>
      </c>
      <c r="L474" s="29" t="s">
        <v>37</v>
      </c>
      <c r="M474" s="29" t="s">
        <v>29</v>
      </c>
      <c r="N474" s="31">
        <v>1524.36</v>
      </c>
    </row>
    <row r="475" ht="29.75" spans="1:14">
      <c r="A475" s="29" t="s">
        <v>1825</v>
      </c>
      <c r="B475" s="30">
        <v>45713</v>
      </c>
      <c r="C475" s="29" t="s">
        <v>1826</v>
      </c>
      <c r="D475" s="29" t="s">
        <v>41</v>
      </c>
      <c r="E475" s="31">
        <v>2</v>
      </c>
      <c r="F475" s="31">
        <v>14.93</v>
      </c>
      <c r="G475" s="29" t="s">
        <v>1827</v>
      </c>
      <c r="H475" s="29" t="s">
        <v>27</v>
      </c>
      <c r="I475" s="29" t="s">
        <v>19</v>
      </c>
      <c r="J475" s="29" t="s">
        <v>1828</v>
      </c>
      <c r="K475" s="31">
        <v>4</v>
      </c>
      <c r="L475" s="29"/>
      <c r="M475" s="29" t="s">
        <v>45</v>
      </c>
      <c r="N475" s="31">
        <v>29.86</v>
      </c>
    </row>
    <row r="476" ht="29.75" spans="1:14">
      <c r="A476" s="29" t="s">
        <v>1829</v>
      </c>
      <c r="B476" s="30">
        <v>45245</v>
      </c>
      <c r="C476" s="29" t="s">
        <v>1830</v>
      </c>
      <c r="D476" s="29" t="s">
        <v>48</v>
      </c>
      <c r="E476" s="31">
        <v>3</v>
      </c>
      <c r="F476" s="31">
        <v>229.34</v>
      </c>
      <c r="G476" s="29" t="s">
        <v>1340</v>
      </c>
      <c r="H476" s="29" t="s">
        <v>34</v>
      </c>
      <c r="I476" s="29" t="s">
        <v>19</v>
      </c>
      <c r="J476" s="29" t="s">
        <v>1831</v>
      </c>
      <c r="K476" s="31">
        <v>6</v>
      </c>
      <c r="L476" s="29" t="s">
        <v>21</v>
      </c>
      <c r="M476" s="29" t="s">
        <v>29</v>
      </c>
      <c r="N476" s="31">
        <v>688.02</v>
      </c>
    </row>
    <row r="477" ht="29.75" spans="1:14">
      <c r="A477" s="29" t="s">
        <v>1832</v>
      </c>
      <c r="B477" s="30">
        <v>45766</v>
      </c>
      <c r="C477" s="29" t="s">
        <v>1833</v>
      </c>
      <c r="D477" s="29" t="s">
        <v>32</v>
      </c>
      <c r="E477" s="31">
        <v>2</v>
      </c>
      <c r="F477" s="31">
        <v>438.62</v>
      </c>
      <c r="G477" s="29" t="s">
        <v>1834</v>
      </c>
      <c r="H477" s="29" t="s">
        <v>65</v>
      </c>
      <c r="I477" s="29" t="s">
        <v>35</v>
      </c>
      <c r="J477" s="29" t="s">
        <v>1835</v>
      </c>
      <c r="K477" s="31">
        <v>3</v>
      </c>
      <c r="L477" s="29" t="s">
        <v>21</v>
      </c>
      <c r="M477" s="29" t="s">
        <v>45</v>
      </c>
      <c r="N477" s="31">
        <v>877.24</v>
      </c>
    </row>
    <row r="478" ht="29.75" spans="1:14">
      <c r="A478" s="29" t="s">
        <v>1836</v>
      </c>
      <c r="B478" s="30">
        <v>45306</v>
      </c>
      <c r="C478" s="29" t="s">
        <v>1837</v>
      </c>
      <c r="D478" s="29" t="s">
        <v>25</v>
      </c>
      <c r="E478" s="31">
        <v>2</v>
      </c>
      <c r="F478" s="31">
        <v>513.59</v>
      </c>
      <c r="G478" s="29" t="s">
        <v>1838</v>
      </c>
      <c r="H478" s="29" t="s">
        <v>27</v>
      </c>
      <c r="I478" s="29" t="s">
        <v>43</v>
      </c>
      <c r="J478" s="29" t="s">
        <v>1839</v>
      </c>
      <c r="K478" s="31">
        <v>4</v>
      </c>
      <c r="L478" s="29" t="s">
        <v>37</v>
      </c>
      <c r="M478" s="29" t="s">
        <v>29</v>
      </c>
      <c r="N478" s="31">
        <v>1027.18</v>
      </c>
    </row>
    <row r="479" ht="29.75" spans="1:14">
      <c r="A479" s="29" t="s">
        <v>1840</v>
      </c>
      <c r="B479" s="30">
        <v>45721</v>
      </c>
      <c r="C479" s="29" t="s">
        <v>1841</v>
      </c>
      <c r="D479" s="29" t="s">
        <v>25</v>
      </c>
      <c r="E479" s="31">
        <v>2</v>
      </c>
      <c r="F479" s="31">
        <v>253.74</v>
      </c>
      <c r="G479" s="29" t="s">
        <v>1842</v>
      </c>
      <c r="H479" s="29" t="s">
        <v>27</v>
      </c>
      <c r="I479" s="29" t="s">
        <v>19</v>
      </c>
      <c r="J479" s="29" t="s">
        <v>1843</v>
      </c>
      <c r="K479" s="31">
        <v>5</v>
      </c>
      <c r="L479" s="29" t="s">
        <v>21</v>
      </c>
      <c r="M479" s="29" t="s">
        <v>76</v>
      </c>
      <c r="N479" s="31">
        <v>507.48</v>
      </c>
    </row>
    <row r="480" ht="29.75" spans="1:14">
      <c r="A480" s="29" t="s">
        <v>1844</v>
      </c>
      <c r="B480" s="30">
        <v>45597</v>
      </c>
      <c r="C480" s="29" t="s">
        <v>1845</v>
      </c>
      <c r="D480" s="29" t="s">
        <v>32</v>
      </c>
      <c r="E480" s="31">
        <v>3</v>
      </c>
      <c r="F480" s="31">
        <v>62.77</v>
      </c>
      <c r="G480" s="29" t="s">
        <v>105</v>
      </c>
      <c r="H480" s="29" t="s">
        <v>60</v>
      </c>
      <c r="I480" s="29" t="s">
        <v>19</v>
      </c>
      <c r="J480" s="29" t="s">
        <v>1846</v>
      </c>
      <c r="K480" s="31">
        <v>6</v>
      </c>
      <c r="L480" s="29" t="s">
        <v>37</v>
      </c>
      <c r="M480" s="29" t="s">
        <v>29</v>
      </c>
      <c r="N480" s="31">
        <v>188.31</v>
      </c>
    </row>
    <row r="481" ht="29.75" spans="1:14">
      <c r="A481" s="29" t="s">
        <v>1847</v>
      </c>
      <c r="B481" s="30">
        <v>44975</v>
      </c>
      <c r="C481" s="29" t="s">
        <v>1848</v>
      </c>
      <c r="D481" s="29" t="s">
        <v>16</v>
      </c>
      <c r="E481" s="31">
        <v>4</v>
      </c>
      <c r="F481" s="31">
        <v>25.29</v>
      </c>
      <c r="G481" s="29" t="s">
        <v>1849</v>
      </c>
      <c r="H481" s="29" t="s">
        <v>34</v>
      </c>
      <c r="I481" s="29" t="s">
        <v>89</v>
      </c>
      <c r="J481" s="29" t="s">
        <v>1850</v>
      </c>
      <c r="K481" s="31">
        <v>8</v>
      </c>
      <c r="L481" s="29"/>
      <c r="M481" s="29" t="s">
        <v>76</v>
      </c>
      <c r="N481" s="31">
        <v>101.16</v>
      </c>
    </row>
    <row r="482" ht="29.75" spans="1:14">
      <c r="A482" s="29" t="s">
        <v>1851</v>
      </c>
      <c r="B482" s="30">
        <v>45093</v>
      </c>
      <c r="C482" s="29" t="s">
        <v>1852</v>
      </c>
      <c r="D482" s="29" t="s">
        <v>41</v>
      </c>
      <c r="E482" s="31">
        <v>1</v>
      </c>
      <c r="F482" s="31">
        <v>335.1</v>
      </c>
      <c r="G482" s="29" t="s">
        <v>458</v>
      </c>
      <c r="H482" s="29" t="s">
        <v>18</v>
      </c>
      <c r="I482" s="29" t="s">
        <v>89</v>
      </c>
      <c r="J482" s="29" t="s">
        <v>1853</v>
      </c>
      <c r="K482" s="31">
        <v>6</v>
      </c>
      <c r="L482" s="29" t="s">
        <v>37</v>
      </c>
      <c r="M482" s="29" t="s">
        <v>29</v>
      </c>
      <c r="N482" s="31">
        <v>335.1</v>
      </c>
    </row>
    <row r="483" ht="29.75" spans="1:14">
      <c r="A483" s="29" t="s">
        <v>1854</v>
      </c>
      <c r="B483" s="30">
        <v>45039</v>
      </c>
      <c r="C483" s="29" t="s">
        <v>1855</v>
      </c>
      <c r="D483" s="29" t="s">
        <v>58</v>
      </c>
      <c r="E483" s="31">
        <v>4</v>
      </c>
      <c r="F483" s="31">
        <v>484.85</v>
      </c>
      <c r="G483" s="29" t="s">
        <v>866</v>
      </c>
      <c r="H483" s="29" t="s">
        <v>18</v>
      </c>
      <c r="I483" s="29" t="s">
        <v>50</v>
      </c>
      <c r="J483" s="29" t="s">
        <v>1856</v>
      </c>
      <c r="K483" s="31">
        <v>5</v>
      </c>
      <c r="L483" s="29" t="s">
        <v>81</v>
      </c>
      <c r="M483" s="29" t="s">
        <v>29</v>
      </c>
      <c r="N483" s="31">
        <v>1939.4</v>
      </c>
    </row>
    <row r="484" ht="29.75" spans="1:14">
      <c r="A484" s="29" t="s">
        <v>1857</v>
      </c>
      <c r="B484" s="30">
        <v>45718</v>
      </c>
      <c r="C484" s="29" t="s">
        <v>1858</v>
      </c>
      <c r="D484" s="29" t="s">
        <v>16</v>
      </c>
      <c r="E484" s="31">
        <v>3</v>
      </c>
      <c r="F484" s="31">
        <v>381.41</v>
      </c>
      <c r="G484" s="29" t="s">
        <v>367</v>
      </c>
      <c r="H484" s="29" t="s">
        <v>27</v>
      </c>
      <c r="I484" s="29" t="s">
        <v>89</v>
      </c>
      <c r="J484" s="29" t="s">
        <v>1859</v>
      </c>
      <c r="K484" s="31">
        <v>6</v>
      </c>
      <c r="L484" s="29"/>
      <c r="M484" s="29" t="s">
        <v>22</v>
      </c>
      <c r="N484" s="31">
        <v>1144.23</v>
      </c>
    </row>
    <row r="485" ht="29.75" spans="1:14">
      <c r="A485" s="29" t="s">
        <v>1860</v>
      </c>
      <c r="B485" s="30">
        <v>44944</v>
      </c>
      <c r="C485" s="29" t="s">
        <v>1861</v>
      </c>
      <c r="D485" s="29" t="s">
        <v>25</v>
      </c>
      <c r="E485" s="31">
        <v>5</v>
      </c>
      <c r="F485" s="31">
        <v>347.92</v>
      </c>
      <c r="G485" s="29" t="s">
        <v>1862</v>
      </c>
      <c r="H485" s="29" t="s">
        <v>65</v>
      </c>
      <c r="I485" s="29" t="s">
        <v>89</v>
      </c>
      <c r="J485" s="29" t="s">
        <v>1863</v>
      </c>
      <c r="K485" s="31">
        <v>6</v>
      </c>
      <c r="L485" s="29" t="s">
        <v>81</v>
      </c>
      <c r="M485" s="29" t="s">
        <v>76</v>
      </c>
      <c r="N485" s="31">
        <v>1739.6</v>
      </c>
    </row>
    <row r="486" ht="29.75" spans="1:14">
      <c r="A486" s="29" t="s">
        <v>1864</v>
      </c>
      <c r="B486" s="30">
        <v>45441</v>
      </c>
      <c r="C486" s="29" t="s">
        <v>1865</v>
      </c>
      <c r="D486" s="29" t="s">
        <v>41</v>
      </c>
      <c r="E486" s="31">
        <v>4</v>
      </c>
      <c r="F486" s="31">
        <v>15.01</v>
      </c>
      <c r="G486" s="29" t="s">
        <v>1594</v>
      </c>
      <c r="H486" s="29" t="s">
        <v>65</v>
      </c>
      <c r="I486" s="29" t="s">
        <v>35</v>
      </c>
      <c r="J486" s="29" t="s">
        <v>1866</v>
      </c>
      <c r="K486" s="31">
        <v>6</v>
      </c>
      <c r="L486" s="29"/>
      <c r="M486" s="29" t="s">
        <v>45</v>
      </c>
      <c r="N486" s="31">
        <v>60.04</v>
      </c>
    </row>
    <row r="487" ht="29.75" spans="1:14">
      <c r="A487" s="29" t="s">
        <v>1867</v>
      </c>
      <c r="B487" s="30">
        <v>45139</v>
      </c>
      <c r="C487" s="29" t="s">
        <v>1868</v>
      </c>
      <c r="D487" s="29" t="s">
        <v>41</v>
      </c>
      <c r="E487" s="31">
        <v>3</v>
      </c>
      <c r="F487" s="31">
        <v>404.79</v>
      </c>
      <c r="G487" s="29" t="s">
        <v>1869</v>
      </c>
      <c r="H487" s="29" t="s">
        <v>65</v>
      </c>
      <c r="I487" s="29" t="s">
        <v>19</v>
      </c>
      <c r="J487" s="29" t="s">
        <v>1870</v>
      </c>
      <c r="K487" s="31">
        <v>6</v>
      </c>
      <c r="L487" s="29" t="s">
        <v>21</v>
      </c>
      <c r="M487" s="29" t="s">
        <v>22</v>
      </c>
      <c r="N487" s="31">
        <v>1214.37</v>
      </c>
    </row>
    <row r="488" ht="29.75" spans="1:14">
      <c r="A488" s="29" t="s">
        <v>1871</v>
      </c>
      <c r="B488" s="30">
        <v>44960</v>
      </c>
      <c r="C488" s="29" t="s">
        <v>1872</v>
      </c>
      <c r="D488" s="29" t="s">
        <v>48</v>
      </c>
      <c r="E488" s="31">
        <v>4</v>
      </c>
      <c r="F488" s="31">
        <v>611.26</v>
      </c>
      <c r="G488" s="29" t="s">
        <v>1525</v>
      </c>
      <c r="H488" s="29" t="s">
        <v>65</v>
      </c>
      <c r="I488" s="29" t="s">
        <v>19</v>
      </c>
      <c r="J488" s="29" t="s">
        <v>1873</v>
      </c>
      <c r="K488" s="31">
        <v>5</v>
      </c>
      <c r="L488" s="29" t="s">
        <v>21</v>
      </c>
      <c r="M488" s="29" t="s">
        <v>29</v>
      </c>
      <c r="N488" s="31">
        <v>2445.04</v>
      </c>
    </row>
    <row r="489" ht="29.75" spans="1:14">
      <c r="A489" s="29" t="s">
        <v>1874</v>
      </c>
      <c r="B489" s="30">
        <v>44994</v>
      </c>
      <c r="C489" s="29" t="s">
        <v>1875</v>
      </c>
      <c r="D489" s="29" t="s">
        <v>48</v>
      </c>
      <c r="E489" s="31">
        <v>3</v>
      </c>
      <c r="F489" s="31">
        <v>346.52</v>
      </c>
      <c r="G489" s="29" t="s">
        <v>1876</v>
      </c>
      <c r="H489" s="29" t="s">
        <v>34</v>
      </c>
      <c r="I489" s="29" t="s">
        <v>89</v>
      </c>
      <c r="J489" s="29" t="s">
        <v>1877</v>
      </c>
      <c r="K489" s="31">
        <v>3</v>
      </c>
      <c r="L489" s="29" t="s">
        <v>21</v>
      </c>
      <c r="M489" s="29" t="s">
        <v>76</v>
      </c>
      <c r="N489" s="31">
        <v>1039.56</v>
      </c>
    </row>
    <row r="490" ht="29.75" spans="1:14">
      <c r="A490" s="29" t="s">
        <v>1878</v>
      </c>
      <c r="B490" s="30">
        <v>45631</v>
      </c>
      <c r="C490" s="29" t="s">
        <v>1879</v>
      </c>
      <c r="D490" s="29" t="s">
        <v>41</v>
      </c>
      <c r="E490" s="31">
        <v>1</v>
      </c>
      <c r="F490" s="31">
        <v>36.65</v>
      </c>
      <c r="G490" s="29" t="s">
        <v>1880</v>
      </c>
      <c r="H490" s="29" t="s">
        <v>27</v>
      </c>
      <c r="I490" s="29" t="s">
        <v>35</v>
      </c>
      <c r="J490" s="29" t="s">
        <v>1881</v>
      </c>
      <c r="K490" s="31">
        <v>1</v>
      </c>
      <c r="L490" s="29" t="s">
        <v>81</v>
      </c>
      <c r="M490" s="29" t="s">
        <v>38</v>
      </c>
      <c r="N490" s="31">
        <v>36.65</v>
      </c>
    </row>
    <row r="491" ht="29.75" spans="1:14">
      <c r="A491" s="29" t="s">
        <v>1882</v>
      </c>
      <c r="B491" s="30">
        <v>45174</v>
      </c>
      <c r="C491" s="29" t="s">
        <v>1883</v>
      </c>
      <c r="D491" s="29" t="s">
        <v>32</v>
      </c>
      <c r="E491" s="31">
        <v>3</v>
      </c>
      <c r="F491" s="31">
        <v>149.34</v>
      </c>
      <c r="G491" s="29" t="s">
        <v>1066</v>
      </c>
      <c r="H491" s="29" t="s">
        <v>60</v>
      </c>
      <c r="I491" s="29" t="s">
        <v>35</v>
      </c>
      <c r="J491" s="29" t="s">
        <v>1884</v>
      </c>
      <c r="K491" s="31">
        <v>7</v>
      </c>
      <c r="L491" s="29" t="s">
        <v>81</v>
      </c>
      <c r="M491" s="29" t="s">
        <v>38</v>
      </c>
      <c r="N491" s="31">
        <v>448.02</v>
      </c>
    </row>
    <row r="492" ht="29.75" spans="1:14">
      <c r="A492" s="29" t="s">
        <v>1885</v>
      </c>
      <c r="B492" s="30">
        <v>45495</v>
      </c>
      <c r="C492" s="29" t="s">
        <v>1886</v>
      </c>
      <c r="D492" s="29" t="s">
        <v>41</v>
      </c>
      <c r="E492" s="31">
        <v>5</v>
      </c>
      <c r="F492" s="31">
        <v>467.81</v>
      </c>
      <c r="G492" s="29" t="s">
        <v>1887</v>
      </c>
      <c r="H492" s="29" t="s">
        <v>27</v>
      </c>
      <c r="I492" s="29" t="s">
        <v>35</v>
      </c>
      <c r="J492" s="29" t="s">
        <v>1888</v>
      </c>
      <c r="K492" s="31">
        <v>10</v>
      </c>
      <c r="L492" s="29"/>
      <c r="M492" s="29" t="s">
        <v>45</v>
      </c>
      <c r="N492" s="31">
        <v>2339.05</v>
      </c>
    </row>
    <row r="493" ht="29.75" spans="1:14">
      <c r="A493" s="29" t="s">
        <v>1889</v>
      </c>
      <c r="B493" s="30">
        <v>44931</v>
      </c>
      <c r="C493" s="29" t="s">
        <v>1890</v>
      </c>
      <c r="D493" s="29" t="s">
        <v>25</v>
      </c>
      <c r="E493" s="31">
        <v>5</v>
      </c>
      <c r="F493" s="31">
        <v>420.7</v>
      </c>
      <c r="G493" s="29" t="s">
        <v>1842</v>
      </c>
      <c r="H493" s="29" t="s">
        <v>65</v>
      </c>
      <c r="I493" s="29" t="s">
        <v>89</v>
      </c>
      <c r="J493" s="29" t="s">
        <v>1891</v>
      </c>
      <c r="K493" s="31">
        <v>5</v>
      </c>
      <c r="L493" s="29" t="s">
        <v>81</v>
      </c>
      <c r="M493" s="29" t="s">
        <v>45</v>
      </c>
      <c r="N493" s="31">
        <v>2103.5</v>
      </c>
    </row>
    <row r="494" ht="29.75" spans="1:14">
      <c r="A494" s="29" t="s">
        <v>1892</v>
      </c>
      <c r="B494" s="30">
        <v>45224</v>
      </c>
      <c r="C494" s="29" t="s">
        <v>1893</v>
      </c>
      <c r="D494" s="29" t="s">
        <v>58</v>
      </c>
      <c r="E494" s="31">
        <v>5</v>
      </c>
      <c r="F494" s="31">
        <v>606.52</v>
      </c>
      <c r="G494" s="29" t="s">
        <v>351</v>
      </c>
      <c r="H494" s="29" t="s">
        <v>18</v>
      </c>
      <c r="I494" s="29" t="s">
        <v>19</v>
      </c>
      <c r="J494" s="29" t="s">
        <v>1894</v>
      </c>
      <c r="K494" s="31">
        <v>6</v>
      </c>
      <c r="L494" s="29" t="s">
        <v>21</v>
      </c>
      <c r="M494" s="29" t="s">
        <v>22</v>
      </c>
      <c r="N494" s="31">
        <v>3032.6</v>
      </c>
    </row>
    <row r="495" ht="29.75" spans="1:14">
      <c r="A495" s="29" t="s">
        <v>1895</v>
      </c>
      <c r="B495" s="30">
        <v>45685</v>
      </c>
      <c r="C495" s="29" t="s">
        <v>1896</v>
      </c>
      <c r="D495" s="29" t="s">
        <v>25</v>
      </c>
      <c r="E495" s="31">
        <v>1</v>
      </c>
      <c r="F495" s="31">
        <v>420.26</v>
      </c>
      <c r="G495" s="29" t="s">
        <v>1897</v>
      </c>
      <c r="H495" s="29" t="s">
        <v>34</v>
      </c>
      <c r="I495" s="29" t="s">
        <v>89</v>
      </c>
      <c r="J495" s="29" t="s">
        <v>1898</v>
      </c>
      <c r="K495" s="31">
        <v>4</v>
      </c>
      <c r="L495" s="29" t="s">
        <v>37</v>
      </c>
      <c r="M495" s="29" t="s">
        <v>45</v>
      </c>
      <c r="N495" s="31">
        <v>420.26</v>
      </c>
    </row>
    <row r="496" ht="29.75" spans="1:14">
      <c r="A496" s="29" t="s">
        <v>1899</v>
      </c>
      <c r="B496" s="30">
        <v>45126</v>
      </c>
      <c r="C496" s="29" t="s">
        <v>1900</v>
      </c>
      <c r="D496" s="29" t="s">
        <v>58</v>
      </c>
      <c r="E496" s="31">
        <v>3</v>
      </c>
      <c r="F496" s="31">
        <v>505.79</v>
      </c>
      <c r="G496" s="29" t="s">
        <v>1901</v>
      </c>
      <c r="H496" s="29" t="s">
        <v>18</v>
      </c>
      <c r="I496" s="29" t="s">
        <v>89</v>
      </c>
      <c r="J496" s="29" t="s">
        <v>1902</v>
      </c>
      <c r="K496" s="31">
        <v>3</v>
      </c>
      <c r="L496" s="29" t="s">
        <v>37</v>
      </c>
      <c r="M496" s="29" t="s">
        <v>29</v>
      </c>
      <c r="N496" s="31">
        <v>1517.37</v>
      </c>
    </row>
    <row r="497" ht="29.75" spans="1:14">
      <c r="A497" s="29" t="s">
        <v>1903</v>
      </c>
      <c r="B497" s="30">
        <v>45813</v>
      </c>
      <c r="C497" s="29" t="s">
        <v>1904</v>
      </c>
      <c r="D497" s="29" t="s">
        <v>25</v>
      </c>
      <c r="E497" s="31">
        <v>4</v>
      </c>
      <c r="F497" s="31">
        <v>493.73</v>
      </c>
      <c r="G497" s="29" t="s">
        <v>634</v>
      </c>
      <c r="H497" s="29" t="s">
        <v>18</v>
      </c>
      <c r="I497" s="29" t="s">
        <v>89</v>
      </c>
      <c r="J497" s="29" t="s">
        <v>1905</v>
      </c>
      <c r="K497" s="31">
        <v>6</v>
      </c>
      <c r="L497" s="29" t="s">
        <v>21</v>
      </c>
      <c r="M497" s="29" t="s">
        <v>45</v>
      </c>
      <c r="N497" s="31">
        <v>1974.92</v>
      </c>
    </row>
    <row r="498" ht="29.75" spans="1:14">
      <c r="A498" s="29" t="s">
        <v>1906</v>
      </c>
      <c r="B498" s="30">
        <v>45730</v>
      </c>
      <c r="C498" s="29" t="s">
        <v>1907</v>
      </c>
      <c r="D498" s="29" t="s">
        <v>48</v>
      </c>
      <c r="E498" s="31">
        <v>3</v>
      </c>
      <c r="F498" s="31">
        <v>201.21</v>
      </c>
      <c r="G498" s="29" t="s">
        <v>1908</v>
      </c>
      <c r="H498" s="29" t="s">
        <v>27</v>
      </c>
      <c r="I498" s="29" t="s">
        <v>35</v>
      </c>
      <c r="J498" s="29" t="s">
        <v>1909</v>
      </c>
      <c r="K498" s="31">
        <v>3</v>
      </c>
      <c r="L498" s="29" t="s">
        <v>21</v>
      </c>
      <c r="M498" s="29" t="s">
        <v>76</v>
      </c>
      <c r="N498" s="31">
        <v>603.63</v>
      </c>
    </row>
    <row r="499" ht="29.75" spans="1:14">
      <c r="A499" s="29" t="s">
        <v>1910</v>
      </c>
      <c r="B499" s="30">
        <v>45589</v>
      </c>
      <c r="C499" s="29" t="s">
        <v>1911</v>
      </c>
      <c r="D499" s="29" t="s">
        <v>48</v>
      </c>
      <c r="E499" s="31">
        <v>3</v>
      </c>
      <c r="F499" s="31">
        <v>112.29</v>
      </c>
      <c r="G499" s="29" t="s">
        <v>1912</v>
      </c>
      <c r="H499" s="29" t="s">
        <v>60</v>
      </c>
      <c r="I499" s="29" t="s">
        <v>19</v>
      </c>
      <c r="J499" s="29" t="s">
        <v>1913</v>
      </c>
      <c r="K499" s="31">
        <v>6</v>
      </c>
      <c r="L499" s="29"/>
      <c r="M499" s="29" t="s">
        <v>76</v>
      </c>
      <c r="N499" s="31">
        <v>336.87</v>
      </c>
    </row>
    <row r="500" ht="29.75" spans="1:14">
      <c r="A500" s="29" t="s">
        <v>1914</v>
      </c>
      <c r="B500" s="30">
        <v>45119</v>
      </c>
      <c r="C500" s="29" t="s">
        <v>1915</v>
      </c>
      <c r="D500" s="29" t="s">
        <v>32</v>
      </c>
      <c r="E500" s="31">
        <v>4</v>
      </c>
      <c r="F500" s="31">
        <v>132.56</v>
      </c>
      <c r="G500" s="29" t="s">
        <v>988</v>
      </c>
      <c r="H500" s="29" t="s">
        <v>65</v>
      </c>
      <c r="I500" s="29" t="s">
        <v>43</v>
      </c>
      <c r="J500" s="29" t="s">
        <v>1916</v>
      </c>
      <c r="K500" s="31">
        <v>8</v>
      </c>
      <c r="L500" s="29" t="s">
        <v>81</v>
      </c>
      <c r="M500" s="29" t="s">
        <v>22</v>
      </c>
      <c r="N500" s="31">
        <v>530.24</v>
      </c>
    </row>
    <row r="501" ht="29.75" spans="1:14">
      <c r="A501" s="29" t="s">
        <v>1917</v>
      </c>
      <c r="B501" s="30">
        <v>45022</v>
      </c>
      <c r="C501" s="29" t="s">
        <v>1918</v>
      </c>
      <c r="D501" s="29" t="s">
        <v>48</v>
      </c>
      <c r="E501" s="31">
        <v>3</v>
      </c>
      <c r="F501" s="31">
        <v>539.46</v>
      </c>
      <c r="G501" s="29" t="s">
        <v>1919</v>
      </c>
      <c r="H501" s="29" t="s">
        <v>34</v>
      </c>
      <c r="I501" s="29" t="s">
        <v>19</v>
      </c>
      <c r="J501" s="29" t="s">
        <v>1920</v>
      </c>
      <c r="K501" s="31">
        <v>4</v>
      </c>
      <c r="L501" s="29" t="s">
        <v>21</v>
      </c>
      <c r="M501" s="29" t="s">
        <v>45</v>
      </c>
      <c r="N501" s="31">
        <v>1618.38</v>
      </c>
    </row>
    <row r="502" ht="29.75" spans="1:14">
      <c r="A502" s="29" t="s">
        <v>1921</v>
      </c>
      <c r="B502" s="30">
        <v>45389</v>
      </c>
      <c r="C502" s="29" t="s">
        <v>1922</v>
      </c>
      <c r="D502" s="29" t="s">
        <v>58</v>
      </c>
      <c r="E502" s="31">
        <v>5</v>
      </c>
      <c r="F502" s="31">
        <v>508.59</v>
      </c>
      <c r="G502" s="29" t="s">
        <v>1923</v>
      </c>
      <c r="H502" s="29" t="s">
        <v>65</v>
      </c>
      <c r="I502" s="29" t="s">
        <v>43</v>
      </c>
      <c r="J502" s="29" t="s">
        <v>1924</v>
      </c>
      <c r="K502" s="31">
        <v>8</v>
      </c>
      <c r="L502" s="29" t="s">
        <v>81</v>
      </c>
      <c r="M502" s="29" t="s">
        <v>45</v>
      </c>
      <c r="N502" s="31">
        <v>2542.95</v>
      </c>
    </row>
    <row r="503" ht="29.75" spans="1:14">
      <c r="A503" s="29" t="s">
        <v>1925</v>
      </c>
      <c r="B503" s="30">
        <v>45326</v>
      </c>
      <c r="C503" s="29" t="s">
        <v>1926</v>
      </c>
      <c r="D503" s="29" t="s">
        <v>73</v>
      </c>
      <c r="E503" s="31">
        <v>4</v>
      </c>
      <c r="F503" s="31">
        <v>203.46</v>
      </c>
      <c r="G503" s="29" t="s">
        <v>685</v>
      </c>
      <c r="H503" s="29" t="s">
        <v>34</v>
      </c>
      <c r="I503" s="29" t="s">
        <v>89</v>
      </c>
      <c r="J503" s="29" t="s">
        <v>1927</v>
      </c>
      <c r="K503" s="31">
        <v>7</v>
      </c>
      <c r="L503" s="29" t="s">
        <v>21</v>
      </c>
      <c r="M503" s="29" t="s">
        <v>29</v>
      </c>
      <c r="N503" s="31">
        <v>813.84</v>
      </c>
    </row>
    <row r="504" ht="29.75" spans="1:14">
      <c r="A504" s="29" t="s">
        <v>1928</v>
      </c>
      <c r="B504" s="30">
        <v>45066</v>
      </c>
      <c r="C504" s="29" t="s">
        <v>1929</v>
      </c>
      <c r="D504" s="29" t="s">
        <v>16</v>
      </c>
      <c r="E504" s="31">
        <v>3</v>
      </c>
      <c r="F504" s="31">
        <v>565.25</v>
      </c>
      <c r="G504" s="29" t="s">
        <v>1930</v>
      </c>
      <c r="H504" s="29" t="s">
        <v>18</v>
      </c>
      <c r="I504" s="29" t="s">
        <v>43</v>
      </c>
      <c r="J504" s="29" t="s">
        <v>1931</v>
      </c>
      <c r="K504" s="31">
        <v>7</v>
      </c>
      <c r="L504" s="29" t="s">
        <v>21</v>
      </c>
      <c r="M504" s="29" t="s">
        <v>38</v>
      </c>
      <c r="N504" s="31">
        <v>1695.75</v>
      </c>
    </row>
    <row r="505" ht="29.75" spans="1:14">
      <c r="A505" s="29" t="s">
        <v>1932</v>
      </c>
      <c r="B505" s="30">
        <v>45169</v>
      </c>
      <c r="C505" s="29" t="s">
        <v>1933</v>
      </c>
      <c r="D505" s="29" t="s">
        <v>32</v>
      </c>
      <c r="E505" s="31">
        <v>3</v>
      </c>
      <c r="F505" s="31">
        <v>136.84</v>
      </c>
      <c r="G505" s="29" t="s">
        <v>1934</v>
      </c>
      <c r="H505" s="29" t="s">
        <v>27</v>
      </c>
      <c r="I505" s="29" t="s">
        <v>89</v>
      </c>
      <c r="J505" s="29" t="s">
        <v>1935</v>
      </c>
      <c r="K505" s="31">
        <v>4</v>
      </c>
      <c r="L505" s="29" t="s">
        <v>37</v>
      </c>
      <c r="M505" s="29" t="s">
        <v>45</v>
      </c>
      <c r="N505" s="31">
        <v>410.52</v>
      </c>
    </row>
    <row r="506" ht="29.75" spans="1:14">
      <c r="A506" s="29" t="s">
        <v>1936</v>
      </c>
      <c r="B506" s="30">
        <v>45819</v>
      </c>
      <c r="C506" s="29" t="s">
        <v>1937</v>
      </c>
      <c r="D506" s="29" t="s">
        <v>16</v>
      </c>
      <c r="E506" s="31">
        <v>2</v>
      </c>
      <c r="F506" s="31">
        <v>464.5</v>
      </c>
      <c r="G506" s="29" t="s">
        <v>1938</v>
      </c>
      <c r="H506" s="29" t="s">
        <v>27</v>
      </c>
      <c r="I506" s="29" t="s">
        <v>35</v>
      </c>
      <c r="J506" s="29" t="s">
        <v>1939</v>
      </c>
      <c r="K506" s="31">
        <v>2</v>
      </c>
      <c r="L506" s="29" t="s">
        <v>81</v>
      </c>
      <c r="M506" s="29" t="s">
        <v>22</v>
      </c>
      <c r="N506" s="31">
        <v>929</v>
      </c>
    </row>
    <row r="507" ht="29.75" spans="1:14">
      <c r="A507" s="29" t="s">
        <v>1940</v>
      </c>
      <c r="B507" s="30">
        <v>45088</v>
      </c>
      <c r="C507" s="29" t="s">
        <v>1941</v>
      </c>
      <c r="D507" s="29" t="s">
        <v>48</v>
      </c>
      <c r="E507" s="31">
        <v>2</v>
      </c>
      <c r="F507" s="31">
        <v>434.97</v>
      </c>
      <c r="G507" s="29" t="s">
        <v>1525</v>
      </c>
      <c r="H507" s="29" t="s">
        <v>27</v>
      </c>
      <c r="I507" s="29" t="s">
        <v>19</v>
      </c>
      <c r="J507" s="29" t="s">
        <v>1942</v>
      </c>
      <c r="K507" s="31">
        <v>7</v>
      </c>
      <c r="L507" s="29"/>
      <c r="M507" s="29" t="s">
        <v>38</v>
      </c>
      <c r="N507" s="31">
        <v>869.94</v>
      </c>
    </row>
    <row r="508" ht="29.75" spans="1:14">
      <c r="A508" s="29" t="s">
        <v>1943</v>
      </c>
      <c r="B508" s="30">
        <v>45132</v>
      </c>
      <c r="C508" s="29" t="s">
        <v>1944</v>
      </c>
      <c r="D508" s="29" t="s">
        <v>16</v>
      </c>
      <c r="E508" s="31">
        <v>2</v>
      </c>
      <c r="F508" s="31">
        <v>43.67</v>
      </c>
      <c r="G508" s="29" t="s">
        <v>1945</v>
      </c>
      <c r="H508" s="29" t="s">
        <v>65</v>
      </c>
      <c r="I508" s="29" t="s">
        <v>43</v>
      </c>
      <c r="J508" s="29" t="s">
        <v>1946</v>
      </c>
      <c r="K508" s="31">
        <v>4</v>
      </c>
      <c r="L508" s="29" t="s">
        <v>81</v>
      </c>
      <c r="M508" s="29" t="s">
        <v>22</v>
      </c>
      <c r="N508" s="31">
        <v>87.34</v>
      </c>
    </row>
    <row r="509" ht="29.75" spans="1:14">
      <c r="A509" s="29" t="s">
        <v>1947</v>
      </c>
      <c r="B509" s="30">
        <v>45112</v>
      </c>
      <c r="C509" s="29" t="s">
        <v>1948</v>
      </c>
      <c r="D509" s="29" t="s">
        <v>25</v>
      </c>
      <c r="E509" s="31">
        <v>1</v>
      </c>
      <c r="F509" s="31">
        <v>171.59</v>
      </c>
      <c r="G509" s="29" t="s">
        <v>1299</v>
      </c>
      <c r="H509" s="29" t="s">
        <v>34</v>
      </c>
      <c r="I509" s="29" t="s">
        <v>89</v>
      </c>
      <c r="J509" s="29" t="s">
        <v>1949</v>
      </c>
      <c r="K509" s="31">
        <v>5</v>
      </c>
      <c r="L509" s="29" t="s">
        <v>81</v>
      </c>
      <c r="M509" s="29" t="s">
        <v>38</v>
      </c>
      <c r="N509" s="31">
        <v>171.59</v>
      </c>
    </row>
    <row r="510" ht="29.75" spans="1:14">
      <c r="A510" s="29" t="s">
        <v>1950</v>
      </c>
      <c r="B510" s="30">
        <v>45791</v>
      </c>
      <c r="C510" s="29" t="s">
        <v>1951</v>
      </c>
      <c r="D510" s="29" t="s">
        <v>25</v>
      </c>
      <c r="E510" s="31">
        <v>1</v>
      </c>
      <c r="F510" s="31">
        <v>558.27</v>
      </c>
      <c r="G510" s="29" t="s">
        <v>1952</v>
      </c>
      <c r="H510" s="29" t="s">
        <v>27</v>
      </c>
      <c r="I510" s="29" t="s">
        <v>50</v>
      </c>
      <c r="J510" s="29" t="s">
        <v>1953</v>
      </c>
      <c r="K510" s="31">
        <v>1</v>
      </c>
      <c r="L510" s="29"/>
      <c r="M510" s="29" t="s">
        <v>29</v>
      </c>
      <c r="N510" s="31">
        <v>558.27</v>
      </c>
    </row>
    <row r="511" ht="29.75" spans="1:14">
      <c r="A511" s="29" t="s">
        <v>1954</v>
      </c>
      <c r="B511" s="30">
        <v>44972</v>
      </c>
      <c r="C511" s="29" t="s">
        <v>1955</v>
      </c>
      <c r="D511" s="29" t="s">
        <v>58</v>
      </c>
      <c r="E511" s="31">
        <v>2</v>
      </c>
      <c r="F511" s="31">
        <v>425.03</v>
      </c>
      <c r="G511" s="29" t="s">
        <v>1956</v>
      </c>
      <c r="H511" s="29" t="s">
        <v>65</v>
      </c>
      <c r="I511" s="29" t="s">
        <v>43</v>
      </c>
      <c r="J511" s="29" t="s">
        <v>1957</v>
      </c>
      <c r="K511" s="31">
        <v>2</v>
      </c>
      <c r="L511" s="29" t="s">
        <v>81</v>
      </c>
      <c r="M511" s="29" t="s">
        <v>76</v>
      </c>
      <c r="N511" s="31">
        <v>850.06</v>
      </c>
    </row>
    <row r="512" ht="29.75" spans="1:14">
      <c r="A512" s="29" t="s">
        <v>1958</v>
      </c>
      <c r="B512" s="30">
        <v>45642</v>
      </c>
      <c r="C512" s="29" t="s">
        <v>1959</v>
      </c>
      <c r="D512" s="29" t="s">
        <v>48</v>
      </c>
      <c r="E512" s="31">
        <v>1</v>
      </c>
      <c r="F512" s="31">
        <v>376.76</v>
      </c>
      <c r="G512" s="29" t="s">
        <v>1960</v>
      </c>
      <c r="H512" s="29" t="s">
        <v>18</v>
      </c>
      <c r="I512" s="29" t="s">
        <v>50</v>
      </c>
      <c r="J512" s="29" t="s">
        <v>1961</v>
      </c>
      <c r="K512" s="31">
        <v>5</v>
      </c>
      <c r="L512" s="29" t="s">
        <v>21</v>
      </c>
      <c r="M512" s="29" t="s">
        <v>38</v>
      </c>
      <c r="N512" s="31">
        <v>376.76</v>
      </c>
    </row>
    <row r="513" ht="29.75" spans="1:14">
      <c r="A513" s="29" t="s">
        <v>1962</v>
      </c>
      <c r="B513" s="30">
        <v>45366</v>
      </c>
      <c r="C513" s="29" t="s">
        <v>1963</v>
      </c>
      <c r="D513" s="29" t="s">
        <v>16</v>
      </c>
      <c r="E513" s="31">
        <v>5</v>
      </c>
      <c r="F513" s="31">
        <v>575.24</v>
      </c>
      <c r="G513" s="29" t="s">
        <v>201</v>
      </c>
      <c r="H513" s="29" t="s">
        <v>65</v>
      </c>
      <c r="I513" s="29" t="s">
        <v>50</v>
      </c>
      <c r="J513" s="29" t="s">
        <v>1964</v>
      </c>
      <c r="K513" s="31">
        <v>7</v>
      </c>
      <c r="L513" s="29" t="s">
        <v>81</v>
      </c>
      <c r="M513" s="29" t="s">
        <v>38</v>
      </c>
      <c r="N513" s="31">
        <v>2876.2</v>
      </c>
    </row>
    <row r="514" ht="29.75" spans="1:14">
      <c r="A514" s="29" t="s">
        <v>1965</v>
      </c>
      <c r="B514" s="30">
        <v>45562</v>
      </c>
      <c r="C514" s="29" t="s">
        <v>1966</v>
      </c>
      <c r="D514" s="29" t="s">
        <v>73</v>
      </c>
      <c r="E514" s="31">
        <v>3</v>
      </c>
      <c r="F514" s="31">
        <v>568.02</v>
      </c>
      <c r="G514" s="29" t="s">
        <v>1190</v>
      </c>
      <c r="H514" s="29" t="s">
        <v>27</v>
      </c>
      <c r="I514" s="29" t="s">
        <v>89</v>
      </c>
      <c r="J514" s="29" t="s">
        <v>1967</v>
      </c>
      <c r="K514" s="31">
        <v>3</v>
      </c>
      <c r="L514" s="29" t="s">
        <v>37</v>
      </c>
      <c r="M514" s="29" t="s">
        <v>22</v>
      </c>
      <c r="N514" s="31">
        <v>1704.06</v>
      </c>
    </row>
    <row r="515" ht="29.75" spans="1:14">
      <c r="A515" s="29" t="s">
        <v>1968</v>
      </c>
      <c r="B515" s="30">
        <v>45697</v>
      </c>
      <c r="C515" s="29" t="s">
        <v>1969</v>
      </c>
      <c r="D515" s="29" t="s">
        <v>32</v>
      </c>
      <c r="E515" s="31">
        <v>3</v>
      </c>
      <c r="F515" s="31">
        <v>94.88</v>
      </c>
      <c r="G515" s="29" t="s">
        <v>426</v>
      </c>
      <c r="H515" s="29" t="s">
        <v>60</v>
      </c>
      <c r="I515" s="29" t="s">
        <v>19</v>
      </c>
      <c r="J515" s="29" t="s">
        <v>1970</v>
      </c>
      <c r="K515" s="31">
        <v>8</v>
      </c>
      <c r="L515" s="29"/>
      <c r="M515" s="29" t="s">
        <v>29</v>
      </c>
      <c r="N515" s="31">
        <v>284.64</v>
      </c>
    </row>
    <row r="516" ht="29.75" spans="1:14">
      <c r="A516" s="29" t="s">
        <v>1971</v>
      </c>
      <c r="B516" s="30">
        <v>45032</v>
      </c>
      <c r="C516" s="29" t="s">
        <v>1972</v>
      </c>
      <c r="D516" s="29" t="s">
        <v>48</v>
      </c>
      <c r="E516" s="31">
        <v>3</v>
      </c>
      <c r="F516" s="31">
        <v>304.15</v>
      </c>
      <c r="G516" s="29" t="s">
        <v>1754</v>
      </c>
      <c r="H516" s="29" t="s">
        <v>60</v>
      </c>
      <c r="I516" s="29" t="s">
        <v>19</v>
      </c>
      <c r="J516" s="29" t="s">
        <v>1973</v>
      </c>
      <c r="K516" s="31">
        <v>3</v>
      </c>
      <c r="L516" s="29" t="s">
        <v>81</v>
      </c>
      <c r="M516" s="29" t="s">
        <v>22</v>
      </c>
      <c r="N516" s="31">
        <v>912.45</v>
      </c>
    </row>
    <row r="517" ht="29.75" spans="1:14">
      <c r="A517" s="29" t="s">
        <v>1974</v>
      </c>
      <c r="B517" s="30">
        <v>44999</v>
      </c>
      <c r="C517" s="29" t="s">
        <v>1975</v>
      </c>
      <c r="D517" s="29" t="s">
        <v>25</v>
      </c>
      <c r="E517" s="31">
        <v>3</v>
      </c>
      <c r="F517" s="31">
        <v>553.52</v>
      </c>
      <c r="G517" s="29" t="s">
        <v>1743</v>
      </c>
      <c r="H517" s="29" t="s">
        <v>60</v>
      </c>
      <c r="I517" s="29" t="s">
        <v>19</v>
      </c>
      <c r="J517" s="29" t="s">
        <v>1976</v>
      </c>
      <c r="K517" s="31">
        <v>4</v>
      </c>
      <c r="L517" s="29" t="s">
        <v>37</v>
      </c>
      <c r="M517" s="29" t="s">
        <v>45</v>
      </c>
      <c r="N517" s="31">
        <v>1660.56</v>
      </c>
    </row>
    <row r="518" ht="29.75" spans="1:14">
      <c r="A518" s="29" t="s">
        <v>1977</v>
      </c>
      <c r="B518" s="30">
        <v>45389</v>
      </c>
      <c r="C518" s="29" t="s">
        <v>1978</v>
      </c>
      <c r="D518" s="29" t="s">
        <v>16</v>
      </c>
      <c r="E518" s="31">
        <v>3</v>
      </c>
      <c r="F518" s="31">
        <v>166.99</v>
      </c>
      <c r="G518" s="29" t="s">
        <v>1172</v>
      </c>
      <c r="H518" s="29" t="s">
        <v>65</v>
      </c>
      <c r="I518" s="29" t="s">
        <v>43</v>
      </c>
      <c r="J518" s="29" t="s">
        <v>1979</v>
      </c>
      <c r="K518" s="31">
        <v>8</v>
      </c>
      <c r="L518" s="29"/>
      <c r="M518" s="29" t="s">
        <v>45</v>
      </c>
      <c r="N518" s="31">
        <v>500.97</v>
      </c>
    </row>
    <row r="519" ht="29.75" spans="1:14">
      <c r="A519" s="29" t="s">
        <v>1980</v>
      </c>
      <c r="B519" s="30">
        <v>45391</v>
      </c>
      <c r="C519" s="29" t="s">
        <v>1981</v>
      </c>
      <c r="D519" s="29" t="s">
        <v>32</v>
      </c>
      <c r="E519" s="31">
        <v>4</v>
      </c>
      <c r="F519" s="31">
        <v>198.35</v>
      </c>
      <c r="G519" s="29" t="s">
        <v>1849</v>
      </c>
      <c r="H519" s="29" t="s">
        <v>65</v>
      </c>
      <c r="I519" s="29" t="s">
        <v>35</v>
      </c>
      <c r="J519" s="29" t="s">
        <v>1982</v>
      </c>
      <c r="K519" s="31">
        <v>7</v>
      </c>
      <c r="L519" s="29" t="s">
        <v>37</v>
      </c>
      <c r="M519" s="29" t="s">
        <v>76</v>
      </c>
      <c r="N519" s="31">
        <v>793.4</v>
      </c>
    </row>
    <row r="520" ht="29.75" spans="1:14">
      <c r="A520" s="29" t="s">
        <v>1983</v>
      </c>
      <c r="B520" s="30">
        <v>45821</v>
      </c>
      <c r="C520" s="29" t="s">
        <v>1984</v>
      </c>
      <c r="D520" s="29" t="s">
        <v>48</v>
      </c>
      <c r="E520" s="31">
        <v>4</v>
      </c>
      <c r="F520" s="31">
        <v>403.58</v>
      </c>
      <c r="G520" s="29" t="s">
        <v>1560</v>
      </c>
      <c r="H520" s="29" t="s">
        <v>27</v>
      </c>
      <c r="I520" s="29" t="s">
        <v>89</v>
      </c>
      <c r="J520" s="29" t="s">
        <v>1985</v>
      </c>
      <c r="K520" s="31">
        <v>9</v>
      </c>
      <c r="L520" s="29" t="s">
        <v>21</v>
      </c>
      <c r="M520" s="29" t="s">
        <v>29</v>
      </c>
      <c r="N520" s="31">
        <v>1614.32</v>
      </c>
    </row>
    <row r="521" ht="29.75" spans="1:14">
      <c r="A521" s="29" t="s">
        <v>1986</v>
      </c>
      <c r="B521" s="30">
        <v>45787</v>
      </c>
      <c r="C521" s="29" t="s">
        <v>1987</v>
      </c>
      <c r="D521" s="29" t="s">
        <v>58</v>
      </c>
      <c r="E521" s="31">
        <v>4</v>
      </c>
      <c r="F521" s="31">
        <v>464.29</v>
      </c>
      <c r="G521" s="29" t="s">
        <v>1988</v>
      </c>
      <c r="H521" s="29" t="s">
        <v>18</v>
      </c>
      <c r="I521" s="29" t="s">
        <v>43</v>
      </c>
      <c r="J521" s="29" t="s">
        <v>1989</v>
      </c>
      <c r="K521" s="31">
        <v>5</v>
      </c>
      <c r="L521" s="29" t="s">
        <v>21</v>
      </c>
      <c r="M521" s="29" t="s">
        <v>38</v>
      </c>
      <c r="N521" s="31">
        <v>1857.16</v>
      </c>
    </row>
    <row r="522" ht="29.75" spans="1:14">
      <c r="A522" s="29" t="s">
        <v>1990</v>
      </c>
      <c r="B522" s="30">
        <v>44995</v>
      </c>
      <c r="C522" s="29" t="s">
        <v>1991</v>
      </c>
      <c r="D522" s="29" t="s">
        <v>16</v>
      </c>
      <c r="E522" s="31">
        <v>3</v>
      </c>
      <c r="F522" s="31">
        <v>635.98</v>
      </c>
      <c r="G522" s="29" t="s">
        <v>1992</v>
      </c>
      <c r="H522" s="29" t="s">
        <v>65</v>
      </c>
      <c r="I522" s="29" t="s">
        <v>43</v>
      </c>
      <c r="J522" s="29" t="s">
        <v>1993</v>
      </c>
      <c r="K522" s="31">
        <v>5</v>
      </c>
      <c r="L522" s="29"/>
      <c r="M522" s="29" t="s">
        <v>29</v>
      </c>
      <c r="N522" s="31">
        <v>1907.94</v>
      </c>
    </row>
    <row r="523" ht="29.75" spans="1:14">
      <c r="A523" s="29" t="s">
        <v>1994</v>
      </c>
      <c r="B523" s="30">
        <v>45347</v>
      </c>
      <c r="C523" s="29" t="s">
        <v>1995</v>
      </c>
      <c r="D523" s="29" t="s">
        <v>25</v>
      </c>
      <c r="E523" s="31">
        <v>1</v>
      </c>
      <c r="F523" s="31">
        <v>528.06</v>
      </c>
      <c r="G523" s="29" t="s">
        <v>1996</v>
      </c>
      <c r="H523" s="29" t="s">
        <v>34</v>
      </c>
      <c r="I523" s="29" t="s">
        <v>19</v>
      </c>
      <c r="J523" s="29" t="s">
        <v>1997</v>
      </c>
      <c r="K523" s="31">
        <v>2</v>
      </c>
      <c r="L523" s="29"/>
      <c r="M523" s="29" t="s">
        <v>45</v>
      </c>
      <c r="N523" s="31">
        <v>528.06</v>
      </c>
    </row>
    <row r="524" ht="29.75" spans="1:14">
      <c r="A524" s="29" t="s">
        <v>1998</v>
      </c>
      <c r="B524" s="30">
        <v>45402</v>
      </c>
      <c r="C524" s="29" t="s">
        <v>1999</v>
      </c>
      <c r="D524" s="29" t="s">
        <v>41</v>
      </c>
      <c r="E524" s="31">
        <v>1</v>
      </c>
      <c r="F524" s="31">
        <v>515.32</v>
      </c>
      <c r="G524" s="29" t="s">
        <v>1121</v>
      </c>
      <c r="H524" s="29" t="s">
        <v>60</v>
      </c>
      <c r="I524" s="29" t="s">
        <v>35</v>
      </c>
      <c r="J524" s="29" t="s">
        <v>2000</v>
      </c>
      <c r="K524" s="31">
        <v>1</v>
      </c>
      <c r="L524" s="29" t="s">
        <v>37</v>
      </c>
      <c r="M524" s="29" t="s">
        <v>38</v>
      </c>
      <c r="N524" s="31">
        <v>515.32</v>
      </c>
    </row>
    <row r="525" ht="29.75" spans="1:14">
      <c r="A525" s="29" t="s">
        <v>2001</v>
      </c>
      <c r="B525" s="30">
        <v>45706</v>
      </c>
      <c r="C525" s="29" t="s">
        <v>2002</v>
      </c>
      <c r="D525" s="29" t="s">
        <v>73</v>
      </c>
      <c r="E525" s="31">
        <v>4</v>
      </c>
      <c r="F525" s="31">
        <v>657.79</v>
      </c>
      <c r="G525" s="29" t="s">
        <v>1620</v>
      </c>
      <c r="H525" s="29" t="s">
        <v>34</v>
      </c>
      <c r="I525" s="29" t="s">
        <v>43</v>
      </c>
      <c r="J525" s="29" t="s">
        <v>2003</v>
      </c>
      <c r="K525" s="31">
        <v>6</v>
      </c>
      <c r="L525" s="29" t="s">
        <v>81</v>
      </c>
      <c r="M525" s="29" t="s">
        <v>76</v>
      </c>
      <c r="N525" s="31">
        <v>2631.16</v>
      </c>
    </row>
    <row r="526" ht="29.75" spans="1:14">
      <c r="A526" s="29" t="s">
        <v>2004</v>
      </c>
      <c r="B526" s="30">
        <v>45224</v>
      </c>
      <c r="C526" s="29" t="s">
        <v>2005</v>
      </c>
      <c r="D526" s="29" t="s">
        <v>25</v>
      </c>
      <c r="E526" s="31">
        <v>1</v>
      </c>
      <c r="F526" s="31">
        <v>153</v>
      </c>
      <c r="G526" s="29" t="s">
        <v>351</v>
      </c>
      <c r="H526" s="29" t="s">
        <v>34</v>
      </c>
      <c r="I526" s="29" t="s">
        <v>43</v>
      </c>
      <c r="J526" s="29" t="s">
        <v>2006</v>
      </c>
      <c r="K526" s="31">
        <v>4</v>
      </c>
      <c r="L526" s="29"/>
      <c r="M526" s="29" t="s">
        <v>29</v>
      </c>
      <c r="N526" s="31">
        <v>153</v>
      </c>
    </row>
    <row r="527" ht="29.75" spans="1:14">
      <c r="A527" s="29" t="s">
        <v>2007</v>
      </c>
      <c r="B527" s="30">
        <v>45263</v>
      </c>
      <c r="C527" s="29" t="s">
        <v>2008</v>
      </c>
      <c r="D527" s="29" t="s">
        <v>16</v>
      </c>
      <c r="E527" s="31">
        <v>1</v>
      </c>
      <c r="F527" s="31">
        <v>668.48</v>
      </c>
      <c r="G527" s="29" t="s">
        <v>1743</v>
      </c>
      <c r="H527" s="29" t="s">
        <v>18</v>
      </c>
      <c r="I527" s="29" t="s">
        <v>19</v>
      </c>
      <c r="J527" s="29" t="s">
        <v>2009</v>
      </c>
      <c r="K527" s="31">
        <v>1</v>
      </c>
      <c r="L527" s="29" t="s">
        <v>21</v>
      </c>
      <c r="M527" s="29" t="s">
        <v>38</v>
      </c>
      <c r="N527" s="31">
        <v>668.48</v>
      </c>
    </row>
    <row r="528" ht="29.75" spans="1:14">
      <c r="A528" s="29" t="s">
        <v>2010</v>
      </c>
      <c r="B528" s="30">
        <v>45351</v>
      </c>
      <c r="C528" s="29" t="s">
        <v>2011</v>
      </c>
      <c r="D528" s="29" t="s">
        <v>73</v>
      </c>
      <c r="E528" s="31">
        <v>2</v>
      </c>
      <c r="F528" s="31">
        <v>46.5</v>
      </c>
      <c r="G528" s="29" t="s">
        <v>407</v>
      </c>
      <c r="H528" s="29" t="s">
        <v>65</v>
      </c>
      <c r="I528" s="29" t="s">
        <v>43</v>
      </c>
      <c r="J528" s="29" t="s">
        <v>2012</v>
      </c>
      <c r="K528" s="31">
        <v>7</v>
      </c>
      <c r="L528" s="29" t="s">
        <v>81</v>
      </c>
      <c r="M528" s="29" t="s">
        <v>76</v>
      </c>
      <c r="N528" s="31">
        <v>93</v>
      </c>
    </row>
    <row r="529" ht="29.75" spans="1:14">
      <c r="A529" s="29" t="s">
        <v>2013</v>
      </c>
      <c r="B529" s="30">
        <v>45523</v>
      </c>
      <c r="C529" s="29" t="s">
        <v>2014</v>
      </c>
      <c r="D529" s="29" t="s">
        <v>41</v>
      </c>
      <c r="E529" s="31">
        <v>5</v>
      </c>
      <c r="F529" s="31">
        <v>653.47</v>
      </c>
      <c r="G529" s="29" t="s">
        <v>371</v>
      </c>
      <c r="H529" s="29" t="s">
        <v>34</v>
      </c>
      <c r="I529" s="29" t="s">
        <v>35</v>
      </c>
      <c r="J529" s="29" t="s">
        <v>2015</v>
      </c>
      <c r="K529" s="31">
        <v>10</v>
      </c>
      <c r="L529" s="29" t="s">
        <v>21</v>
      </c>
      <c r="M529" s="29" t="s">
        <v>29</v>
      </c>
      <c r="N529" s="31">
        <v>3267.35</v>
      </c>
    </row>
    <row r="530" ht="29.75" spans="1:14">
      <c r="A530" s="29" t="s">
        <v>2016</v>
      </c>
      <c r="B530" s="30">
        <v>45714</v>
      </c>
      <c r="C530" s="29" t="s">
        <v>2017</v>
      </c>
      <c r="D530" s="29" t="s">
        <v>41</v>
      </c>
      <c r="E530" s="31">
        <v>1</v>
      </c>
      <c r="F530" s="31">
        <v>628.89</v>
      </c>
      <c r="G530" s="29" t="s">
        <v>1758</v>
      </c>
      <c r="H530" s="29" t="s">
        <v>34</v>
      </c>
      <c r="I530" s="29" t="s">
        <v>43</v>
      </c>
      <c r="J530" s="29" t="s">
        <v>2018</v>
      </c>
      <c r="K530" s="31">
        <v>2</v>
      </c>
      <c r="L530" s="29" t="s">
        <v>21</v>
      </c>
      <c r="M530" s="29" t="s">
        <v>29</v>
      </c>
      <c r="N530" s="31">
        <v>628.89</v>
      </c>
    </row>
    <row r="531" ht="29.75" spans="1:14">
      <c r="A531" s="29" t="s">
        <v>2019</v>
      </c>
      <c r="B531" s="30">
        <v>45389</v>
      </c>
      <c r="C531" s="29" t="s">
        <v>2020</v>
      </c>
      <c r="D531" s="29" t="s">
        <v>32</v>
      </c>
      <c r="E531" s="31">
        <v>2</v>
      </c>
      <c r="F531" s="31">
        <v>675.1</v>
      </c>
      <c r="G531" s="29" t="s">
        <v>2021</v>
      </c>
      <c r="H531" s="29" t="s">
        <v>65</v>
      </c>
      <c r="I531" s="29" t="s">
        <v>89</v>
      </c>
      <c r="J531" s="29" t="s">
        <v>2022</v>
      </c>
      <c r="K531" s="31">
        <v>4</v>
      </c>
      <c r="L531" s="29" t="s">
        <v>37</v>
      </c>
      <c r="M531" s="29" t="s">
        <v>76</v>
      </c>
      <c r="N531" s="31">
        <v>1350.2</v>
      </c>
    </row>
    <row r="532" ht="29.75" spans="1:14">
      <c r="A532" s="29" t="s">
        <v>2023</v>
      </c>
      <c r="B532" s="30">
        <v>45491</v>
      </c>
      <c r="C532" s="29" t="s">
        <v>2024</v>
      </c>
      <c r="D532" s="29" t="s">
        <v>41</v>
      </c>
      <c r="E532" s="31">
        <v>4</v>
      </c>
      <c r="F532" s="31">
        <v>89.41</v>
      </c>
      <c r="G532" s="29" t="s">
        <v>2025</v>
      </c>
      <c r="H532" s="29" t="s">
        <v>27</v>
      </c>
      <c r="I532" s="29" t="s">
        <v>89</v>
      </c>
      <c r="J532" s="29" t="s">
        <v>2026</v>
      </c>
      <c r="K532" s="31">
        <v>9</v>
      </c>
      <c r="L532" s="29"/>
      <c r="M532" s="29" t="s">
        <v>76</v>
      </c>
      <c r="N532" s="31">
        <v>357.64</v>
      </c>
    </row>
    <row r="533" ht="29.75" spans="1:14">
      <c r="A533" s="29" t="s">
        <v>2027</v>
      </c>
      <c r="B533" s="30">
        <v>45475</v>
      </c>
      <c r="C533" s="29" t="s">
        <v>2028</v>
      </c>
      <c r="D533" s="29" t="s">
        <v>73</v>
      </c>
      <c r="E533" s="31">
        <v>5</v>
      </c>
      <c r="F533" s="31">
        <v>320.01</v>
      </c>
      <c r="G533" s="29" t="s">
        <v>2029</v>
      </c>
      <c r="H533" s="29" t="s">
        <v>60</v>
      </c>
      <c r="I533" s="29" t="s">
        <v>50</v>
      </c>
      <c r="J533" s="29" t="s">
        <v>2030</v>
      </c>
      <c r="K533" s="31">
        <v>6</v>
      </c>
      <c r="L533" s="29"/>
      <c r="M533" s="29" t="s">
        <v>29</v>
      </c>
      <c r="N533" s="31">
        <v>1600.05</v>
      </c>
    </row>
    <row r="534" ht="29.75" spans="1:14">
      <c r="A534" s="29" t="s">
        <v>2031</v>
      </c>
      <c r="B534" s="30">
        <v>45780</v>
      </c>
      <c r="C534" s="29" t="s">
        <v>2032</v>
      </c>
      <c r="D534" s="29" t="s">
        <v>58</v>
      </c>
      <c r="E534" s="31">
        <v>2</v>
      </c>
      <c r="F534" s="31">
        <v>41</v>
      </c>
      <c r="G534" s="29" t="s">
        <v>2033</v>
      </c>
      <c r="H534" s="29" t="s">
        <v>27</v>
      </c>
      <c r="I534" s="29" t="s">
        <v>50</v>
      </c>
      <c r="J534" s="29" t="s">
        <v>2034</v>
      </c>
      <c r="K534" s="31">
        <v>7</v>
      </c>
      <c r="L534" s="29"/>
      <c r="M534" s="29" t="s">
        <v>38</v>
      </c>
      <c r="N534" s="31">
        <v>82</v>
      </c>
    </row>
    <row r="535" ht="29.75" spans="1:14">
      <c r="A535" s="29" t="s">
        <v>2035</v>
      </c>
      <c r="B535" s="30">
        <v>44990</v>
      </c>
      <c r="C535" s="29" t="s">
        <v>2036</v>
      </c>
      <c r="D535" s="29" t="s">
        <v>73</v>
      </c>
      <c r="E535" s="31">
        <v>1</v>
      </c>
      <c r="F535" s="31">
        <v>565.85</v>
      </c>
      <c r="G535" s="29" t="s">
        <v>301</v>
      </c>
      <c r="H535" s="29" t="s">
        <v>60</v>
      </c>
      <c r="I535" s="29" t="s">
        <v>43</v>
      </c>
      <c r="J535" s="29" t="s">
        <v>2037</v>
      </c>
      <c r="K535" s="31">
        <v>1</v>
      </c>
      <c r="L535" s="29" t="s">
        <v>37</v>
      </c>
      <c r="M535" s="29" t="s">
        <v>45</v>
      </c>
      <c r="N535" s="31">
        <v>565.85</v>
      </c>
    </row>
    <row r="536" ht="29.75" spans="1:14">
      <c r="A536" s="29" t="s">
        <v>2038</v>
      </c>
      <c r="B536" s="30">
        <v>45449</v>
      </c>
      <c r="C536" s="29" t="s">
        <v>2039</v>
      </c>
      <c r="D536" s="29" t="s">
        <v>41</v>
      </c>
      <c r="E536" s="31">
        <v>3</v>
      </c>
      <c r="F536" s="31">
        <v>648.59</v>
      </c>
      <c r="G536" s="29" t="s">
        <v>2040</v>
      </c>
      <c r="H536" s="29" t="s">
        <v>18</v>
      </c>
      <c r="I536" s="29" t="s">
        <v>35</v>
      </c>
      <c r="J536" s="29" t="s">
        <v>2041</v>
      </c>
      <c r="K536" s="31">
        <v>4</v>
      </c>
      <c r="L536" s="29" t="s">
        <v>21</v>
      </c>
      <c r="M536" s="29" t="s">
        <v>38</v>
      </c>
      <c r="N536" s="31">
        <v>1945.77</v>
      </c>
    </row>
    <row r="537" ht="29.75" spans="1:14">
      <c r="A537" s="29" t="s">
        <v>2042</v>
      </c>
      <c r="B537" s="30">
        <v>45497</v>
      </c>
      <c r="C537" s="29" t="s">
        <v>2043</v>
      </c>
      <c r="D537" s="29" t="s">
        <v>16</v>
      </c>
      <c r="E537" s="31">
        <v>3</v>
      </c>
      <c r="F537" s="31">
        <v>68.12</v>
      </c>
      <c r="G537" s="29" t="s">
        <v>723</v>
      </c>
      <c r="H537" s="29" t="s">
        <v>27</v>
      </c>
      <c r="I537" s="29" t="s">
        <v>35</v>
      </c>
      <c r="J537" s="29" t="s">
        <v>2044</v>
      </c>
      <c r="K537" s="31">
        <v>3</v>
      </c>
      <c r="L537" s="29" t="s">
        <v>37</v>
      </c>
      <c r="M537" s="29" t="s">
        <v>38</v>
      </c>
      <c r="N537" s="31">
        <v>204.36</v>
      </c>
    </row>
    <row r="538" ht="29.75" spans="1:14">
      <c r="A538" s="29" t="s">
        <v>2045</v>
      </c>
      <c r="B538" s="30">
        <v>45452</v>
      </c>
      <c r="C538" s="29" t="s">
        <v>2046</v>
      </c>
      <c r="D538" s="29" t="s">
        <v>41</v>
      </c>
      <c r="E538" s="31">
        <v>1</v>
      </c>
      <c r="F538" s="31">
        <v>616.1</v>
      </c>
      <c r="G538" s="29" t="s">
        <v>2047</v>
      </c>
      <c r="H538" s="29" t="s">
        <v>65</v>
      </c>
      <c r="I538" s="29" t="s">
        <v>43</v>
      </c>
      <c r="J538" s="29" t="s">
        <v>2048</v>
      </c>
      <c r="K538" s="31">
        <v>6</v>
      </c>
      <c r="L538" s="29"/>
      <c r="M538" s="29" t="s">
        <v>38</v>
      </c>
      <c r="N538" s="31">
        <v>616.1</v>
      </c>
    </row>
    <row r="539" ht="29.75" spans="1:14">
      <c r="A539" s="29" t="s">
        <v>2049</v>
      </c>
      <c r="B539" s="30">
        <v>45739</v>
      </c>
      <c r="C539" s="29" t="s">
        <v>2050</v>
      </c>
      <c r="D539" s="29" t="s">
        <v>32</v>
      </c>
      <c r="E539" s="31">
        <v>3</v>
      </c>
      <c r="F539" s="31">
        <v>247.47</v>
      </c>
      <c r="G539" s="29" t="s">
        <v>297</v>
      </c>
      <c r="H539" s="29" t="s">
        <v>27</v>
      </c>
      <c r="I539" s="29" t="s">
        <v>50</v>
      </c>
      <c r="J539" s="29" t="s">
        <v>2051</v>
      </c>
      <c r="K539" s="31">
        <v>4</v>
      </c>
      <c r="L539" s="29" t="s">
        <v>21</v>
      </c>
      <c r="M539" s="29" t="s">
        <v>45</v>
      </c>
      <c r="N539" s="31">
        <v>742.41</v>
      </c>
    </row>
    <row r="540" ht="29.75" spans="1:14">
      <c r="A540" s="29" t="s">
        <v>2052</v>
      </c>
      <c r="B540" s="30">
        <v>45436</v>
      </c>
      <c r="C540" s="29" t="s">
        <v>2053</v>
      </c>
      <c r="D540" s="29" t="s">
        <v>25</v>
      </c>
      <c r="E540" s="31">
        <v>3</v>
      </c>
      <c r="F540" s="31">
        <v>490.74</v>
      </c>
      <c r="G540" s="29" t="s">
        <v>2054</v>
      </c>
      <c r="H540" s="29" t="s">
        <v>65</v>
      </c>
      <c r="I540" s="29" t="s">
        <v>19</v>
      </c>
      <c r="J540" s="29" t="s">
        <v>2055</v>
      </c>
      <c r="K540" s="31">
        <v>3</v>
      </c>
      <c r="L540" s="29" t="s">
        <v>81</v>
      </c>
      <c r="M540" s="29" t="s">
        <v>38</v>
      </c>
      <c r="N540" s="31">
        <v>1472.22</v>
      </c>
    </row>
    <row r="541" ht="29.75" spans="1:14">
      <c r="A541" s="29" t="s">
        <v>2056</v>
      </c>
      <c r="B541" s="30">
        <v>45706</v>
      </c>
      <c r="C541" s="29" t="s">
        <v>2057</v>
      </c>
      <c r="D541" s="29" t="s">
        <v>73</v>
      </c>
      <c r="E541" s="31">
        <v>3</v>
      </c>
      <c r="F541" s="31">
        <v>531.72</v>
      </c>
      <c r="G541" s="29" t="s">
        <v>2058</v>
      </c>
      <c r="H541" s="29" t="s">
        <v>60</v>
      </c>
      <c r="I541" s="29" t="s">
        <v>50</v>
      </c>
      <c r="J541" s="29" t="s">
        <v>2059</v>
      </c>
      <c r="K541" s="31">
        <v>7</v>
      </c>
      <c r="L541" s="29" t="s">
        <v>21</v>
      </c>
      <c r="M541" s="29" t="s">
        <v>76</v>
      </c>
      <c r="N541" s="31">
        <v>1595.16</v>
      </c>
    </row>
    <row r="542" ht="29.75" spans="1:14">
      <c r="A542" s="29" t="s">
        <v>2060</v>
      </c>
      <c r="B542" s="30">
        <v>45320</v>
      </c>
      <c r="C542" s="29" t="s">
        <v>2061</v>
      </c>
      <c r="D542" s="29" t="s">
        <v>58</v>
      </c>
      <c r="E542" s="31">
        <v>5</v>
      </c>
      <c r="F542" s="31">
        <v>648.65</v>
      </c>
      <c r="G542" s="29" t="s">
        <v>2062</v>
      </c>
      <c r="H542" s="29" t="s">
        <v>27</v>
      </c>
      <c r="I542" s="29" t="s">
        <v>89</v>
      </c>
      <c r="J542" s="29" t="s">
        <v>2063</v>
      </c>
      <c r="K542" s="31">
        <v>7</v>
      </c>
      <c r="L542" s="29"/>
      <c r="M542" s="29" t="s">
        <v>29</v>
      </c>
      <c r="N542" s="31">
        <v>3243.25</v>
      </c>
    </row>
    <row r="543" ht="29.75" spans="1:14">
      <c r="A543" s="29" t="s">
        <v>2064</v>
      </c>
      <c r="B543" s="30">
        <v>45145</v>
      </c>
      <c r="C543" s="29" t="s">
        <v>2065</v>
      </c>
      <c r="D543" s="29" t="s">
        <v>48</v>
      </c>
      <c r="E543" s="31">
        <v>5</v>
      </c>
      <c r="F543" s="31">
        <v>456.06</v>
      </c>
      <c r="G543" s="29" t="s">
        <v>2066</v>
      </c>
      <c r="H543" s="29" t="s">
        <v>65</v>
      </c>
      <c r="I543" s="29" t="s">
        <v>89</v>
      </c>
      <c r="J543" s="29" t="s">
        <v>2067</v>
      </c>
      <c r="K543" s="31">
        <v>10</v>
      </c>
      <c r="L543" s="29"/>
      <c r="M543" s="29" t="s">
        <v>22</v>
      </c>
      <c r="N543" s="31">
        <v>2280.3</v>
      </c>
    </row>
    <row r="544" ht="29.75" spans="1:14">
      <c r="A544" s="29" t="s">
        <v>2068</v>
      </c>
      <c r="B544" s="30">
        <v>45244</v>
      </c>
      <c r="C544" s="29" t="s">
        <v>2069</v>
      </c>
      <c r="D544" s="29" t="s">
        <v>32</v>
      </c>
      <c r="E544" s="31">
        <v>1</v>
      </c>
      <c r="F544" s="31">
        <v>17.98</v>
      </c>
      <c r="G544" s="29" t="s">
        <v>54</v>
      </c>
      <c r="H544" s="29" t="s">
        <v>65</v>
      </c>
      <c r="I544" s="29" t="s">
        <v>35</v>
      </c>
      <c r="J544" s="29" t="s">
        <v>2070</v>
      </c>
      <c r="K544" s="31">
        <v>6</v>
      </c>
      <c r="L544" s="29" t="s">
        <v>37</v>
      </c>
      <c r="M544" s="29" t="s">
        <v>38</v>
      </c>
      <c r="N544" s="31">
        <v>17.98</v>
      </c>
    </row>
    <row r="545" ht="29.75" spans="1:14">
      <c r="A545" s="29" t="s">
        <v>2071</v>
      </c>
      <c r="B545" s="30">
        <v>45360</v>
      </c>
      <c r="C545" s="29" t="s">
        <v>2072</v>
      </c>
      <c r="D545" s="29" t="s">
        <v>73</v>
      </c>
      <c r="E545" s="31">
        <v>5</v>
      </c>
      <c r="F545" s="31">
        <v>269.86</v>
      </c>
      <c r="G545" s="29" t="s">
        <v>731</v>
      </c>
      <c r="H545" s="29" t="s">
        <v>65</v>
      </c>
      <c r="I545" s="29" t="s">
        <v>19</v>
      </c>
      <c r="J545" s="29" t="s">
        <v>2073</v>
      </c>
      <c r="K545" s="31">
        <v>6</v>
      </c>
      <c r="L545" s="29" t="s">
        <v>81</v>
      </c>
      <c r="M545" s="29" t="s">
        <v>45</v>
      </c>
      <c r="N545" s="31">
        <v>1349.3</v>
      </c>
    </row>
    <row r="546" ht="29.75" spans="1:14">
      <c r="A546" s="29" t="s">
        <v>2074</v>
      </c>
      <c r="B546" s="30">
        <v>45361</v>
      </c>
      <c r="C546" s="29" t="s">
        <v>2075</v>
      </c>
      <c r="D546" s="29" t="s">
        <v>48</v>
      </c>
      <c r="E546" s="31">
        <v>5</v>
      </c>
      <c r="F546" s="31">
        <v>31.96</v>
      </c>
      <c r="G546" s="29" t="s">
        <v>1515</v>
      </c>
      <c r="H546" s="29" t="s">
        <v>34</v>
      </c>
      <c r="I546" s="29" t="s">
        <v>43</v>
      </c>
      <c r="J546" s="29" t="s">
        <v>2076</v>
      </c>
      <c r="K546" s="31">
        <v>5</v>
      </c>
      <c r="L546" s="29" t="s">
        <v>37</v>
      </c>
      <c r="M546" s="29" t="s">
        <v>29</v>
      </c>
      <c r="N546" s="31">
        <v>159.8</v>
      </c>
    </row>
    <row r="547" ht="29.75" spans="1:14">
      <c r="A547" s="29" t="s">
        <v>2077</v>
      </c>
      <c r="B547" s="30">
        <v>45279</v>
      </c>
      <c r="C547" s="29" t="s">
        <v>2078</v>
      </c>
      <c r="D547" s="29" t="s">
        <v>16</v>
      </c>
      <c r="E547" s="31">
        <v>2</v>
      </c>
      <c r="F547" s="31">
        <v>98.47</v>
      </c>
      <c r="G547" s="29" t="s">
        <v>2079</v>
      </c>
      <c r="H547" s="29" t="s">
        <v>65</v>
      </c>
      <c r="I547" s="29" t="s">
        <v>43</v>
      </c>
      <c r="J547" s="29" t="s">
        <v>2080</v>
      </c>
      <c r="K547" s="31">
        <v>3</v>
      </c>
      <c r="L547" s="29"/>
      <c r="M547" s="29" t="s">
        <v>22</v>
      </c>
      <c r="N547" s="31">
        <v>196.94</v>
      </c>
    </row>
    <row r="548" ht="29.75" spans="1:14">
      <c r="A548" s="29" t="s">
        <v>2081</v>
      </c>
      <c r="B548" s="30">
        <v>45352</v>
      </c>
      <c r="C548" s="29" t="s">
        <v>2082</v>
      </c>
      <c r="D548" s="29" t="s">
        <v>16</v>
      </c>
      <c r="E548" s="31">
        <v>1</v>
      </c>
      <c r="F548" s="31">
        <v>158.68</v>
      </c>
      <c r="G548" s="29" t="s">
        <v>17</v>
      </c>
      <c r="H548" s="29" t="s">
        <v>34</v>
      </c>
      <c r="I548" s="29" t="s">
        <v>43</v>
      </c>
      <c r="J548" s="29" t="s">
        <v>2083</v>
      </c>
      <c r="K548" s="31">
        <v>6</v>
      </c>
      <c r="L548" s="29" t="s">
        <v>81</v>
      </c>
      <c r="M548" s="29" t="s">
        <v>22</v>
      </c>
      <c r="N548" s="31">
        <v>158.68</v>
      </c>
    </row>
    <row r="549" ht="29.75" spans="1:14">
      <c r="A549" s="29" t="s">
        <v>2084</v>
      </c>
      <c r="B549" s="30">
        <v>45158</v>
      </c>
      <c r="C549" s="29" t="s">
        <v>2085</v>
      </c>
      <c r="D549" s="29" t="s">
        <v>25</v>
      </c>
      <c r="E549" s="31">
        <v>1</v>
      </c>
      <c r="F549" s="31">
        <v>613.98</v>
      </c>
      <c r="G549" s="29" t="s">
        <v>2086</v>
      </c>
      <c r="H549" s="29" t="s">
        <v>27</v>
      </c>
      <c r="I549" s="29" t="s">
        <v>50</v>
      </c>
      <c r="J549" s="29" t="s">
        <v>2087</v>
      </c>
      <c r="K549" s="31">
        <v>4</v>
      </c>
      <c r="L549" s="29" t="s">
        <v>37</v>
      </c>
      <c r="M549" s="29" t="s">
        <v>45</v>
      </c>
      <c r="N549" s="31">
        <v>613.98</v>
      </c>
    </row>
    <row r="550" ht="29.75" spans="1:14">
      <c r="A550" s="29" t="s">
        <v>2088</v>
      </c>
      <c r="B550" s="30">
        <v>45296</v>
      </c>
      <c r="C550" s="29" t="s">
        <v>2089</v>
      </c>
      <c r="D550" s="29" t="s">
        <v>48</v>
      </c>
      <c r="E550" s="31">
        <v>3</v>
      </c>
      <c r="F550" s="31">
        <v>426.12</v>
      </c>
      <c r="G550" s="29" t="s">
        <v>422</v>
      </c>
      <c r="H550" s="29" t="s">
        <v>27</v>
      </c>
      <c r="I550" s="29" t="s">
        <v>50</v>
      </c>
      <c r="J550" s="29" t="s">
        <v>2090</v>
      </c>
      <c r="K550" s="31">
        <v>5</v>
      </c>
      <c r="L550" s="29" t="s">
        <v>81</v>
      </c>
      <c r="M550" s="29" t="s">
        <v>22</v>
      </c>
      <c r="N550" s="31">
        <v>1278.36</v>
      </c>
    </row>
    <row r="551" ht="29.75" spans="1:14">
      <c r="A551" s="29" t="s">
        <v>2091</v>
      </c>
      <c r="B551" s="30">
        <v>45713</v>
      </c>
      <c r="C551" s="29" t="s">
        <v>2092</v>
      </c>
      <c r="D551" s="29" t="s">
        <v>16</v>
      </c>
      <c r="E551" s="31">
        <v>4</v>
      </c>
      <c r="F551" s="31">
        <v>629.88</v>
      </c>
      <c r="G551" s="29" t="s">
        <v>2093</v>
      </c>
      <c r="H551" s="29" t="s">
        <v>18</v>
      </c>
      <c r="I551" s="29" t="s">
        <v>35</v>
      </c>
      <c r="J551" s="29" t="s">
        <v>2094</v>
      </c>
      <c r="K551" s="31">
        <v>8</v>
      </c>
      <c r="L551" s="29" t="s">
        <v>81</v>
      </c>
      <c r="M551" s="29" t="s">
        <v>22</v>
      </c>
      <c r="N551" s="31">
        <v>2519.52</v>
      </c>
    </row>
    <row r="552" ht="29.75" spans="1:14">
      <c r="A552" s="29" t="s">
        <v>2095</v>
      </c>
      <c r="B552" s="30">
        <v>45228</v>
      </c>
      <c r="C552" s="29" t="s">
        <v>2096</v>
      </c>
      <c r="D552" s="29" t="s">
        <v>58</v>
      </c>
      <c r="E552" s="31">
        <v>4</v>
      </c>
      <c r="F552" s="31">
        <v>228.91</v>
      </c>
      <c r="G552" s="29" t="s">
        <v>599</v>
      </c>
      <c r="H552" s="29" t="s">
        <v>65</v>
      </c>
      <c r="I552" s="29" t="s">
        <v>19</v>
      </c>
      <c r="J552" s="29" t="s">
        <v>2097</v>
      </c>
      <c r="K552" s="31">
        <v>4</v>
      </c>
      <c r="L552" s="29" t="s">
        <v>37</v>
      </c>
      <c r="M552" s="29" t="s">
        <v>76</v>
      </c>
      <c r="N552" s="31">
        <v>915.64</v>
      </c>
    </row>
    <row r="553" ht="29.75" spans="1:14">
      <c r="A553" s="29" t="s">
        <v>2098</v>
      </c>
      <c r="B553" s="30">
        <v>45064</v>
      </c>
      <c r="C553" s="29" t="s">
        <v>2099</v>
      </c>
      <c r="D553" s="29" t="s">
        <v>58</v>
      </c>
      <c r="E553" s="31">
        <v>1</v>
      </c>
      <c r="F553" s="31">
        <v>120.98</v>
      </c>
      <c r="G553" s="29" t="s">
        <v>537</v>
      </c>
      <c r="H553" s="29" t="s">
        <v>18</v>
      </c>
      <c r="I553" s="29" t="s">
        <v>50</v>
      </c>
      <c r="J553" s="29" t="s">
        <v>2100</v>
      </c>
      <c r="K553" s="31">
        <v>6</v>
      </c>
      <c r="L553" s="29" t="s">
        <v>81</v>
      </c>
      <c r="M553" s="29" t="s">
        <v>38</v>
      </c>
      <c r="N553" s="31">
        <v>120.98</v>
      </c>
    </row>
    <row r="554" ht="29.75" spans="1:14">
      <c r="A554" s="29" t="s">
        <v>2101</v>
      </c>
      <c r="B554" s="30">
        <v>45199</v>
      </c>
      <c r="C554" s="29" t="s">
        <v>2102</v>
      </c>
      <c r="D554" s="29" t="s">
        <v>41</v>
      </c>
      <c r="E554" s="31">
        <v>4</v>
      </c>
      <c r="F554" s="31">
        <v>425.18</v>
      </c>
      <c r="G554" s="29" t="s">
        <v>1956</v>
      </c>
      <c r="H554" s="29" t="s">
        <v>27</v>
      </c>
      <c r="I554" s="29" t="s">
        <v>43</v>
      </c>
      <c r="J554" s="29" t="s">
        <v>2103</v>
      </c>
      <c r="K554" s="31">
        <v>8</v>
      </c>
      <c r="L554" s="29" t="s">
        <v>81</v>
      </c>
      <c r="M554" s="29" t="s">
        <v>45</v>
      </c>
      <c r="N554" s="31">
        <v>1700.72</v>
      </c>
    </row>
    <row r="555" ht="29.75" spans="1:14">
      <c r="A555" s="29" t="s">
        <v>2104</v>
      </c>
      <c r="B555" s="30">
        <v>45161</v>
      </c>
      <c r="C555" s="29" t="s">
        <v>2105</v>
      </c>
      <c r="D555" s="29" t="s">
        <v>25</v>
      </c>
      <c r="E555" s="31">
        <v>2</v>
      </c>
      <c r="F555" s="31">
        <v>333.83</v>
      </c>
      <c r="G555" s="29" t="s">
        <v>2106</v>
      </c>
      <c r="H555" s="29" t="s">
        <v>60</v>
      </c>
      <c r="I555" s="29" t="s">
        <v>35</v>
      </c>
      <c r="J555" s="29" t="s">
        <v>2107</v>
      </c>
      <c r="K555" s="31">
        <v>4</v>
      </c>
      <c r="L555" s="29" t="s">
        <v>37</v>
      </c>
      <c r="M555" s="29" t="s">
        <v>29</v>
      </c>
      <c r="N555" s="31">
        <v>667.66</v>
      </c>
    </row>
    <row r="556" ht="29.75" spans="1:14">
      <c r="A556" s="29" t="s">
        <v>2108</v>
      </c>
      <c r="B556" s="30">
        <v>45807</v>
      </c>
      <c r="C556" s="29" t="s">
        <v>2109</v>
      </c>
      <c r="D556" s="29" t="s">
        <v>58</v>
      </c>
      <c r="E556" s="31">
        <v>2</v>
      </c>
      <c r="F556" s="31">
        <v>492.9</v>
      </c>
      <c r="G556" s="29" t="s">
        <v>937</v>
      </c>
      <c r="H556" s="29" t="s">
        <v>65</v>
      </c>
      <c r="I556" s="29" t="s">
        <v>43</v>
      </c>
      <c r="J556" s="29" t="s">
        <v>2110</v>
      </c>
      <c r="K556" s="31">
        <v>5</v>
      </c>
      <c r="L556" s="29" t="s">
        <v>37</v>
      </c>
      <c r="M556" s="29" t="s">
        <v>22</v>
      </c>
      <c r="N556" s="31">
        <v>985.8</v>
      </c>
    </row>
    <row r="557" ht="29.75" spans="1:14">
      <c r="A557" s="29" t="s">
        <v>2111</v>
      </c>
      <c r="B557" s="30">
        <v>44933</v>
      </c>
      <c r="C557" s="29" t="s">
        <v>2112</v>
      </c>
      <c r="D557" s="29" t="s">
        <v>32</v>
      </c>
      <c r="E557" s="31">
        <v>1</v>
      </c>
      <c r="F557" s="31">
        <v>92.04</v>
      </c>
      <c r="G557" s="29" t="s">
        <v>79</v>
      </c>
      <c r="H557" s="29" t="s">
        <v>65</v>
      </c>
      <c r="I557" s="29" t="s">
        <v>19</v>
      </c>
      <c r="J557" s="29" t="s">
        <v>2113</v>
      </c>
      <c r="K557" s="31">
        <v>2</v>
      </c>
      <c r="L557" s="29"/>
      <c r="M557" s="29" t="s">
        <v>45</v>
      </c>
      <c r="N557" s="31">
        <v>92.04</v>
      </c>
    </row>
    <row r="558" ht="29.75" spans="1:14">
      <c r="A558" s="29" t="s">
        <v>2114</v>
      </c>
      <c r="B558" s="30">
        <v>44954</v>
      </c>
      <c r="C558" s="29" t="s">
        <v>2115</v>
      </c>
      <c r="D558" s="29" t="s">
        <v>58</v>
      </c>
      <c r="E558" s="31">
        <v>1</v>
      </c>
      <c r="F558" s="31">
        <v>654.27</v>
      </c>
      <c r="G558" s="29" t="s">
        <v>2116</v>
      </c>
      <c r="H558" s="29" t="s">
        <v>60</v>
      </c>
      <c r="I558" s="29" t="s">
        <v>89</v>
      </c>
      <c r="J558" s="29" t="s">
        <v>2117</v>
      </c>
      <c r="K558" s="31">
        <v>2</v>
      </c>
      <c r="L558" s="29" t="s">
        <v>21</v>
      </c>
      <c r="M558" s="29" t="s">
        <v>45</v>
      </c>
      <c r="N558" s="31">
        <v>654.27</v>
      </c>
    </row>
    <row r="559" ht="29.75" spans="1:14">
      <c r="A559" s="29" t="s">
        <v>2118</v>
      </c>
      <c r="B559" s="30">
        <v>45106</v>
      </c>
      <c r="C559" s="29" t="s">
        <v>2119</v>
      </c>
      <c r="D559" s="29" t="s">
        <v>32</v>
      </c>
      <c r="E559" s="31">
        <v>1</v>
      </c>
      <c r="F559" s="31">
        <v>56.2</v>
      </c>
      <c r="G559" s="29" t="s">
        <v>2120</v>
      </c>
      <c r="H559" s="29" t="s">
        <v>18</v>
      </c>
      <c r="I559" s="29" t="s">
        <v>89</v>
      </c>
      <c r="J559" s="29" t="s">
        <v>2121</v>
      </c>
      <c r="K559" s="31">
        <v>1</v>
      </c>
      <c r="L559" s="29" t="s">
        <v>81</v>
      </c>
      <c r="M559" s="29" t="s">
        <v>45</v>
      </c>
      <c r="N559" s="31">
        <v>56.2</v>
      </c>
    </row>
    <row r="560" ht="29.75" spans="1:14">
      <c r="A560" s="29" t="s">
        <v>2122</v>
      </c>
      <c r="B560" s="30">
        <v>45489</v>
      </c>
      <c r="C560" s="29" t="s">
        <v>2123</v>
      </c>
      <c r="D560" s="29" t="s">
        <v>25</v>
      </c>
      <c r="E560" s="31">
        <v>4</v>
      </c>
      <c r="F560" s="31">
        <v>628.12</v>
      </c>
      <c r="G560" s="29" t="s">
        <v>2124</v>
      </c>
      <c r="H560" s="29" t="s">
        <v>27</v>
      </c>
      <c r="I560" s="29" t="s">
        <v>50</v>
      </c>
      <c r="J560" s="29" t="s">
        <v>2125</v>
      </c>
      <c r="K560" s="31">
        <v>6</v>
      </c>
      <c r="L560" s="29" t="s">
        <v>81</v>
      </c>
      <c r="M560" s="29" t="s">
        <v>22</v>
      </c>
      <c r="N560" s="31">
        <v>2512.48</v>
      </c>
    </row>
    <row r="561" ht="29.75" spans="1:14">
      <c r="A561" s="29" t="s">
        <v>2126</v>
      </c>
      <c r="B561" s="30">
        <v>45397</v>
      </c>
      <c r="C561" s="29" t="s">
        <v>2127</v>
      </c>
      <c r="D561" s="29" t="s">
        <v>73</v>
      </c>
      <c r="E561" s="31">
        <v>3</v>
      </c>
      <c r="F561" s="31">
        <v>157.4</v>
      </c>
      <c r="G561" s="29" t="s">
        <v>1912</v>
      </c>
      <c r="H561" s="29" t="s">
        <v>18</v>
      </c>
      <c r="I561" s="29" t="s">
        <v>35</v>
      </c>
      <c r="J561" s="29" t="s">
        <v>2128</v>
      </c>
      <c r="K561" s="31">
        <v>7</v>
      </c>
      <c r="L561" s="29" t="s">
        <v>81</v>
      </c>
      <c r="M561" s="29" t="s">
        <v>38</v>
      </c>
      <c r="N561" s="31">
        <v>472.2</v>
      </c>
    </row>
    <row r="562" ht="29.75" spans="1:14">
      <c r="A562" s="29" t="s">
        <v>2129</v>
      </c>
      <c r="B562" s="30">
        <v>44957</v>
      </c>
      <c r="C562" s="29" t="s">
        <v>2130</v>
      </c>
      <c r="D562" s="29" t="s">
        <v>16</v>
      </c>
      <c r="E562" s="31">
        <v>4</v>
      </c>
      <c r="F562" s="31">
        <v>588.85</v>
      </c>
      <c r="G562" s="29" t="s">
        <v>2131</v>
      </c>
      <c r="H562" s="29" t="s">
        <v>60</v>
      </c>
      <c r="I562" s="29" t="s">
        <v>89</v>
      </c>
      <c r="J562" s="29" t="s">
        <v>2132</v>
      </c>
      <c r="K562" s="31">
        <v>7</v>
      </c>
      <c r="L562" s="29"/>
      <c r="M562" s="29" t="s">
        <v>38</v>
      </c>
      <c r="N562" s="31">
        <v>2355.4</v>
      </c>
    </row>
    <row r="563" ht="29.75" spans="1:14">
      <c r="A563" s="29" t="s">
        <v>2133</v>
      </c>
      <c r="B563" s="30">
        <v>44957</v>
      </c>
      <c r="C563" s="29" t="s">
        <v>2134</v>
      </c>
      <c r="D563" s="29" t="s">
        <v>48</v>
      </c>
      <c r="E563" s="31">
        <v>2</v>
      </c>
      <c r="F563" s="31">
        <v>494.78</v>
      </c>
      <c r="G563" s="29" t="s">
        <v>2135</v>
      </c>
      <c r="H563" s="29" t="s">
        <v>27</v>
      </c>
      <c r="I563" s="29" t="s">
        <v>19</v>
      </c>
      <c r="J563" s="29" t="s">
        <v>2136</v>
      </c>
      <c r="K563" s="31">
        <v>2</v>
      </c>
      <c r="L563" s="29"/>
      <c r="M563" s="29" t="s">
        <v>76</v>
      </c>
      <c r="N563" s="31">
        <v>989.56</v>
      </c>
    </row>
    <row r="564" ht="29.75" spans="1:14">
      <c r="A564" s="29" t="s">
        <v>2137</v>
      </c>
      <c r="B564" s="30">
        <v>45205</v>
      </c>
      <c r="C564" s="29" t="s">
        <v>2138</v>
      </c>
      <c r="D564" s="29" t="s">
        <v>58</v>
      </c>
      <c r="E564" s="31">
        <v>3</v>
      </c>
      <c r="F564" s="31">
        <v>663.93</v>
      </c>
      <c r="G564" s="29" t="s">
        <v>422</v>
      </c>
      <c r="H564" s="29" t="s">
        <v>60</v>
      </c>
      <c r="I564" s="29" t="s">
        <v>43</v>
      </c>
      <c r="J564" s="29" t="s">
        <v>2139</v>
      </c>
      <c r="K564" s="31">
        <v>6</v>
      </c>
      <c r="L564" s="29" t="s">
        <v>37</v>
      </c>
      <c r="M564" s="29" t="s">
        <v>38</v>
      </c>
      <c r="N564" s="31">
        <v>1991.79</v>
      </c>
    </row>
    <row r="565" ht="29.75" spans="1:14">
      <c r="A565" s="29" t="s">
        <v>2140</v>
      </c>
      <c r="B565" s="30">
        <v>45272</v>
      </c>
      <c r="C565" s="29" t="s">
        <v>2141</v>
      </c>
      <c r="D565" s="29" t="s">
        <v>58</v>
      </c>
      <c r="E565" s="31">
        <v>1</v>
      </c>
      <c r="F565" s="31">
        <v>132.68</v>
      </c>
      <c r="G565" s="29" t="s">
        <v>2142</v>
      </c>
      <c r="H565" s="29" t="s">
        <v>18</v>
      </c>
      <c r="I565" s="29" t="s">
        <v>43</v>
      </c>
      <c r="J565" s="29" t="s">
        <v>2143</v>
      </c>
      <c r="K565" s="31">
        <v>1</v>
      </c>
      <c r="L565" s="29" t="s">
        <v>21</v>
      </c>
      <c r="M565" s="29" t="s">
        <v>29</v>
      </c>
      <c r="N565" s="31">
        <v>132.68</v>
      </c>
    </row>
    <row r="566" ht="29.75" spans="1:14">
      <c r="A566" s="29" t="s">
        <v>2144</v>
      </c>
      <c r="B566" s="30">
        <v>45755</v>
      </c>
      <c r="C566" s="29" t="s">
        <v>2145</v>
      </c>
      <c r="D566" s="29" t="s">
        <v>73</v>
      </c>
      <c r="E566" s="31">
        <v>5</v>
      </c>
      <c r="F566" s="31">
        <v>364.28</v>
      </c>
      <c r="G566" s="29" t="s">
        <v>2146</v>
      </c>
      <c r="H566" s="29" t="s">
        <v>34</v>
      </c>
      <c r="I566" s="29" t="s">
        <v>35</v>
      </c>
      <c r="J566" s="29" t="s">
        <v>2147</v>
      </c>
      <c r="K566" s="31">
        <v>5</v>
      </c>
      <c r="L566" s="29" t="s">
        <v>81</v>
      </c>
      <c r="M566" s="29" t="s">
        <v>76</v>
      </c>
      <c r="N566" s="31">
        <v>1821.4</v>
      </c>
    </row>
    <row r="567" ht="29.75" spans="1:14">
      <c r="A567" s="29" t="s">
        <v>2148</v>
      </c>
      <c r="B567" s="30">
        <v>45060</v>
      </c>
      <c r="C567" s="29" t="s">
        <v>2149</v>
      </c>
      <c r="D567" s="29" t="s">
        <v>32</v>
      </c>
      <c r="E567" s="31">
        <v>5</v>
      </c>
      <c r="F567" s="31">
        <v>307.98</v>
      </c>
      <c r="G567" s="29" t="s">
        <v>1790</v>
      </c>
      <c r="H567" s="29" t="s">
        <v>27</v>
      </c>
      <c r="I567" s="29" t="s">
        <v>89</v>
      </c>
      <c r="J567" s="29" t="s">
        <v>2150</v>
      </c>
      <c r="K567" s="31">
        <v>10</v>
      </c>
      <c r="L567" s="29"/>
      <c r="M567" s="29" t="s">
        <v>45</v>
      </c>
      <c r="N567" s="31">
        <v>1539.9</v>
      </c>
    </row>
    <row r="568" ht="29.75" spans="1:14">
      <c r="A568" s="29" t="s">
        <v>2151</v>
      </c>
      <c r="B568" s="30">
        <v>45400</v>
      </c>
      <c r="C568" s="29" t="s">
        <v>2152</v>
      </c>
      <c r="D568" s="29" t="s">
        <v>25</v>
      </c>
      <c r="E568" s="31">
        <v>4</v>
      </c>
      <c r="F568" s="31">
        <v>162.71</v>
      </c>
      <c r="G568" s="29" t="s">
        <v>2153</v>
      </c>
      <c r="H568" s="29" t="s">
        <v>65</v>
      </c>
      <c r="I568" s="29" t="s">
        <v>35</v>
      </c>
      <c r="J568" s="29" t="s">
        <v>2154</v>
      </c>
      <c r="K568" s="31">
        <v>7</v>
      </c>
      <c r="L568" s="29" t="s">
        <v>37</v>
      </c>
      <c r="M568" s="29" t="s">
        <v>38</v>
      </c>
      <c r="N568" s="31">
        <v>650.84</v>
      </c>
    </row>
    <row r="569" ht="29.75" spans="1:14">
      <c r="A569" s="29" t="s">
        <v>2155</v>
      </c>
      <c r="B569" s="30">
        <v>45565</v>
      </c>
      <c r="C569" s="29" t="s">
        <v>2156</v>
      </c>
      <c r="D569" s="29" t="s">
        <v>41</v>
      </c>
      <c r="E569" s="31">
        <v>5</v>
      </c>
      <c r="F569" s="31">
        <v>492.94</v>
      </c>
      <c r="G569" s="29" t="s">
        <v>1043</v>
      </c>
      <c r="H569" s="29" t="s">
        <v>65</v>
      </c>
      <c r="I569" s="29" t="s">
        <v>19</v>
      </c>
      <c r="J569" s="29" t="s">
        <v>2157</v>
      </c>
      <c r="K569" s="31">
        <v>10</v>
      </c>
      <c r="L569" s="29" t="s">
        <v>37</v>
      </c>
      <c r="M569" s="29" t="s">
        <v>38</v>
      </c>
      <c r="N569" s="31">
        <v>2464.7</v>
      </c>
    </row>
    <row r="570" ht="29.75" spans="1:14">
      <c r="A570" s="29" t="s">
        <v>2158</v>
      </c>
      <c r="B570" s="30">
        <v>44995</v>
      </c>
      <c r="C570" s="29" t="s">
        <v>2159</v>
      </c>
      <c r="D570" s="29" t="s">
        <v>58</v>
      </c>
      <c r="E570" s="31">
        <v>2</v>
      </c>
      <c r="F570" s="31">
        <v>343.99</v>
      </c>
      <c r="G570" s="29" t="s">
        <v>1431</v>
      </c>
      <c r="H570" s="29" t="s">
        <v>27</v>
      </c>
      <c r="I570" s="29" t="s">
        <v>50</v>
      </c>
      <c r="J570" s="29" t="s">
        <v>2160</v>
      </c>
      <c r="K570" s="31">
        <v>4</v>
      </c>
      <c r="L570" s="29"/>
      <c r="M570" s="29" t="s">
        <v>76</v>
      </c>
      <c r="N570" s="31">
        <v>687.98</v>
      </c>
    </row>
    <row r="571" ht="29.75" spans="1:14">
      <c r="A571" s="29" t="s">
        <v>2161</v>
      </c>
      <c r="B571" s="30">
        <v>45738</v>
      </c>
      <c r="C571" s="29" t="s">
        <v>2162</v>
      </c>
      <c r="D571" s="29" t="s">
        <v>73</v>
      </c>
      <c r="E571" s="31">
        <v>5</v>
      </c>
      <c r="F571" s="31">
        <v>250.68</v>
      </c>
      <c r="G571" s="29" t="s">
        <v>1815</v>
      </c>
      <c r="H571" s="29" t="s">
        <v>65</v>
      </c>
      <c r="I571" s="29" t="s">
        <v>19</v>
      </c>
      <c r="J571" s="29" t="s">
        <v>2163</v>
      </c>
      <c r="K571" s="31">
        <v>8</v>
      </c>
      <c r="L571" s="29" t="s">
        <v>21</v>
      </c>
      <c r="M571" s="29" t="s">
        <v>22</v>
      </c>
      <c r="N571" s="31">
        <v>1253.4</v>
      </c>
    </row>
    <row r="572" ht="29.75" spans="1:14">
      <c r="A572" s="29" t="s">
        <v>2164</v>
      </c>
      <c r="B572" s="30">
        <v>45653</v>
      </c>
      <c r="C572" s="29" t="s">
        <v>2165</v>
      </c>
      <c r="D572" s="29" t="s">
        <v>73</v>
      </c>
      <c r="E572" s="31">
        <v>2</v>
      </c>
      <c r="F572" s="31">
        <v>362.14</v>
      </c>
      <c r="G572" s="29" t="s">
        <v>494</v>
      </c>
      <c r="H572" s="29" t="s">
        <v>18</v>
      </c>
      <c r="I572" s="29" t="s">
        <v>89</v>
      </c>
      <c r="J572" s="29" t="s">
        <v>2166</v>
      </c>
      <c r="K572" s="31">
        <v>2</v>
      </c>
      <c r="L572" s="29" t="s">
        <v>21</v>
      </c>
      <c r="M572" s="29" t="s">
        <v>22</v>
      </c>
      <c r="N572" s="31">
        <v>724.28</v>
      </c>
    </row>
    <row r="573" ht="29.75" spans="1:14">
      <c r="A573" s="29" t="s">
        <v>2167</v>
      </c>
      <c r="B573" s="30">
        <v>45619</v>
      </c>
      <c r="C573" s="29" t="s">
        <v>2168</v>
      </c>
      <c r="D573" s="29" t="s">
        <v>32</v>
      </c>
      <c r="E573" s="31">
        <v>1</v>
      </c>
      <c r="F573" s="31">
        <v>214.08</v>
      </c>
      <c r="G573" s="29" t="s">
        <v>1838</v>
      </c>
      <c r="H573" s="29" t="s">
        <v>60</v>
      </c>
      <c r="I573" s="29" t="s">
        <v>43</v>
      </c>
      <c r="J573" s="29" t="s">
        <v>2169</v>
      </c>
      <c r="K573" s="31">
        <v>2</v>
      </c>
      <c r="L573" s="29" t="s">
        <v>81</v>
      </c>
      <c r="M573" s="29" t="s">
        <v>76</v>
      </c>
      <c r="N573" s="31">
        <v>214.08</v>
      </c>
    </row>
    <row r="574" ht="29.75" spans="1:14">
      <c r="A574" s="29" t="s">
        <v>2170</v>
      </c>
      <c r="B574" s="30">
        <v>45241</v>
      </c>
      <c r="C574" s="29" t="s">
        <v>2171</v>
      </c>
      <c r="D574" s="29" t="s">
        <v>48</v>
      </c>
      <c r="E574" s="31">
        <v>1</v>
      </c>
      <c r="F574" s="31">
        <v>70.32</v>
      </c>
      <c r="G574" s="29" t="s">
        <v>1481</v>
      </c>
      <c r="H574" s="29" t="s">
        <v>65</v>
      </c>
      <c r="I574" s="29" t="s">
        <v>43</v>
      </c>
      <c r="J574" s="29" t="s">
        <v>2172</v>
      </c>
      <c r="K574" s="31">
        <v>4</v>
      </c>
      <c r="L574" s="29" t="s">
        <v>81</v>
      </c>
      <c r="M574" s="29" t="s">
        <v>45</v>
      </c>
      <c r="N574" s="31">
        <v>70.32</v>
      </c>
    </row>
    <row r="575" ht="29.75" spans="1:14">
      <c r="A575" s="29" t="s">
        <v>2173</v>
      </c>
      <c r="B575" s="30">
        <v>44951</v>
      </c>
      <c r="C575" s="29" t="s">
        <v>2174</v>
      </c>
      <c r="D575" s="29" t="s">
        <v>41</v>
      </c>
      <c r="E575" s="31">
        <v>5</v>
      </c>
      <c r="F575" s="31">
        <v>421.42</v>
      </c>
      <c r="G575" s="29" t="s">
        <v>466</v>
      </c>
      <c r="H575" s="29" t="s">
        <v>18</v>
      </c>
      <c r="I575" s="29" t="s">
        <v>35</v>
      </c>
      <c r="J575" s="29" t="s">
        <v>2175</v>
      </c>
      <c r="K575" s="31">
        <v>7</v>
      </c>
      <c r="L575" s="29"/>
      <c r="M575" s="29" t="s">
        <v>22</v>
      </c>
      <c r="N575" s="31">
        <v>2107.1</v>
      </c>
    </row>
    <row r="576" ht="29.75" spans="1:14">
      <c r="A576" s="29" t="s">
        <v>2176</v>
      </c>
      <c r="B576" s="30">
        <v>45315</v>
      </c>
      <c r="C576" s="29" t="s">
        <v>2177</v>
      </c>
      <c r="D576" s="29" t="s">
        <v>41</v>
      </c>
      <c r="E576" s="31">
        <v>5</v>
      </c>
      <c r="F576" s="31">
        <v>384.69</v>
      </c>
      <c r="G576" s="29" t="s">
        <v>42</v>
      </c>
      <c r="H576" s="29" t="s">
        <v>34</v>
      </c>
      <c r="I576" s="29" t="s">
        <v>89</v>
      </c>
      <c r="J576" s="29" t="s">
        <v>2178</v>
      </c>
      <c r="K576" s="31">
        <v>6</v>
      </c>
      <c r="L576" s="29" t="s">
        <v>37</v>
      </c>
      <c r="M576" s="29" t="s">
        <v>38</v>
      </c>
      <c r="N576" s="31">
        <v>1923.45</v>
      </c>
    </row>
    <row r="577" ht="29.75" spans="1:14">
      <c r="A577" s="29" t="s">
        <v>2179</v>
      </c>
      <c r="B577" s="30">
        <v>45084</v>
      </c>
      <c r="C577" s="29" t="s">
        <v>2180</v>
      </c>
      <c r="D577" s="29" t="s">
        <v>41</v>
      </c>
      <c r="E577" s="31">
        <v>5</v>
      </c>
      <c r="F577" s="31">
        <v>448.15</v>
      </c>
      <c r="G577" s="29" t="s">
        <v>2181</v>
      </c>
      <c r="H577" s="29" t="s">
        <v>60</v>
      </c>
      <c r="I577" s="29" t="s">
        <v>43</v>
      </c>
      <c r="J577" s="29" t="s">
        <v>2182</v>
      </c>
      <c r="K577" s="31">
        <v>7</v>
      </c>
      <c r="L577" s="29" t="s">
        <v>21</v>
      </c>
      <c r="M577" s="29" t="s">
        <v>76</v>
      </c>
      <c r="N577" s="31">
        <v>2240.75</v>
      </c>
    </row>
    <row r="578" ht="29.75" spans="1:14">
      <c r="A578" s="29" t="s">
        <v>2183</v>
      </c>
      <c r="B578" s="30">
        <v>45441</v>
      </c>
      <c r="C578" s="29" t="s">
        <v>2184</v>
      </c>
      <c r="D578" s="29" t="s">
        <v>58</v>
      </c>
      <c r="E578" s="31">
        <v>5</v>
      </c>
      <c r="F578" s="31">
        <v>79.08</v>
      </c>
      <c r="G578" s="29" t="s">
        <v>1415</v>
      </c>
      <c r="H578" s="29" t="s">
        <v>65</v>
      </c>
      <c r="I578" s="29" t="s">
        <v>89</v>
      </c>
      <c r="J578" s="29" t="s">
        <v>2185</v>
      </c>
      <c r="K578" s="31">
        <v>8</v>
      </c>
      <c r="L578" s="29"/>
      <c r="M578" s="29" t="s">
        <v>45</v>
      </c>
      <c r="N578" s="31">
        <v>395.4</v>
      </c>
    </row>
    <row r="579" ht="29.75" spans="1:14">
      <c r="A579" s="29" t="s">
        <v>2186</v>
      </c>
      <c r="B579" s="30">
        <v>44948</v>
      </c>
      <c r="C579" s="29" t="s">
        <v>2187</v>
      </c>
      <c r="D579" s="29" t="s">
        <v>32</v>
      </c>
      <c r="E579" s="31">
        <v>4</v>
      </c>
      <c r="F579" s="31">
        <v>185.41</v>
      </c>
      <c r="G579" s="29" t="s">
        <v>371</v>
      </c>
      <c r="H579" s="29" t="s">
        <v>27</v>
      </c>
      <c r="I579" s="29" t="s">
        <v>43</v>
      </c>
      <c r="J579" s="29" t="s">
        <v>2188</v>
      </c>
      <c r="K579" s="31">
        <v>9</v>
      </c>
      <c r="L579" s="29" t="s">
        <v>81</v>
      </c>
      <c r="M579" s="29" t="s">
        <v>76</v>
      </c>
      <c r="N579" s="31">
        <v>741.64</v>
      </c>
    </row>
    <row r="580" ht="29.75" spans="1:14">
      <c r="A580" s="29" t="s">
        <v>2189</v>
      </c>
      <c r="B580" s="30">
        <v>45575</v>
      </c>
      <c r="C580" s="29" t="s">
        <v>2190</v>
      </c>
      <c r="D580" s="29" t="s">
        <v>16</v>
      </c>
      <c r="E580" s="31">
        <v>5</v>
      </c>
      <c r="F580" s="31">
        <v>566.07</v>
      </c>
      <c r="G580" s="29" t="s">
        <v>121</v>
      </c>
      <c r="H580" s="29" t="s">
        <v>34</v>
      </c>
      <c r="I580" s="29" t="s">
        <v>50</v>
      </c>
      <c r="J580" s="29" t="s">
        <v>2191</v>
      </c>
      <c r="K580" s="31">
        <v>6</v>
      </c>
      <c r="L580" s="29" t="s">
        <v>21</v>
      </c>
      <c r="M580" s="29" t="s">
        <v>22</v>
      </c>
      <c r="N580" s="31">
        <v>2830.35</v>
      </c>
    </row>
    <row r="581" ht="29.75" spans="1:14">
      <c r="A581" s="29" t="s">
        <v>2192</v>
      </c>
      <c r="B581" s="30">
        <v>45081</v>
      </c>
      <c r="C581" s="29" t="s">
        <v>2193</v>
      </c>
      <c r="D581" s="29" t="s">
        <v>32</v>
      </c>
      <c r="E581" s="31">
        <v>2</v>
      </c>
      <c r="F581" s="31">
        <v>187.88</v>
      </c>
      <c r="G581" s="29" t="s">
        <v>1267</v>
      </c>
      <c r="H581" s="29" t="s">
        <v>27</v>
      </c>
      <c r="I581" s="29" t="s">
        <v>19</v>
      </c>
      <c r="J581" s="29" t="s">
        <v>2194</v>
      </c>
      <c r="K581" s="31">
        <v>4</v>
      </c>
      <c r="L581" s="29" t="s">
        <v>81</v>
      </c>
      <c r="M581" s="29" t="s">
        <v>45</v>
      </c>
      <c r="N581" s="31">
        <v>375.76</v>
      </c>
    </row>
    <row r="582" ht="29.75" spans="1:14">
      <c r="A582" s="29" t="s">
        <v>2195</v>
      </c>
      <c r="B582" s="30">
        <v>45244</v>
      </c>
      <c r="C582" s="29" t="s">
        <v>2196</v>
      </c>
      <c r="D582" s="29" t="s">
        <v>16</v>
      </c>
      <c r="E582" s="31">
        <v>2</v>
      </c>
      <c r="F582" s="31">
        <v>255.99</v>
      </c>
      <c r="G582" s="29" t="s">
        <v>2197</v>
      </c>
      <c r="H582" s="29" t="s">
        <v>34</v>
      </c>
      <c r="I582" s="29" t="s">
        <v>50</v>
      </c>
      <c r="J582" s="29" t="s">
        <v>2198</v>
      </c>
      <c r="K582" s="31">
        <v>4</v>
      </c>
      <c r="L582" s="29" t="s">
        <v>21</v>
      </c>
      <c r="M582" s="29" t="s">
        <v>22</v>
      </c>
      <c r="N582" s="31">
        <v>511.98</v>
      </c>
    </row>
    <row r="583" ht="29.75" spans="1:14">
      <c r="A583" s="29" t="s">
        <v>2199</v>
      </c>
      <c r="B583" s="30">
        <v>45607</v>
      </c>
      <c r="C583" s="29" t="s">
        <v>2200</v>
      </c>
      <c r="D583" s="29" t="s">
        <v>58</v>
      </c>
      <c r="E583" s="31">
        <v>1</v>
      </c>
      <c r="F583" s="31">
        <v>627.34</v>
      </c>
      <c r="G583" s="29" t="s">
        <v>101</v>
      </c>
      <c r="H583" s="29" t="s">
        <v>27</v>
      </c>
      <c r="I583" s="29" t="s">
        <v>50</v>
      </c>
      <c r="J583" s="29" t="s">
        <v>2201</v>
      </c>
      <c r="K583" s="31">
        <v>1</v>
      </c>
      <c r="L583" s="29"/>
      <c r="M583" s="29" t="s">
        <v>29</v>
      </c>
      <c r="N583" s="31">
        <v>627.34</v>
      </c>
    </row>
    <row r="584" ht="29.75" spans="1:14">
      <c r="A584" s="29" t="s">
        <v>2202</v>
      </c>
      <c r="B584" s="30">
        <v>45341</v>
      </c>
      <c r="C584" s="29" t="s">
        <v>2203</v>
      </c>
      <c r="D584" s="29" t="s">
        <v>32</v>
      </c>
      <c r="E584" s="31">
        <v>3</v>
      </c>
      <c r="F584" s="31">
        <v>474.14</v>
      </c>
      <c r="G584" s="29" t="s">
        <v>1525</v>
      </c>
      <c r="H584" s="29" t="s">
        <v>60</v>
      </c>
      <c r="I584" s="29" t="s">
        <v>19</v>
      </c>
      <c r="J584" s="29" t="s">
        <v>2204</v>
      </c>
      <c r="K584" s="31">
        <v>8</v>
      </c>
      <c r="L584" s="29" t="s">
        <v>81</v>
      </c>
      <c r="M584" s="29" t="s">
        <v>76</v>
      </c>
      <c r="N584" s="31">
        <v>1422.42</v>
      </c>
    </row>
    <row r="585" ht="29.75" spans="1:14">
      <c r="A585" s="29" t="s">
        <v>2205</v>
      </c>
      <c r="B585" s="30">
        <v>45823</v>
      </c>
      <c r="C585" s="29" t="s">
        <v>2206</v>
      </c>
      <c r="D585" s="29" t="s">
        <v>41</v>
      </c>
      <c r="E585" s="31">
        <v>3</v>
      </c>
      <c r="F585" s="31">
        <v>154.37</v>
      </c>
      <c r="G585" s="29" t="s">
        <v>165</v>
      </c>
      <c r="H585" s="29" t="s">
        <v>60</v>
      </c>
      <c r="I585" s="29" t="s">
        <v>50</v>
      </c>
      <c r="J585" s="29" t="s">
        <v>2207</v>
      </c>
      <c r="K585" s="31">
        <v>4</v>
      </c>
      <c r="L585" s="29"/>
      <c r="M585" s="29" t="s">
        <v>22</v>
      </c>
      <c r="N585" s="31">
        <v>463.11</v>
      </c>
    </row>
    <row r="586" ht="29.75" spans="1:14">
      <c r="A586" s="29" t="s">
        <v>2208</v>
      </c>
      <c r="B586" s="30">
        <v>45737</v>
      </c>
      <c r="C586" s="29" t="s">
        <v>2209</v>
      </c>
      <c r="D586" s="29" t="s">
        <v>41</v>
      </c>
      <c r="E586" s="31">
        <v>4</v>
      </c>
      <c r="F586" s="31">
        <v>145.05</v>
      </c>
      <c r="G586" s="29" t="s">
        <v>2210</v>
      </c>
      <c r="H586" s="29" t="s">
        <v>27</v>
      </c>
      <c r="I586" s="29" t="s">
        <v>50</v>
      </c>
      <c r="J586" s="29" t="s">
        <v>2211</v>
      </c>
      <c r="K586" s="31">
        <v>6</v>
      </c>
      <c r="L586" s="29" t="s">
        <v>21</v>
      </c>
      <c r="M586" s="29" t="s">
        <v>76</v>
      </c>
      <c r="N586" s="31">
        <v>580.2</v>
      </c>
    </row>
    <row r="587" ht="29.75" spans="1:14">
      <c r="A587" s="29" t="s">
        <v>2212</v>
      </c>
      <c r="B587" s="30">
        <v>45158</v>
      </c>
      <c r="C587" s="29" t="s">
        <v>2213</v>
      </c>
      <c r="D587" s="29" t="s">
        <v>32</v>
      </c>
      <c r="E587" s="31">
        <v>4</v>
      </c>
      <c r="F587" s="31">
        <v>67.08</v>
      </c>
      <c r="G587" s="29" t="s">
        <v>1408</v>
      </c>
      <c r="H587" s="29" t="s">
        <v>65</v>
      </c>
      <c r="I587" s="29" t="s">
        <v>43</v>
      </c>
      <c r="J587" s="29" t="s">
        <v>2214</v>
      </c>
      <c r="K587" s="31">
        <v>8</v>
      </c>
      <c r="L587" s="29" t="s">
        <v>81</v>
      </c>
      <c r="M587" s="29" t="s">
        <v>76</v>
      </c>
      <c r="N587" s="31">
        <v>268.32</v>
      </c>
    </row>
    <row r="588" ht="29.75" spans="1:14">
      <c r="A588" s="29" t="s">
        <v>2215</v>
      </c>
      <c r="B588" s="30">
        <v>45606</v>
      </c>
      <c r="C588" s="29" t="s">
        <v>2216</v>
      </c>
      <c r="D588" s="29" t="s">
        <v>16</v>
      </c>
      <c r="E588" s="31">
        <v>1</v>
      </c>
      <c r="F588" s="31">
        <v>522.08</v>
      </c>
      <c r="G588" s="29" t="s">
        <v>2217</v>
      </c>
      <c r="H588" s="29" t="s">
        <v>60</v>
      </c>
      <c r="I588" s="29" t="s">
        <v>43</v>
      </c>
      <c r="J588" s="29" t="s">
        <v>2218</v>
      </c>
      <c r="K588" s="31">
        <v>5</v>
      </c>
      <c r="L588" s="29" t="s">
        <v>37</v>
      </c>
      <c r="M588" s="29" t="s">
        <v>29</v>
      </c>
      <c r="N588" s="31">
        <v>522.08</v>
      </c>
    </row>
    <row r="589" ht="29.75" spans="1:14">
      <c r="A589" s="29" t="s">
        <v>2219</v>
      </c>
      <c r="B589" s="30">
        <v>45089</v>
      </c>
      <c r="C589" s="29" t="s">
        <v>2220</v>
      </c>
      <c r="D589" s="29" t="s">
        <v>16</v>
      </c>
      <c r="E589" s="31">
        <v>5</v>
      </c>
      <c r="F589" s="31">
        <v>514.6</v>
      </c>
      <c r="G589" s="29" t="s">
        <v>2221</v>
      </c>
      <c r="H589" s="29" t="s">
        <v>60</v>
      </c>
      <c r="I589" s="29" t="s">
        <v>50</v>
      </c>
      <c r="J589" s="29" t="s">
        <v>2222</v>
      </c>
      <c r="K589" s="31">
        <v>10</v>
      </c>
      <c r="L589" s="29" t="s">
        <v>37</v>
      </c>
      <c r="M589" s="29" t="s">
        <v>22</v>
      </c>
      <c r="N589" s="31">
        <v>2573</v>
      </c>
    </row>
    <row r="590" ht="29.75" spans="1:14">
      <c r="A590" s="29" t="s">
        <v>2223</v>
      </c>
      <c r="B590" s="30">
        <v>45636</v>
      </c>
      <c r="C590" s="29" t="s">
        <v>2224</v>
      </c>
      <c r="D590" s="29" t="s">
        <v>16</v>
      </c>
      <c r="E590" s="31">
        <v>4</v>
      </c>
      <c r="F590" s="31">
        <v>577.82</v>
      </c>
      <c r="G590" s="29" t="s">
        <v>273</v>
      </c>
      <c r="H590" s="29" t="s">
        <v>34</v>
      </c>
      <c r="I590" s="29" t="s">
        <v>50</v>
      </c>
      <c r="J590" s="29" t="s">
        <v>2225</v>
      </c>
      <c r="K590" s="31">
        <v>9</v>
      </c>
      <c r="L590" s="29"/>
      <c r="M590" s="29" t="s">
        <v>76</v>
      </c>
      <c r="N590" s="31">
        <v>2311.28</v>
      </c>
    </row>
    <row r="591" ht="29.75" spans="1:14">
      <c r="A591" s="29" t="s">
        <v>2226</v>
      </c>
      <c r="B591" s="30">
        <v>45698</v>
      </c>
      <c r="C591" s="29" t="s">
        <v>2227</v>
      </c>
      <c r="D591" s="29" t="s">
        <v>58</v>
      </c>
      <c r="E591" s="31">
        <v>2</v>
      </c>
      <c r="F591" s="31">
        <v>500.8</v>
      </c>
      <c r="G591" s="29" t="s">
        <v>2228</v>
      </c>
      <c r="H591" s="29" t="s">
        <v>65</v>
      </c>
      <c r="I591" s="29" t="s">
        <v>50</v>
      </c>
      <c r="J591" s="29" t="s">
        <v>2229</v>
      </c>
      <c r="K591" s="31">
        <v>3</v>
      </c>
      <c r="L591" s="29" t="s">
        <v>37</v>
      </c>
      <c r="M591" s="29" t="s">
        <v>29</v>
      </c>
      <c r="N591" s="31">
        <v>1001.6</v>
      </c>
    </row>
    <row r="592" ht="29.75" spans="1:14">
      <c r="A592" s="29" t="s">
        <v>2230</v>
      </c>
      <c r="B592" s="30">
        <v>45179</v>
      </c>
      <c r="C592" s="29" t="s">
        <v>2231</v>
      </c>
      <c r="D592" s="29" t="s">
        <v>48</v>
      </c>
      <c r="E592" s="31">
        <v>2</v>
      </c>
      <c r="F592" s="31">
        <v>461.13</v>
      </c>
      <c r="G592" s="29" t="s">
        <v>2232</v>
      </c>
      <c r="H592" s="29" t="s">
        <v>60</v>
      </c>
      <c r="I592" s="29" t="s">
        <v>43</v>
      </c>
      <c r="J592" s="29" t="s">
        <v>2233</v>
      </c>
      <c r="K592" s="31">
        <v>4</v>
      </c>
      <c r="L592" s="29"/>
      <c r="M592" s="29" t="s">
        <v>38</v>
      </c>
      <c r="N592" s="31">
        <v>922.26</v>
      </c>
    </row>
    <row r="593" ht="29.75" spans="1:14">
      <c r="A593" s="29" t="s">
        <v>2234</v>
      </c>
      <c r="B593" s="30">
        <v>45614</v>
      </c>
      <c r="C593" s="29" t="s">
        <v>2235</v>
      </c>
      <c r="D593" s="29" t="s">
        <v>58</v>
      </c>
      <c r="E593" s="31">
        <v>1</v>
      </c>
      <c r="F593" s="31">
        <v>605.28</v>
      </c>
      <c r="G593" s="29" t="s">
        <v>2236</v>
      </c>
      <c r="H593" s="29" t="s">
        <v>60</v>
      </c>
      <c r="I593" s="29" t="s">
        <v>19</v>
      </c>
      <c r="J593" s="29" t="s">
        <v>2237</v>
      </c>
      <c r="K593" s="31">
        <v>3</v>
      </c>
      <c r="L593" s="29" t="s">
        <v>37</v>
      </c>
      <c r="M593" s="29" t="s">
        <v>29</v>
      </c>
      <c r="N593" s="31">
        <v>605.28</v>
      </c>
    </row>
    <row r="594" ht="29.75" spans="1:14">
      <c r="A594" s="29" t="s">
        <v>2238</v>
      </c>
      <c r="B594" s="30">
        <v>45405</v>
      </c>
      <c r="C594" s="29" t="s">
        <v>2239</v>
      </c>
      <c r="D594" s="29" t="s">
        <v>25</v>
      </c>
      <c r="E594" s="31">
        <v>3</v>
      </c>
      <c r="F594" s="31">
        <v>204.27</v>
      </c>
      <c r="G594" s="29" t="s">
        <v>2021</v>
      </c>
      <c r="H594" s="29" t="s">
        <v>27</v>
      </c>
      <c r="I594" s="29" t="s">
        <v>43</v>
      </c>
      <c r="J594" s="29" t="s">
        <v>2240</v>
      </c>
      <c r="K594" s="31">
        <v>4</v>
      </c>
      <c r="L594" s="29"/>
      <c r="M594" s="29" t="s">
        <v>76</v>
      </c>
      <c r="N594" s="31">
        <v>612.81</v>
      </c>
    </row>
    <row r="595" ht="29.75" spans="1:14">
      <c r="A595" s="29" t="s">
        <v>2241</v>
      </c>
      <c r="B595" s="30">
        <v>45140</v>
      </c>
      <c r="C595" s="29" t="s">
        <v>2242</v>
      </c>
      <c r="D595" s="29" t="s">
        <v>16</v>
      </c>
      <c r="E595" s="31">
        <v>1</v>
      </c>
      <c r="F595" s="31">
        <v>489.8</v>
      </c>
      <c r="G595" s="29" t="s">
        <v>565</v>
      </c>
      <c r="H595" s="29" t="s">
        <v>60</v>
      </c>
      <c r="I595" s="29" t="s">
        <v>19</v>
      </c>
      <c r="J595" s="29" t="s">
        <v>2243</v>
      </c>
      <c r="K595" s="31">
        <v>4</v>
      </c>
      <c r="L595" s="29" t="s">
        <v>37</v>
      </c>
      <c r="M595" s="29" t="s">
        <v>45</v>
      </c>
      <c r="N595" s="31">
        <v>489.8</v>
      </c>
    </row>
    <row r="596" ht="29.75" spans="1:14">
      <c r="A596" s="29" t="s">
        <v>2244</v>
      </c>
      <c r="B596" s="30">
        <v>45343</v>
      </c>
      <c r="C596" s="29" t="s">
        <v>2245</v>
      </c>
      <c r="D596" s="29" t="s">
        <v>25</v>
      </c>
      <c r="E596" s="31">
        <v>5</v>
      </c>
      <c r="F596" s="31">
        <v>72.64</v>
      </c>
      <c r="G596" s="29" t="s">
        <v>580</v>
      </c>
      <c r="H596" s="29" t="s">
        <v>34</v>
      </c>
      <c r="I596" s="29" t="s">
        <v>35</v>
      </c>
      <c r="J596" s="29" t="s">
        <v>2246</v>
      </c>
      <c r="K596" s="31">
        <v>7</v>
      </c>
      <c r="L596" s="29"/>
      <c r="M596" s="29" t="s">
        <v>38</v>
      </c>
      <c r="N596" s="31">
        <v>363.2</v>
      </c>
    </row>
    <row r="597" ht="29.75" spans="1:14">
      <c r="A597" s="29" t="s">
        <v>2247</v>
      </c>
      <c r="B597" s="30">
        <v>45667</v>
      </c>
      <c r="C597" s="29" t="s">
        <v>2248</v>
      </c>
      <c r="D597" s="29" t="s">
        <v>48</v>
      </c>
      <c r="E597" s="31">
        <v>2</v>
      </c>
      <c r="F597" s="31">
        <v>385.16</v>
      </c>
      <c r="G597" s="29" t="s">
        <v>2249</v>
      </c>
      <c r="H597" s="29" t="s">
        <v>27</v>
      </c>
      <c r="I597" s="29" t="s">
        <v>89</v>
      </c>
      <c r="J597" s="29" t="s">
        <v>2250</v>
      </c>
      <c r="K597" s="31">
        <v>7</v>
      </c>
      <c r="L597" s="29" t="s">
        <v>21</v>
      </c>
      <c r="M597" s="29" t="s">
        <v>38</v>
      </c>
      <c r="N597" s="31">
        <v>770.32</v>
      </c>
    </row>
    <row r="598" ht="29.75" spans="1:14">
      <c r="A598" s="29" t="s">
        <v>2251</v>
      </c>
      <c r="B598" s="30">
        <v>45089</v>
      </c>
      <c r="C598" s="29" t="s">
        <v>2252</v>
      </c>
      <c r="D598" s="29" t="s">
        <v>73</v>
      </c>
      <c r="E598" s="31">
        <v>3</v>
      </c>
      <c r="F598" s="31">
        <v>606.41</v>
      </c>
      <c r="G598" s="29" t="s">
        <v>2253</v>
      </c>
      <c r="H598" s="29" t="s">
        <v>18</v>
      </c>
      <c r="I598" s="29" t="s">
        <v>43</v>
      </c>
      <c r="J598" s="29" t="s">
        <v>2254</v>
      </c>
      <c r="K598" s="31">
        <v>7</v>
      </c>
      <c r="L598" s="29" t="s">
        <v>37</v>
      </c>
      <c r="M598" s="29" t="s">
        <v>45</v>
      </c>
      <c r="N598" s="31">
        <v>1819.23</v>
      </c>
    </row>
    <row r="599" ht="29.75" spans="1:14">
      <c r="A599" s="29" t="s">
        <v>2255</v>
      </c>
      <c r="B599" s="30">
        <v>45621</v>
      </c>
      <c r="C599" s="29" t="s">
        <v>2256</v>
      </c>
      <c r="D599" s="29" t="s">
        <v>73</v>
      </c>
      <c r="E599" s="31">
        <v>2</v>
      </c>
      <c r="F599" s="31">
        <v>211.82</v>
      </c>
      <c r="G599" s="29" t="s">
        <v>2257</v>
      </c>
      <c r="H599" s="29" t="s">
        <v>60</v>
      </c>
      <c r="I599" s="29" t="s">
        <v>35</v>
      </c>
      <c r="J599" s="29" t="s">
        <v>2258</v>
      </c>
      <c r="K599" s="31">
        <v>4</v>
      </c>
      <c r="L599" s="29" t="s">
        <v>81</v>
      </c>
      <c r="M599" s="29" t="s">
        <v>38</v>
      </c>
      <c r="N599" s="31">
        <v>423.64</v>
      </c>
    </row>
    <row r="600" ht="29.75" spans="1:14">
      <c r="A600" s="29" t="s">
        <v>2259</v>
      </c>
      <c r="B600" s="30">
        <v>45408</v>
      </c>
      <c r="C600" s="29" t="s">
        <v>2260</v>
      </c>
      <c r="D600" s="29" t="s">
        <v>73</v>
      </c>
      <c r="E600" s="31">
        <v>5</v>
      </c>
      <c r="F600" s="31">
        <v>495.35</v>
      </c>
      <c r="G600" s="29" t="s">
        <v>1344</v>
      </c>
      <c r="H600" s="29" t="s">
        <v>34</v>
      </c>
      <c r="I600" s="29" t="s">
        <v>89</v>
      </c>
      <c r="J600" s="29" t="s">
        <v>2261</v>
      </c>
      <c r="K600" s="31">
        <v>5</v>
      </c>
      <c r="L600" s="29"/>
      <c r="M600" s="29" t="s">
        <v>45</v>
      </c>
      <c r="N600" s="31">
        <v>2476.75</v>
      </c>
    </row>
    <row r="601" ht="29.75" spans="1:14">
      <c r="A601" s="29" t="s">
        <v>2262</v>
      </c>
      <c r="B601" s="30">
        <v>45107</v>
      </c>
      <c r="C601" s="29" t="s">
        <v>2263</v>
      </c>
      <c r="D601" s="29" t="s">
        <v>41</v>
      </c>
      <c r="E601" s="31">
        <v>3</v>
      </c>
      <c r="F601" s="31">
        <v>556.99</v>
      </c>
      <c r="G601" s="29" t="s">
        <v>1609</v>
      </c>
      <c r="H601" s="29" t="s">
        <v>27</v>
      </c>
      <c r="I601" s="29" t="s">
        <v>35</v>
      </c>
      <c r="J601" s="29" t="s">
        <v>2264</v>
      </c>
      <c r="K601" s="31">
        <v>4</v>
      </c>
      <c r="L601" s="29" t="s">
        <v>37</v>
      </c>
      <c r="M601" s="29" t="s">
        <v>45</v>
      </c>
      <c r="N601" s="31">
        <v>1670.97</v>
      </c>
    </row>
    <row r="602" ht="29.75" spans="1:14">
      <c r="A602" s="29" t="s">
        <v>2265</v>
      </c>
      <c r="B602" s="30">
        <v>45072</v>
      </c>
      <c r="C602" s="29" t="s">
        <v>2266</v>
      </c>
      <c r="D602" s="29" t="s">
        <v>48</v>
      </c>
      <c r="E602" s="31">
        <v>1</v>
      </c>
      <c r="F602" s="31">
        <v>72.31</v>
      </c>
      <c r="G602" s="29" t="s">
        <v>1047</v>
      </c>
      <c r="H602" s="29" t="s">
        <v>60</v>
      </c>
      <c r="I602" s="29" t="s">
        <v>35</v>
      </c>
      <c r="J602" s="29" t="s">
        <v>2267</v>
      </c>
      <c r="K602" s="31">
        <v>1</v>
      </c>
      <c r="L602" s="29" t="s">
        <v>37</v>
      </c>
      <c r="M602" s="29" t="s">
        <v>45</v>
      </c>
      <c r="N602" s="31">
        <v>72.31</v>
      </c>
    </row>
    <row r="603" ht="29.75" spans="1:14">
      <c r="A603" s="29" t="s">
        <v>2268</v>
      </c>
      <c r="B603" s="30">
        <v>45201</v>
      </c>
      <c r="C603" s="29" t="s">
        <v>2269</v>
      </c>
      <c r="D603" s="29" t="s">
        <v>16</v>
      </c>
      <c r="E603" s="31">
        <v>5</v>
      </c>
      <c r="F603" s="31">
        <v>24.82</v>
      </c>
      <c r="G603" s="29" t="s">
        <v>2270</v>
      </c>
      <c r="H603" s="29" t="s">
        <v>34</v>
      </c>
      <c r="I603" s="29" t="s">
        <v>19</v>
      </c>
      <c r="J603" s="29" t="s">
        <v>2271</v>
      </c>
      <c r="K603" s="31">
        <v>10</v>
      </c>
      <c r="L603" s="29"/>
      <c r="M603" s="29" t="s">
        <v>29</v>
      </c>
      <c r="N603" s="31">
        <v>124.1</v>
      </c>
    </row>
    <row r="604" ht="29.75" spans="1:14">
      <c r="A604" s="29" t="s">
        <v>2272</v>
      </c>
      <c r="B604" s="30">
        <v>45356</v>
      </c>
      <c r="C604" s="29" t="s">
        <v>1858</v>
      </c>
      <c r="D604" s="29" t="s">
        <v>32</v>
      </c>
      <c r="E604" s="31">
        <v>4</v>
      </c>
      <c r="F604" s="31">
        <v>26.04</v>
      </c>
      <c r="G604" s="29" t="s">
        <v>1862</v>
      </c>
      <c r="H604" s="29" t="s">
        <v>27</v>
      </c>
      <c r="I604" s="29" t="s">
        <v>89</v>
      </c>
      <c r="J604" s="29" t="s">
        <v>2273</v>
      </c>
      <c r="K604" s="31">
        <v>5</v>
      </c>
      <c r="L604" s="29" t="s">
        <v>21</v>
      </c>
      <c r="M604" s="29" t="s">
        <v>22</v>
      </c>
      <c r="N604" s="31">
        <v>104.16</v>
      </c>
    </row>
    <row r="605" ht="29.75" spans="1:14">
      <c r="A605" s="29" t="s">
        <v>2274</v>
      </c>
      <c r="B605" s="30">
        <v>45569</v>
      </c>
      <c r="C605" s="29" t="s">
        <v>2275</v>
      </c>
      <c r="D605" s="29" t="s">
        <v>32</v>
      </c>
      <c r="E605" s="31">
        <v>1</v>
      </c>
      <c r="F605" s="31">
        <v>657.07</v>
      </c>
      <c r="G605" s="29" t="s">
        <v>2276</v>
      </c>
      <c r="H605" s="29" t="s">
        <v>65</v>
      </c>
      <c r="I605" s="29" t="s">
        <v>89</v>
      </c>
      <c r="J605" s="29" t="s">
        <v>2277</v>
      </c>
      <c r="K605" s="31">
        <v>4</v>
      </c>
      <c r="L605" s="29" t="s">
        <v>21</v>
      </c>
      <c r="M605" s="29" t="s">
        <v>76</v>
      </c>
      <c r="N605" s="31">
        <v>657.07</v>
      </c>
    </row>
    <row r="606" ht="29.75" spans="1:14">
      <c r="A606" s="29" t="s">
        <v>2278</v>
      </c>
      <c r="B606" s="30">
        <v>45830</v>
      </c>
      <c r="C606" s="29" t="s">
        <v>2279</v>
      </c>
      <c r="D606" s="29" t="s">
        <v>41</v>
      </c>
      <c r="E606" s="31">
        <v>3</v>
      </c>
      <c r="F606" s="31">
        <v>32.62</v>
      </c>
      <c r="G606" s="29" t="s">
        <v>1183</v>
      </c>
      <c r="H606" s="29" t="s">
        <v>18</v>
      </c>
      <c r="I606" s="29" t="s">
        <v>50</v>
      </c>
      <c r="J606" s="29" t="s">
        <v>2280</v>
      </c>
      <c r="K606" s="31">
        <v>6</v>
      </c>
      <c r="L606" s="29"/>
      <c r="M606" s="29" t="s">
        <v>45</v>
      </c>
      <c r="N606" s="31">
        <v>97.86</v>
      </c>
    </row>
    <row r="607" ht="29.75" spans="1:14">
      <c r="A607" s="29" t="s">
        <v>2281</v>
      </c>
      <c r="B607" s="30">
        <v>45422</v>
      </c>
      <c r="C607" s="29" t="s">
        <v>2282</v>
      </c>
      <c r="D607" s="29" t="s">
        <v>16</v>
      </c>
      <c r="E607" s="31">
        <v>2</v>
      </c>
      <c r="F607" s="31">
        <v>228.91</v>
      </c>
      <c r="G607" s="29" t="s">
        <v>2283</v>
      </c>
      <c r="H607" s="29" t="s">
        <v>18</v>
      </c>
      <c r="I607" s="29" t="s">
        <v>19</v>
      </c>
      <c r="J607" s="29" t="s">
        <v>2284</v>
      </c>
      <c r="K607" s="31">
        <v>4</v>
      </c>
      <c r="L607" s="29" t="s">
        <v>21</v>
      </c>
      <c r="M607" s="29" t="s">
        <v>29</v>
      </c>
      <c r="N607" s="31">
        <v>457.82</v>
      </c>
    </row>
    <row r="608" ht="29.75" spans="1:14">
      <c r="A608" s="29" t="s">
        <v>2285</v>
      </c>
      <c r="B608" s="30">
        <v>45602</v>
      </c>
      <c r="C608" s="29" t="s">
        <v>2286</v>
      </c>
      <c r="D608" s="29" t="s">
        <v>58</v>
      </c>
      <c r="E608" s="31">
        <v>3</v>
      </c>
      <c r="F608" s="31">
        <v>274.75</v>
      </c>
      <c r="G608" s="29" t="s">
        <v>956</v>
      </c>
      <c r="H608" s="29" t="s">
        <v>65</v>
      </c>
      <c r="I608" s="29" t="s">
        <v>35</v>
      </c>
      <c r="J608" s="29" t="s">
        <v>2287</v>
      </c>
      <c r="K608" s="31">
        <v>3</v>
      </c>
      <c r="L608" s="29" t="s">
        <v>21</v>
      </c>
      <c r="M608" s="29" t="s">
        <v>76</v>
      </c>
      <c r="N608" s="31">
        <v>824.25</v>
      </c>
    </row>
    <row r="609" ht="29.75" spans="1:14">
      <c r="A609" s="29" t="s">
        <v>2288</v>
      </c>
      <c r="B609" s="30">
        <v>45808</v>
      </c>
      <c r="C609" s="29" t="s">
        <v>2289</v>
      </c>
      <c r="D609" s="29" t="s">
        <v>48</v>
      </c>
      <c r="E609" s="31">
        <v>4</v>
      </c>
      <c r="F609" s="31">
        <v>634.05</v>
      </c>
      <c r="G609" s="29" t="s">
        <v>2290</v>
      </c>
      <c r="H609" s="29" t="s">
        <v>65</v>
      </c>
      <c r="I609" s="29" t="s">
        <v>19</v>
      </c>
      <c r="J609" s="29" t="s">
        <v>2291</v>
      </c>
      <c r="K609" s="31">
        <v>6</v>
      </c>
      <c r="L609" s="29" t="s">
        <v>21</v>
      </c>
      <c r="M609" s="29" t="s">
        <v>76</v>
      </c>
      <c r="N609" s="31">
        <v>2536.2</v>
      </c>
    </row>
    <row r="610" ht="29.75" spans="1:14">
      <c r="A610" s="29" t="s">
        <v>2292</v>
      </c>
      <c r="B610" s="30">
        <v>45497</v>
      </c>
      <c r="C610" s="29" t="s">
        <v>2293</v>
      </c>
      <c r="D610" s="29" t="s">
        <v>58</v>
      </c>
      <c r="E610" s="31">
        <v>5</v>
      </c>
      <c r="F610" s="31">
        <v>543.16</v>
      </c>
      <c r="G610" s="29" t="s">
        <v>2294</v>
      </c>
      <c r="H610" s="29" t="s">
        <v>27</v>
      </c>
      <c r="I610" s="29" t="s">
        <v>35</v>
      </c>
      <c r="J610" s="29" t="s">
        <v>2295</v>
      </c>
      <c r="K610" s="31">
        <v>6</v>
      </c>
      <c r="L610" s="29" t="s">
        <v>21</v>
      </c>
      <c r="M610" s="29" t="s">
        <v>22</v>
      </c>
      <c r="N610" s="31">
        <v>2715.8</v>
      </c>
    </row>
    <row r="611" ht="29.75" spans="1:14">
      <c r="A611" s="29" t="s">
        <v>2296</v>
      </c>
      <c r="B611" s="30">
        <v>45684</v>
      </c>
      <c r="C611" s="29" t="s">
        <v>2297</v>
      </c>
      <c r="D611" s="29" t="s">
        <v>41</v>
      </c>
      <c r="E611" s="31">
        <v>3</v>
      </c>
      <c r="F611" s="31">
        <v>449.13</v>
      </c>
      <c r="G611" s="29" t="s">
        <v>2298</v>
      </c>
      <c r="H611" s="29" t="s">
        <v>65</v>
      </c>
      <c r="I611" s="29" t="s">
        <v>43</v>
      </c>
      <c r="J611" s="29" t="s">
        <v>2299</v>
      </c>
      <c r="K611" s="31">
        <v>5</v>
      </c>
      <c r="L611" s="29" t="s">
        <v>81</v>
      </c>
      <c r="M611" s="29" t="s">
        <v>29</v>
      </c>
      <c r="N611" s="31">
        <v>1347.39</v>
      </c>
    </row>
    <row r="612" ht="29.75" spans="1:14">
      <c r="A612" s="29" t="s">
        <v>2300</v>
      </c>
      <c r="B612" s="30">
        <v>45459</v>
      </c>
      <c r="C612" s="29" t="s">
        <v>2301</v>
      </c>
      <c r="D612" s="29" t="s">
        <v>73</v>
      </c>
      <c r="E612" s="31">
        <v>5</v>
      </c>
      <c r="F612" s="31">
        <v>389.62</v>
      </c>
      <c r="G612" s="29" t="s">
        <v>253</v>
      </c>
      <c r="H612" s="29" t="s">
        <v>65</v>
      </c>
      <c r="I612" s="29" t="s">
        <v>43</v>
      </c>
      <c r="J612" s="29" t="s">
        <v>2302</v>
      </c>
      <c r="K612" s="31">
        <v>7</v>
      </c>
      <c r="L612" s="29" t="s">
        <v>37</v>
      </c>
      <c r="M612" s="29" t="s">
        <v>45</v>
      </c>
      <c r="N612" s="31">
        <v>1948.1</v>
      </c>
    </row>
    <row r="613" ht="29.75" spans="1:14">
      <c r="A613" s="29" t="s">
        <v>2303</v>
      </c>
      <c r="B613" s="30">
        <v>45037</v>
      </c>
      <c r="C613" s="29" t="s">
        <v>2304</v>
      </c>
      <c r="D613" s="29" t="s">
        <v>73</v>
      </c>
      <c r="E613" s="31">
        <v>1</v>
      </c>
      <c r="F613" s="31">
        <v>305.17</v>
      </c>
      <c r="G613" s="29" t="s">
        <v>2257</v>
      </c>
      <c r="H613" s="29" t="s">
        <v>60</v>
      </c>
      <c r="I613" s="29" t="s">
        <v>43</v>
      </c>
      <c r="J613" s="29" t="s">
        <v>2305</v>
      </c>
      <c r="K613" s="31">
        <v>3</v>
      </c>
      <c r="L613" s="29" t="s">
        <v>81</v>
      </c>
      <c r="M613" s="29" t="s">
        <v>29</v>
      </c>
      <c r="N613" s="31">
        <v>305.17</v>
      </c>
    </row>
    <row r="614" ht="29.75" spans="1:14">
      <c r="A614" s="29" t="s">
        <v>2306</v>
      </c>
      <c r="B614" s="30">
        <v>45079</v>
      </c>
      <c r="C614" s="29" t="s">
        <v>2307</v>
      </c>
      <c r="D614" s="29" t="s">
        <v>41</v>
      </c>
      <c r="E614" s="31">
        <v>3</v>
      </c>
      <c r="F614" s="31">
        <v>445.12</v>
      </c>
      <c r="G614" s="29" t="s">
        <v>1260</v>
      </c>
      <c r="H614" s="29" t="s">
        <v>60</v>
      </c>
      <c r="I614" s="29" t="s">
        <v>35</v>
      </c>
      <c r="J614" s="29" t="s">
        <v>2308</v>
      </c>
      <c r="K614" s="31">
        <v>8</v>
      </c>
      <c r="L614" s="29"/>
      <c r="M614" s="29" t="s">
        <v>76</v>
      </c>
      <c r="N614" s="31">
        <v>1335.36</v>
      </c>
    </row>
    <row r="615" ht="29.75" spans="1:14">
      <c r="A615" s="29" t="s">
        <v>2309</v>
      </c>
      <c r="B615" s="30">
        <v>45645</v>
      </c>
      <c r="C615" s="29" t="s">
        <v>2310</v>
      </c>
      <c r="D615" s="29" t="s">
        <v>58</v>
      </c>
      <c r="E615" s="31">
        <v>2</v>
      </c>
      <c r="F615" s="31">
        <v>230.36</v>
      </c>
      <c r="G615" s="29" t="s">
        <v>2311</v>
      </c>
      <c r="H615" s="29" t="s">
        <v>27</v>
      </c>
      <c r="I615" s="29" t="s">
        <v>43</v>
      </c>
      <c r="J615" s="29" t="s">
        <v>2312</v>
      </c>
      <c r="K615" s="31">
        <v>4</v>
      </c>
      <c r="L615" s="29" t="s">
        <v>81</v>
      </c>
      <c r="M615" s="29" t="s">
        <v>38</v>
      </c>
      <c r="N615" s="31">
        <v>460.72</v>
      </c>
    </row>
    <row r="616" ht="29.75" spans="1:14">
      <c r="A616" s="29" t="s">
        <v>2313</v>
      </c>
      <c r="B616" s="30">
        <v>45359</v>
      </c>
      <c r="C616" s="29" t="s">
        <v>2314</v>
      </c>
      <c r="D616" s="29" t="s">
        <v>25</v>
      </c>
      <c r="E616" s="31">
        <v>1</v>
      </c>
      <c r="F616" s="31">
        <v>96.81</v>
      </c>
      <c r="G616" s="29" t="s">
        <v>506</v>
      </c>
      <c r="H616" s="29" t="s">
        <v>60</v>
      </c>
      <c r="I616" s="29" t="s">
        <v>35</v>
      </c>
      <c r="J616" s="29" t="s">
        <v>2315</v>
      </c>
      <c r="K616" s="31">
        <v>3</v>
      </c>
      <c r="L616" s="29"/>
      <c r="M616" s="29" t="s">
        <v>29</v>
      </c>
      <c r="N616" s="31">
        <v>96.81</v>
      </c>
    </row>
    <row r="617" ht="29.75" spans="1:14">
      <c r="A617" s="29" t="s">
        <v>2316</v>
      </c>
      <c r="B617" s="30">
        <v>45723</v>
      </c>
      <c r="C617" s="29" t="s">
        <v>2317</v>
      </c>
      <c r="D617" s="29" t="s">
        <v>16</v>
      </c>
      <c r="E617" s="31">
        <v>5</v>
      </c>
      <c r="F617" s="31">
        <v>460.14</v>
      </c>
      <c r="G617" s="29" t="s">
        <v>1183</v>
      </c>
      <c r="H617" s="29" t="s">
        <v>34</v>
      </c>
      <c r="I617" s="29" t="s">
        <v>43</v>
      </c>
      <c r="J617" s="29" t="s">
        <v>2318</v>
      </c>
      <c r="K617" s="31">
        <v>10</v>
      </c>
      <c r="L617" s="29" t="s">
        <v>81</v>
      </c>
      <c r="M617" s="29" t="s">
        <v>45</v>
      </c>
      <c r="N617" s="31">
        <v>2300.7</v>
      </c>
    </row>
    <row r="618" ht="29.75" spans="1:14">
      <c r="A618" s="29" t="s">
        <v>2319</v>
      </c>
      <c r="B618" s="30">
        <v>45582</v>
      </c>
      <c r="C618" s="29" t="s">
        <v>2320</v>
      </c>
      <c r="D618" s="29" t="s">
        <v>32</v>
      </c>
      <c r="E618" s="31">
        <v>3</v>
      </c>
      <c r="F618" s="31">
        <v>601.6</v>
      </c>
      <c r="G618" s="29" t="s">
        <v>2321</v>
      </c>
      <c r="H618" s="29" t="s">
        <v>34</v>
      </c>
      <c r="I618" s="29" t="s">
        <v>35</v>
      </c>
      <c r="J618" s="29" t="s">
        <v>2322</v>
      </c>
      <c r="K618" s="31">
        <v>7</v>
      </c>
      <c r="L618" s="29" t="s">
        <v>21</v>
      </c>
      <c r="M618" s="29" t="s">
        <v>45</v>
      </c>
      <c r="N618" s="31">
        <v>1804.8</v>
      </c>
    </row>
    <row r="619" ht="29.75" spans="1:14">
      <c r="A619" s="29" t="s">
        <v>2323</v>
      </c>
      <c r="B619" s="30">
        <v>45330</v>
      </c>
      <c r="C619" s="29" t="s">
        <v>2324</v>
      </c>
      <c r="D619" s="29" t="s">
        <v>32</v>
      </c>
      <c r="E619" s="31">
        <v>3</v>
      </c>
      <c r="F619" s="31">
        <v>184.47</v>
      </c>
      <c r="G619" s="29" t="s">
        <v>2325</v>
      </c>
      <c r="H619" s="29" t="s">
        <v>27</v>
      </c>
      <c r="I619" s="29" t="s">
        <v>35</v>
      </c>
      <c r="J619" s="29" t="s">
        <v>2326</v>
      </c>
      <c r="K619" s="31">
        <v>4</v>
      </c>
      <c r="L619" s="29"/>
      <c r="M619" s="29" t="s">
        <v>29</v>
      </c>
      <c r="N619" s="31">
        <v>553.41</v>
      </c>
    </row>
    <row r="620" ht="29.75" spans="1:14">
      <c r="A620" s="29" t="s">
        <v>2327</v>
      </c>
      <c r="B620" s="30">
        <v>45538</v>
      </c>
      <c r="C620" s="29" t="s">
        <v>2328</v>
      </c>
      <c r="D620" s="29" t="s">
        <v>32</v>
      </c>
      <c r="E620" s="31">
        <v>1</v>
      </c>
      <c r="F620" s="31">
        <v>411.34</v>
      </c>
      <c r="G620" s="29" t="s">
        <v>2329</v>
      </c>
      <c r="H620" s="29" t="s">
        <v>18</v>
      </c>
      <c r="I620" s="29" t="s">
        <v>43</v>
      </c>
      <c r="J620" s="29" t="s">
        <v>2330</v>
      </c>
      <c r="K620" s="31">
        <v>5</v>
      </c>
      <c r="L620" s="29"/>
      <c r="M620" s="29" t="s">
        <v>22</v>
      </c>
      <c r="N620" s="31">
        <v>411.34</v>
      </c>
    </row>
    <row r="621" ht="29.75" spans="1:14">
      <c r="A621" s="29" t="s">
        <v>2331</v>
      </c>
      <c r="B621" s="30">
        <v>45489</v>
      </c>
      <c r="C621" s="29" t="s">
        <v>2332</v>
      </c>
      <c r="D621" s="29" t="s">
        <v>58</v>
      </c>
      <c r="E621" s="31">
        <v>1</v>
      </c>
      <c r="F621" s="31">
        <v>532.89</v>
      </c>
      <c r="G621" s="29" t="s">
        <v>1869</v>
      </c>
      <c r="H621" s="29" t="s">
        <v>60</v>
      </c>
      <c r="I621" s="29" t="s">
        <v>89</v>
      </c>
      <c r="J621" s="29" t="s">
        <v>2333</v>
      </c>
      <c r="K621" s="31">
        <v>2</v>
      </c>
      <c r="L621" s="29"/>
      <c r="M621" s="29" t="s">
        <v>29</v>
      </c>
      <c r="N621" s="31">
        <v>532.89</v>
      </c>
    </row>
    <row r="622" ht="29.75" spans="1:14">
      <c r="A622" s="29" t="s">
        <v>2334</v>
      </c>
      <c r="B622" s="30">
        <v>45378</v>
      </c>
      <c r="C622" s="29" t="s">
        <v>2335</v>
      </c>
      <c r="D622" s="29" t="s">
        <v>32</v>
      </c>
      <c r="E622" s="31">
        <v>3</v>
      </c>
      <c r="F622" s="31">
        <v>136.34</v>
      </c>
      <c r="G622" s="29" t="s">
        <v>2336</v>
      </c>
      <c r="H622" s="29" t="s">
        <v>18</v>
      </c>
      <c r="I622" s="29" t="s">
        <v>43</v>
      </c>
      <c r="J622" s="29" t="s">
        <v>2337</v>
      </c>
      <c r="K622" s="31">
        <v>8</v>
      </c>
      <c r="L622" s="29" t="s">
        <v>21</v>
      </c>
      <c r="M622" s="29" t="s">
        <v>29</v>
      </c>
      <c r="N622" s="31">
        <v>409.02</v>
      </c>
    </row>
    <row r="623" ht="29.75" spans="1:14">
      <c r="A623" s="29" t="s">
        <v>2338</v>
      </c>
      <c r="B623" s="30">
        <v>45221</v>
      </c>
      <c r="C623" s="29" t="s">
        <v>2339</v>
      </c>
      <c r="D623" s="29" t="s">
        <v>25</v>
      </c>
      <c r="E623" s="31">
        <v>5</v>
      </c>
      <c r="F623" s="31">
        <v>476.01</v>
      </c>
      <c r="G623" s="29" t="s">
        <v>347</v>
      </c>
      <c r="H623" s="29" t="s">
        <v>34</v>
      </c>
      <c r="I623" s="29" t="s">
        <v>50</v>
      </c>
      <c r="J623" s="29" t="s">
        <v>2340</v>
      </c>
      <c r="K623" s="31">
        <v>7</v>
      </c>
      <c r="L623" s="29" t="s">
        <v>81</v>
      </c>
      <c r="M623" s="29" t="s">
        <v>76</v>
      </c>
      <c r="N623" s="31">
        <v>2380.05</v>
      </c>
    </row>
    <row r="624" ht="29.75" spans="1:14">
      <c r="A624" s="29" t="s">
        <v>2341</v>
      </c>
      <c r="B624" s="30">
        <v>45598</v>
      </c>
      <c r="C624" s="29" t="s">
        <v>2342</v>
      </c>
      <c r="D624" s="29" t="s">
        <v>73</v>
      </c>
      <c r="E624" s="31">
        <v>5</v>
      </c>
      <c r="F624" s="31">
        <v>236.38</v>
      </c>
      <c r="G624" s="29" t="s">
        <v>181</v>
      </c>
      <c r="H624" s="29" t="s">
        <v>34</v>
      </c>
      <c r="I624" s="29" t="s">
        <v>43</v>
      </c>
      <c r="J624" s="29" t="s">
        <v>2343</v>
      </c>
      <c r="K624" s="31">
        <v>7</v>
      </c>
      <c r="L624" s="29"/>
      <c r="M624" s="29" t="s">
        <v>45</v>
      </c>
      <c r="N624" s="31">
        <v>1181.9</v>
      </c>
    </row>
    <row r="625" ht="29.75" spans="1:14">
      <c r="A625" s="29" t="s">
        <v>2344</v>
      </c>
      <c r="B625" s="30">
        <v>45093</v>
      </c>
      <c r="C625" s="29" t="s">
        <v>2345</v>
      </c>
      <c r="D625" s="29" t="s">
        <v>48</v>
      </c>
      <c r="E625" s="31">
        <v>3</v>
      </c>
      <c r="F625" s="31">
        <v>396</v>
      </c>
      <c r="G625" s="29" t="s">
        <v>2346</v>
      </c>
      <c r="H625" s="29" t="s">
        <v>60</v>
      </c>
      <c r="I625" s="29" t="s">
        <v>35</v>
      </c>
      <c r="J625" s="29" t="s">
        <v>2347</v>
      </c>
      <c r="K625" s="31">
        <v>4</v>
      </c>
      <c r="L625" s="29" t="s">
        <v>37</v>
      </c>
      <c r="M625" s="29" t="s">
        <v>22</v>
      </c>
      <c r="N625" s="31">
        <v>1188</v>
      </c>
    </row>
    <row r="626" ht="29.75" spans="1:14">
      <c r="A626" s="29" t="s">
        <v>2348</v>
      </c>
      <c r="B626" s="30">
        <v>45307</v>
      </c>
      <c r="C626" s="29" t="s">
        <v>2349</v>
      </c>
      <c r="D626" s="29" t="s">
        <v>32</v>
      </c>
      <c r="E626" s="31">
        <v>5</v>
      </c>
      <c r="F626" s="31">
        <v>341.96</v>
      </c>
      <c r="G626" s="29" t="s">
        <v>1415</v>
      </c>
      <c r="H626" s="29" t="s">
        <v>18</v>
      </c>
      <c r="I626" s="29" t="s">
        <v>50</v>
      </c>
      <c r="J626" s="29" t="s">
        <v>2350</v>
      </c>
      <c r="K626" s="31">
        <v>6</v>
      </c>
      <c r="L626" s="29"/>
      <c r="M626" s="29" t="s">
        <v>38</v>
      </c>
      <c r="N626" s="31">
        <v>1709.8</v>
      </c>
    </row>
    <row r="627" ht="29.75" spans="1:14">
      <c r="A627" s="29" t="s">
        <v>2351</v>
      </c>
      <c r="B627" s="30">
        <v>45193</v>
      </c>
      <c r="C627" s="29" t="s">
        <v>2352</v>
      </c>
      <c r="D627" s="29" t="s">
        <v>32</v>
      </c>
      <c r="E627" s="31">
        <v>1</v>
      </c>
      <c r="F627" s="31">
        <v>672.89</v>
      </c>
      <c r="G627" s="29" t="s">
        <v>2353</v>
      </c>
      <c r="H627" s="29" t="s">
        <v>34</v>
      </c>
      <c r="I627" s="29" t="s">
        <v>89</v>
      </c>
      <c r="J627" s="29" t="s">
        <v>2354</v>
      </c>
      <c r="K627" s="31">
        <v>1</v>
      </c>
      <c r="L627" s="29" t="s">
        <v>81</v>
      </c>
      <c r="M627" s="29" t="s">
        <v>38</v>
      </c>
      <c r="N627" s="31">
        <v>672.89</v>
      </c>
    </row>
    <row r="628" ht="29.75" spans="1:14">
      <c r="A628" s="29" t="s">
        <v>2355</v>
      </c>
      <c r="B628" s="30">
        <v>45352</v>
      </c>
      <c r="C628" s="29" t="s">
        <v>2356</v>
      </c>
      <c r="D628" s="29" t="s">
        <v>32</v>
      </c>
      <c r="E628" s="31">
        <v>2</v>
      </c>
      <c r="F628" s="31">
        <v>657.48</v>
      </c>
      <c r="G628" s="29" t="s">
        <v>1639</v>
      </c>
      <c r="H628" s="29" t="s">
        <v>27</v>
      </c>
      <c r="I628" s="29" t="s">
        <v>19</v>
      </c>
      <c r="J628" s="29" t="s">
        <v>2357</v>
      </c>
      <c r="K628" s="31">
        <v>5</v>
      </c>
      <c r="L628" s="29" t="s">
        <v>21</v>
      </c>
      <c r="M628" s="29" t="s">
        <v>29</v>
      </c>
      <c r="N628" s="31">
        <v>1314.96</v>
      </c>
    </row>
    <row r="629" ht="29.75" spans="1:14">
      <c r="A629" s="29" t="s">
        <v>2358</v>
      </c>
      <c r="B629" s="30">
        <v>45144</v>
      </c>
      <c r="C629" s="29" t="s">
        <v>2359</v>
      </c>
      <c r="D629" s="29" t="s">
        <v>41</v>
      </c>
      <c r="E629" s="31">
        <v>3</v>
      </c>
      <c r="F629" s="31">
        <v>498.68</v>
      </c>
      <c r="G629" s="29" t="s">
        <v>2066</v>
      </c>
      <c r="H629" s="29" t="s">
        <v>27</v>
      </c>
      <c r="I629" s="29" t="s">
        <v>43</v>
      </c>
      <c r="J629" s="29" t="s">
        <v>2360</v>
      </c>
      <c r="K629" s="31">
        <v>4</v>
      </c>
      <c r="L629" s="29" t="s">
        <v>37</v>
      </c>
      <c r="M629" s="29" t="s">
        <v>38</v>
      </c>
      <c r="N629" s="31">
        <v>1496.04</v>
      </c>
    </row>
    <row r="630" ht="29.75" spans="1:14">
      <c r="A630" s="29" t="s">
        <v>2361</v>
      </c>
      <c r="B630" s="30">
        <v>45011</v>
      </c>
      <c r="C630" s="29" t="s">
        <v>2362</v>
      </c>
      <c r="D630" s="29" t="s">
        <v>48</v>
      </c>
      <c r="E630" s="31">
        <v>5</v>
      </c>
      <c r="F630" s="31">
        <v>558.63</v>
      </c>
      <c r="G630" s="29" t="s">
        <v>2363</v>
      </c>
      <c r="H630" s="29" t="s">
        <v>65</v>
      </c>
      <c r="I630" s="29" t="s">
        <v>89</v>
      </c>
      <c r="J630" s="29" t="s">
        <v>2364</v>
      </c>
      <c r="K630" s="31">
        <v>8</v>
      </c>
      <c r="L630" s="29" t="s">
        <v>37</v>
      </c>
      <c r="M630" s="29" t="s">
        <v>29</v>
      </c>
      <c r="N630" s="31">
        <v>2793.15</v>
      </c>
    </row>
    <row r="631" ht="29.75" spans="1:14">
      <c r="A631" s="29" t="s">
        <v>2365</v>
      </c>
      <c r="B631" s="30">
        <v>45114</v>
      </c>
      <c r="C631" s="29" t="s">
        <v>2366</v>
      </c>
      <c r="D631" s="29" t="s">
        <v>25</v>
      </c>
      <c r="E631" s="31">
        <v>3</v>
      </c>
      <c r="F631" s="31">
        <v>19.73</v>
      </c>
      <c r="G631" s="29" t="s">
        <v>2367</v>
      </c>
      <c r="H631" s="29" t="s">
        <v>27</v>
      </c>
      <c r="I631" s="29" t="s">
        <v>89</v>
      </c>
      <c r="J631" s="29" t="s">
        <v>2368</v>
      </c>
      <c r="K631" s="31">
        <v>3</v>
      </c>
      <c r="L631" s="29"/>
      <c r="M631" s="29" t="s">
        <v>29</v>
      </c>
      <c r="N631" s="31">
        <v>59.19</v>
      </c>
    </row>
    <row r="632" ht="29.75" spans="1:14">
      <c r="A632" s="29" t="s">
        <v>2369</v>
      </c>
      <c r="B632" s="30">
        <v>45100</v>
      </c>
      <c r="C632" s="29" t="s">
        <v>2370</v>
      </c>
      <c r="D632" s="29" t="s">
        <v>16</v>
      </c>
      <c r="E632" s="31">
        <v>5</v>
      </c>
      <c r="F632" s="31">
        <v>248.84</v>
      </c>
      <c r="G632" s="29" t="s">
        <v>2371</v>
      </c>
      <c r="H632" s="29" t="s">
        <v>18</v>
      </c>
      <c r="I632" s="29" t="s">
        <v>35</v>
      </c>
      <c r="J632" s="29" t="s">
        <v>2372</v>
      </c>
      <c r="K632" s="31">
        <v>10</v>
      </c>
      <c r="L632" s="29"/>
      <c r="M632" s="29" t="s">
        <v>22</v>
      </c>
      <c r="N632" s="31">
        <v>1244.2</v>
      </c>
    </row>
    <row r="633" ht="29.75" spans="1:14">
      <c r="A633" s="29" t="s">
        <v>2373</v>
      </c>
      <c r="B633" s="30">
        <v>45535</v>
      </c>
      <c r="C633" s="29" t="s">
        <v>2374</v>
      </c>
      <c r="D633" s="29" t="s">
        <v>41</v>
      </c>
      <c r="E633" s="31">
        <v>3</v>
      </c>
      <c r="F633" s="31">
        <v>46.11</v>
      </c>
      <c r="G633" s="29" t="s">
        <v>1101</v>
      </c>
      <c r="H633" s="29" t="s">
        <v>60</v>
      </c>
      <c r="I633" s="29" t="s">
        <v>43</v>
      </c>
      <c r="J633" s="29" t="s">
        <v>2375</v>
      </c>
      <c r="K633" s="31">
        <v>5</v>
      </c>
      <c r="L633" s="29" t="s">
        <v>81</v>
      </c>
      <c r="M633" s="29" t="s">
        <v>29</v>
      </c>
      <c r="N633" s="31">
        <v>138.33</v>
      </c>
    </row>
    <row r="634" ht="29.75" spans="1:14">
      <c r="A634" s="29" t="s">
        <v>2376</v>
      </c>
      <c r="B634" s="30">
        <v>45048</v>
      </c>
      <c r="C634" s="29" t="s">
        <v>2377</v>
      </c>
      <c r="D634" s="29" t="s">
        <v>58</v>
      </c>
      <c r="E634" s="31">
        <v>5</v>
      </c>
      <c r="F634" s="31">
        <v>678.16</v>
      </c>
      <c r="G634" s="29" t="s">
        <v>1028</v>
      </c>
      <c r="H634" s="29" t="s">
        <v>60</v>
      </c>
      <c r="I634" s="29" t="s">
        <v>50</v>
      </c>
      <c r="J634" s="29" t="s">
        <v>2378</v>
      </c>
      <c r="K634" s="31">
        <v>7</v>
      </c>
      <c r="L634" s="29" t="s">
        <v>81</v>
      </c>
      <c r="M634" s="29" t="s">
        <v>45</v>
      </c>
      <c r="N634" s="31">
        <v>3390.8</v>
      </c>
    </row>
    <row r="635" ht="29.75" spans="1:14">
      <c r="A635" s="29" t="s">
        <v>2379</v>
      </c>
      <c r="B635" s="30">
        <v>45392</v>
      </c>
      <c r="C635" s="29" t="s">
        <v>2380</v>
      </c>
      <c r="D635" s="29" t="s">
        <v>58</v>
      </c>
      <c r="E635" s="31">
        <v>5</v>
      </c>
      <c r="F635" s="31">
        <v>601.72</v>
      </c>
      <c r="G635" s="29" t="s">
        <v>1538</v>
      </c>
      <c r="H635" s="29" t="s">
        <v>60</v>
      </c>
      <c r="I635" s="29" t="s">
        <v>35</v>
      </c>
      <c r="J635" s="29" t="s">
        <v>2381</v>
      </c>
      <c r="K635" s="31">
        <v>5</v>
      </c>
      <c r="L635" s="29" t="s">
        <v>81</v>
      </c>
      <c r="M635" s="29" t="s">
        <v>22</v>
      </c>
      <c r="N635" s="31">
        <v>3008.6</v>
      </c>
    </row>
    <row r="636" ht="29.75" spans="1:14">
      <c r="A636" s="29" t="s">
        <v>2382</v>
      </c>
      <c r="B636" s="30">
        <v>45407</v>
      </c>
      <c r="C636" s="29" t="s">
        <v>2383</v>
      </c>
      <c r="D636" s="29" t="s">
        <v>48</v>
      </c>
      <c r="E636" s="31">
        <v>2</v>
      </c>
      <c r="F636" s="31">
        <v>259.32</v>
      </c>
      <c r="G636" s="29" t="s">
        <v>2384</v>
      </c>
      <c r="H636" s="29" t="s">
        <v>60</v>
      </c>
      <c r="I636" s="29" t="s">
        <v>50</v>
      </c>
      <c r="J636" s="29" t="s">
        <v>2385</v>
      </c>
      <c r="K636" s="31">
        <v>2</v>
      </c>
      <c r="L636" s="29" t="s">
        <v>81</v>
      </c>
      <c r="M636" s="29" t="s">
        <v>29</v>
      </c>
      <c r="N636" s="31">
        <v>518.64</v>
      </c>
    </row>
    <row r="637" ht="29.75" spans="1:14">
      <c r="A637" s="29" t="s">
        <v>2386</v>
      </c>
      <c r="B637" s="30">
        <v>45273</v>
      </c>
      <c r="C637" s="29" t="s">
        <v>2387</v>
      </c>
      <c r="D637" s="29" t="s">
        <v>41</v>
      </c>
      <c r="E637" s="31">
        <v>3</v>
      </c>
      <c r="F637" s="31">
        <v>63.68</v>
      </c>
      <c r="G637" s="29" t="s">
        <v>242</v>
      </c>
      <c r="H637" s="29" t="s">
        <v>65</v>
      </c>
      <c r="I637" s="29" t="s">
        <v>43</v>
      </c>
      <c r="J637" s="29" t="s">
        <v>2388</v>
      </c>
      <c r="K637" s="31">
        <v>6</v>
      </c>
      <c r="L637" s="29"/>
      <c r="M637" s="29" t="s">
        <v>45</v>
      </c>
      <c r="N637" s="31">
        <v>191.04</v>
      </c>
    </row>
    <row r="638" ht="29.75" spans="1:14">
      <c r="A638" s="29" t="s">
        <v>2389</v>
      </c>
      <c r="B638" s="30">
        <v>45204</v>
      </c>
      <c r="C638" s="29" t="s">
        <v>2390</v>
      </c>
      <c r="D638" s="29" t="s">
        <v>58</v>
      </c>
      <c r="E638" s="31">
        <v>4</v>
      </c>
      <c r="F638" s="31">
        <v>371.07</v>
      </c>
      <c r="G638" s="29" t="s">
        <v>708</v>
      </c>
      <c r="H638" s="29" t="s">
        <v>65</v>
      </c>
      <c r="I638" s="29" t="s">
        <v>35</v>
      </c>
      <c r="J638" s="29" t="s">
        <v>2391</v>
      </c>
      <c r="K638" s="31">
        <v>7</v>
      </c>
      <c r="L638" s="29" t="s">
        <v>81</v>
      </c>
      <c r="M638" s="29" t="s">
        <v>45</v>
      </c>
      <c r="N638" s="31">
        <v>1484.28</v>
      </c>
    </row>
    <row r="639" ht="29.75" spans="1:14">
      <c r="A639" s="29" t="s">
        <v>2392</v>
      </c>
      <c r="B639" s="30">
        <v>45564</v>
      </c>
      <c r="C639" s="29" t="s">
        <v>2393</v>
      </c>
      <c r="D639" s="29" t="s">
        <v>41</v>
      </c>
      <c r="E639" s="31">
        <v>4</v>
      </c>
      <c r="F639" s="31">
        <v>306.35</v>
      </c>
      <c r="G639" s="29" t="s">
        <v>2394</v>
      </c>
      <c r="H639" s="29" t="s">
        <v>60</v>
      </c>
      <c r="I639" s="29" t="s">
        <v>19</v>
      </c>
      <c r="J639" s="29" t="s">
        <v>2395</v>
      </c>
      <c r="K639" s="31">
        <v>7</v>
      </c>
      <c r="L639" s="29" t="s">
        <v>81</v>
      </c>
      <c r="M639" s="29" t="s">
        <v>29</v>
      </c>
      <c r="N639" s="31">
        <v>1225.4</v>
      </c>
    </row>
    <row r="640" ht="29.75" spans="1:14">
      <c r="A640" s="29" t="s">
        <v>2396</v>
      </c>
      <c r="B640" s="30">
        <v>45214</v>
      </c>
      <c r="C640" s="29" t="s">
        <v>2397</v>
      </c>
      <c r="D640" s="29" t="s">
        <v>32</v>
      </c>
      <c r="E640" s="31">
        <v>4</v>
      </c>
      <c r="F640" s="31">
        <v>578.27</v>
      </c>
      <c r="G640" s="29" t="s">
        <v>2398</v>
      </c>
      <c r="H640" s="29" t="s">
        <v>27</v>
      </c>
      <c r="I640" s="29" t="s">
        <v>50</v>
      </c>
      <c r="J640" s="29" t="s">
        <v>2399</v>
      </c>
      <c r="K640" s="31">
        <v>9</v>
      </c>
      <c r="L640" s="29" t="s">
        <v>81</v>
      </c>
      <c r="M640" s="29" t="s">
        <v>38</v>
      </c>
      <c r="N640" s="31">
        <v>2313.08</v>
      </c>
    </row>
    <row r="641" ht="29.75" spans="1:14">
      <c r="A641" s="29" t="s">
        <v>2400</v>
      </c>
      <c r="B641" s="30">
        <v>44946</v>
      </c>
      <c r="C641" s="29" t="s">
        <v>2401</v>
      </c>
      <c r="D641" s="29" t="s">
        <v>41</v>
      </c>
      <c r="E641" s="31">
        <v>1</v>
      </c>
      <c r="F641" s="31">
        <v>529.19</v>
      </c>
      <c r="G641" s="29" t="s">
        <v>1798</v>
      </c>
      <c r="H641" s="29" t="s">
        <v>65</v>
      </c>
      <c r="I641" s="29" t="s">
        <v>35</v>
      </c>
      <c r="J641" s="29" t="s">
        <v>2402</v>
      </c>
      <c r="K641" s="31">
        <v>5</v>
      </c>
      <c r="L641" s="29"/>
      <c r="M641" s="29" t="s">
        <v>29</v>
      </c>
      <c r="N641" s="31">
        <v>529.19</v>
      </c>
    </row>
    <row r="642" ht="29.75" spans="1:14">
      <c r="A642" s="29" t="s">
        <v>2403</v>
      </c>
      <c r="B642" s="30">
        <v>45349</v>
      </c>
      <c r="C642" s="29" t="s">
        <v>2404</v>
      </c>
      <c r="D642" s="29" t="s">
        <v>41</v>
      </c>
      <c r="E642" s="31">
        <v>2</v>
      </c>
      <c r="F642" s="31">
        <v>587.49</v>
      </c>
      <c r="G642" s="29" t="s">
        <v>450</v>
      </c>
      <c r="H642" s="29" t="s">
        <v>60</v>
      </c>
      <c r="I642" s="29" t="s">
        <v>43</v>
      </c>
      <c r="J642" s="29" t="s">
        <v>2405</v>
      </c>
      <c r="K642" s="31">
        <v>6</v>
      </c>
      <c r="L642" s="29" t="s">
        <v>21</v>
      </c>
      <c r="M642" s="29" t="s">
        <v>29</v>
      </c>
      <c r="N642" s="31">
        <v>1174.98</v>
      </c>
    </row>
    <row r="643" ht="29.75" spans="1:14">
      <c r="A643" s="29" t="s">
        <v>2406</v>
      </c>
      <c r="B643" s="30">
        <v>45473</v>
      </c>
      <c r="C643" s="29" t="s">
        <v>2407</v>
      </c>
      <c r="D643" s="29" t="s">
        <v>48</v>
      </c>
      <c r="E643" s="31">
        <v>4</v>
      </c>
      <c r="F643" s="31">
        <v>567.57</v>
      </c>
      <c r="G643" s="29" t="s">
        <v>1011</v>
      </c>
      <c r="H643" s="29" t="s">
        <v>18</v>
      </c>
      <c r="I643" s="29" t="s">
        <v>89</v>
      </c>
      <c r="J643" s="29" t="s">
        <v>2408</v>
      </c>
      <c r="K643" s="31">
        <v>9</v>
      </c>
      <c r="L643" s="29" t="s">
        <v>81</v>
      </c>
      <c r="M643" s="29" t="s">
        <v>76</v>
      </c>
      <c r="N643" s="31">
        <v>2270.28</v>
      </c>
    </row>
    <row r="644" ht="29.75" spans="1:14">
      <c r="A644" s="29" t="s">
        <v>2409</v>
      </c>
      <c r="B644" s="30">
        <v>45411</v>
      </c>
      <c r="C644" s="29" t="s">
        <v>2410</v>
      </c>
      <c r="D644" s="29" t="s">
        <v>41</v>
      </c>
      <c r="E644" s="31">
        <v>5</v>
      </c>
      <c r="F644" s="31">
        <v>85.22</v>
      </c>
      <c r="G644" s="29" t="s">
        <v>2411</v>
      </c>
      <c r="H644" s="29" t="s">
        <v>34</v>
      </c>
      <c r="I644" s="29" t="s">
        <v>35</v>
      </c>
      <c r="J644" s="29" t="s">
        <v>2412</v>
      </c>
      <c r="K644" s="31">
        <v>7</v>
      </c>
      <c r="L644" s="29" t="s">
        <v>37</v>
      </c>
      <c r="M644" s="29" t="s">
        <v>38</v>
      </c>
      <c r="N644" s="31">
        <v>426.1</v>
      </c>
    </row>
    <row r="645" ht="29.75" spans="1:14">
      <c r="A645" s="29" t="s">
        <v>2413</v>
      </c>
      <c r="B645" s="30">
        <v>45530</v>
      </c>
      <c r="C645" s="29" t="s">
        <v>2414</v>
      </c>
      <c r="D645" s="29" t="s">
        <v>58</v>
      </c>
      <c r="E645" s="31">
        <v>1</v>
      </c>
      <c r="F645" s="31">
        <v>438.37</v>
      </c>
      <c r="G645" s="29" t="s">
        <v>450</v>
      </c>
      <c r="H645" s="29" t="s">
        <v>65</v>
      </c>
      <c r="I645" s="29" t="s">
        <v>35</v>
      </c>
      <c r="J645" s="29" t="s">
        <v>2415</v>
      </c>
      <c r="K645" s="31">
        <v>4</v>
      </c>
      <c r="L645" s="29" t="s">
        <v>21</v>
      </c>
      <c r="M645" s="29" t="s">
        <v>29</v>
      </c>
      <c r="N645" s="31">
        <v>438.37</v>
      </c>
    </row>
    <row r="646" ht="29.75" spans="1:14">
      <c r="A646" s="29" t="s">
        <v>2416</v>
      </c>
      <c r="B646" s="30">
        <v>45245</v>
      </c>
      <c r="C646" s="29" t="s">
        <v>2417</v>
      </c>
      <c r="D646" s="29" t="s">
        <v>41</v>
      </c>
      <c r="E646" s="31">
        <v>2</v>
      </c>
      <c r="F646" s="31">
        <v>366.23</v>
      </c>
      <c r="G646" s="29" t="s">
        <v>2418</v>
      </c>
      <c r="H646" s="29" t="s">
        <v>65</v>
      </c>
      <c r="I646" s="29" t="s">
        <v>19</v>
      </c>
      <c r="J646" s="29" t="s">
        <v>2419</v>
      </c>
      <c r="K646" s="31">
        <v>2</v>
      </c>
      <c r="L646" s="29" t="s">
        <v>81</v>
      </c>
      <c r="M646" s="29" t="s">
        <v>38</v>
      </c>
      <c r="N646" s="31">
        <v>732.46</v>
      </c>
    </row>
    <row r="647" ht="29.75" spans="1:14">
      <c r="A647" s="29" t="s">
        <v>2420</v>
      </c>
      <c r="B647" s="30">
        <v>44928</v>
      </c>
      <c r="C647" s="29" t="s">
        <v>2421</v>
      </c>
      <c r="D647" s="29" t="s">
        <v>58</v>
      </c>
      <c r="E647" s="31">
        <v>2</v>
      </c>
      <c r="F647" s="31">
        <v>150.05</v>
      </c>
      <c r="G647" s="29" t="s">
        <v>525</v>
      </c>
      <c r="H647" s="29" t="s">
        <v>34</v>
      </c>
      <c r="I647" s="29" t="s">
        <v>35</v>
      </c>
      <c r="J647" s="29" t="s">
        <v>2422</v>
      </c>
      <c r="K647" s="31">
        <v>4</v>
      </c>
      <c r="L647" s="29" t="s">
        <v>21</v>
      </c>
      <c r="M647" s="29" t="s">
        <v>45</v>
      </c>
      <c r="N647" s="31">
        <v>300.1</v>
      </c>
    </row>
    <row r="648" ht="29.75" spans="1:14">
      <c r="A648" s="29" t="s">
        <v>2423</v>
      </c>
      <c r="B648" s="30">
        <v>45226</v>
      </c>
      <c r="C648" s="29" t="s">
        <v>2424</v>
      </c>
      <c r="D648" s="29" t="s">
        <v>41</v>
      </c>
      <c r="E648" s="31">
        <v>4</v>
      </c>
      <c r="F648" s="31">
        <v>498.51</v>
      </c>
      <c r="G648" s="29" t="s">
        <v>2425</v>
      </c>
      <c r="H648" s="29" t="s">
        <v>18</v>
      </c>
      <c r="I648" s="29" t="s">
        <v>19</v>
      </c>
      <c r="J648" s="29" t="s">
        <v>2426</v>
      </c>
      <c r="K648" s="31">
        <v>4</v>
      </c>
      <c r="L648" s="29" t="s">
        <v>21</v>
      </c>
      <c r="M648" s="29" t="s">
        <v>76</v>
      </c>
      <c r="N648" s="31">
        <v>1994.04</v>
      </c>
    </row>
    <row r="649" ht="29.75" spans="1:14">
      <c r="A649" s="29" t="s">
        <v>2427</v>
      </c>
      <c r="B649" s="30">
        <v>45771</v>
      </c>
      <c r="C649" s="29" t="s">
        <v>2428</v>
      </c>
      <c r="D649" s="29" t="s">
        <v>73</v>
      </c>
      <c r="E649" s="31">
        <v>3</v>
      </c>
      <c r="F649" s="31">
        <v>339.39</v>
      </c>
      <c r="G649" s="29" t="s">
        <v>681</v>
      </c>
      <c r="H649" s="29" t="s">
        <v>65</v>
      </c>
      <c r="I649" s="29" t="s">
        <v>43</v>
      </c>
      <c r="J649" s="29" t="s">
        <v>2429</v>
      </c>
      <c r="K649" s="31">
        <v>7</v>
      </c>
      <c r="L649" s="29" t="s">
        <v>37</v>
      </c>
      <c r="M649" s="29" t="s">
        <v>76</v>
      </c>
      <c r="N649" s="31">
        <v>1018.17</v>
      </c>
    </row>
    <row r="650" ht="29.75" spans="1:14">
      <c r="A650" s="29" t="s">
        <v>2430</v>
      </c>
      <c r="B650" s="30">
        <v>45675</v>
      </c>
      <c r="C650" s="29" t="s">
        <v>2431</v>
      </c>
      <c r="D650" s="29" t="s">
        <v>16</v>
      </c>
      <c r="E650" s="31">
        <v>2</v>
      </c>
      <c r="F650" s="31">
        <v>575.83</v>
      </c>
      <c r="G650" s="29" t="s">
        <v>2432</v>
      </c>
      <c r="H650" s="29" t="s">
        <v>27</v>
      </c>
      <c r="I650" s="29" t="s">
        <v>50</v>
      </c>
      <c r="J650" s="29" t="s">
        <v>2433</v>
      </c>
      <c r="K650" s="31">
        <v>3</v>
      </c>
      <c r="L650" s="29" t="s">
        <v>81</v>
      </c>
      <c r="M650" s="29" t="s">
        <v>29</v>
      </c>
      <c r="N650" s="31">
        <v>1151.66</v>
      </c>
    </row>
    <row r="651" ht="29.75" spans="1:14">
      <c r="A651" s="29" t="s">
        <v>2434</v>
      </c>
      <c r="B651" s="30">
        <v>45283</v>
      </c>
      <c r="C651" s="29" t="s">
        <v>2435</v>
      </c>
      <c r="D651" s="29" t="s">
        <v>16</v>
      </c>
      <c r="E651" s="31">
        <v>2</v>
      </c>
      <c r="F651" s="31">
        <v>642.98</v>
      </c>
      <c r="G651" s="29" t="s">
        <v>1043</v>
      </c>
      <c r="H651" s="29" t="s">
        <v>18</v>
      </c>
      <c r="I651" s="29" t="s">
        <v>43</v>
      </c>
      <c r="J651" s="29" t="s">
        <v>2436</v>
      </c>
      <c r="K651" s="31">
        <v>7</v>
      </c>
      <c r="L651" s="29" t="s">
        <v>37</v>
      </c>
      <c r="M651" s="29" t="s">
        <v>38</v>
      </c>
      <c r="N651" s="31">
        <v>1285.96</v>
      </c>
    </row>
    <row r="652" ht="29.75" spans="1:14">
      <c r="A652" s="29" t="s">
        <v>2437</v>
      </c>
      <c r="B652" s="30">
        <v>45064</v>
      </c>
      <c r="C652" s="29" t="s">
        <v>2438</v>
      </c>
      <c r="D652" s="29" t="s">
        <v>73</v>
      </c>
      <c r="E652" s="31">
        <v>2</v>
      </c>
      <c r="F652" s="31">
        <v>372.23</v>
      </c>
      <c r="G652" s="29" t="s">
        <v>2439</v>
      </c>
      <c r="H652" s="29" t="s">
        <v>60</v>
      </c>
      <c r="I652" s="29" t="s">
        <v>50</v>
      </c>
      <c r="J652" s="29" t="s">
        <v>2440</v>
      </c>
      <c r="K652" s="31">
        <v>7</v>
      </c>
      <c r="L652" s="29" t="s">
        <v>21</v>
      </c>
      <c r="M652" s="29" t="s">
        <v>38</v>
      </c>
      <c r="N652" s="31">
        <v>744.46</v>
      </c>
    </row>
    <row r="653" ht="29.75" spans="1:14">
      <c r="A653" s="29" t="s">
        <v>2441</v>
      </c>
      <c r="B653" s="30">
        <v>45608</v>
      </c>
      <c r="C653" s="29" t="s">
        <v>2442</v>
      </c>
      <c r="D653" s="29" t="s">
        <v>41</v>
      </c>
      <c r="E653" s="31">
        <v>3</v>
      </c>
      <c r="F653" s="31">
        <v>646.34</v>
      </c>
      <c r="G653" s="29" t="s">
        <v>794</v>
      </c>
      <c r="H653" s="29" t="s">
        <v>18</v>
      </c>
      <c r="I653" s="29" t="s">
        <v>89</v>
      </c>
      <c r="J653" s="29" t="s">
        <v>2443</v>
      </c>
      <c r="K653" s="31">
        <v>5</v>
      </c>
      <c r="L653" s="29"/>
      <c r="M653" s="29" t="s">
        <v>76</v>
      </c>
      <c r="N653" s="31">
        <v>1939.02</v>
      </c>
    </row>
    <row r="654" ht="29.75" spans="1:14">
      <c r="A654" s="29" t="s">
        <v>2444</v>
      </c>
      <c r="B654" s="30">
        <v>45448</v>
      </c>
      <c r="C654" s="29" t="s">
        <v>2445</v>
      </c>
      <c r="D654" s="29" t="s">
        <v>41</v>
      </c>
      <c r="E654" s="31">
        <v>5</v>
      </c>
      <c r="F654" s="31">
        <v>341.84</v>
      </c>
      <c r="G654" s="29" t="s">
        <v>2446</v>
      </c>
      <c r="H654" s="29" t="s">
        <v>27</v>
      </c>
      <c r="I654" s="29" t="s">
        <v>19</v>
      </c>
      <c r="J654" s="29" t="s">
        <v>2447</v>
      </c>
      <c r="K654" s="31">
        <v>8</v>
      </c>
      <c r="L654" s="29" t="s">
        <v>37</v>
      </c>
      <c r="M654" s="29" t="s">
        <v>22</v>
      </c>
      <c r="N654" s="31">
        <v>1709.2</v>
      </c>
    </row>
    <row r="655" ht="29.75" spans="1:14">
      <c r="A655" s="29" t="s">
        <v>2448</v>
      </c>
      <c r="B655" s="30">
        <v>45347</v>
      </c>
      <c r="C655" s="29" t="s">
        <v>2449</v>
      </c>
      <c r="D655" s="29" t="s">
        <v>48</v>
      </c>
      <c r="E655" s="31">
        <v>3</v>
      </c>
      <c r="F655" s="31">
        <v>690.3</v>
      </c>
      <c r="G655" s="29" t="s">
        <v>1415</v>
      </c>
      <c r="H655" s="29" t="s">
        <v>34</v>
      </c>
      <c r="I655" s="29" t="s">
        <v>19</v>
      </c>
      <c r="J655" s="29" t="s">
        <v>2450</v>
      </c>
      <c r="K655" s="31">
        <v>6</v>
      </c>
      <c r="L655" s="29" t="s">
        <v>81</v>
      </c>
      <c r="M655" s="29" t="s">
        <v>76</v>
      </c>
      <c r="N655" s="31">
        <v>2070.9</v>
      </c>
    </row>
    <row r="656" ht="29.75" spans="1:14">
      <c r="A656" s="29" t="s">
        <v>2451</v>
      </c>
      <c r="B656" s="30">
        <v>45089</v>
      </c>
      <c r="C656" s="29" t="s">
        <v>2452</v>
      </c>
      <c r="D656" s="29" t="s">
        <v>32</v>
      </c>
      <c r="E656" s="31">
        <v>3</v>
      </c>
      <c r="F656" s="31">
        <v>382.37</v>
      </c>
      <c r="G656" s="29" t="s">
        <v>2453</v>
      </c>
      <c r="H656" s="29" t="s">
        <v>18</v>
      </c>
      <c r="I656" s="29" t="s">
        <v>43</v>
      </c>
      <c r="J656" s="29" t="s">
        <v>2454</v>
      </c>
      <c r="K656" s="31">
        <v>8</v>
      </c>
      <c r="L656" s="29"/>
      <c r="M656" s="29" t="s">
        <v>22</v>
      </c>
      <c r="N656" s="31">
        <v>1147.11</v>
      </c>
    </row>
    <row r="657" ht="29.75" spans="1:14">
      <c r="A657" s="29" t="s">
        <v>2455</v>
      </c>
      <c r="B657" s="30">
        <v>44999</v>
      </c>
      <c r="C657" s="29" t="s">
        <v>2456</v>
      </c>
      <c r="D657" s="29" t="s">
        <v>41</v>
      </c>
      <c r="E657" s="31">
        <v>2</v>
      </c>
      <c r="F657" s="31">
        <v>132.6</v>
      </c>
      <c r="G657" s="29" t="s">
        <v>1727</v>
      </c>
      <c r="H657" s="29" t="s">
        <v>18</v>
      </c>
      <c r="I657" s="29" t="s">
        <v>35</v>
      </c>
      <c r="J657" s="29" t="s">
        <v>2457</v>
      </c>
      <c r="K657" s="31">
        <v>4</v>
      </c>
      <c r="L657" s="29" t="s">
        <v>81</v>
      </c>
      <c r="M657" s="29" t="s">
        <v>38</v>
      </c>
      <c r="N657" s="31">
        <v>265.2</v>
      </c>
    </row>
    <row r="658" ht="29.75" spans="1:14">
      <c r="A658" s="29" t="s">
        <v>2458</v>
      </c>
      <c r="B658" s="30">
        <v>45309</v>
      </c>
      <c r="C658" s="29" t="s">
        <v>2459</v>
      </c>
      <c r="D658" s="29" t="s">
        <v>16</v>
      </c>
      <c r="E658" s="31">
        <v>2</v>
      </c>
      <c r="F658" s="31">
        <v>189.06</v>
      </c>
      <c r="G658" s="29" t="s">
        <v>2460</v>
      </c>
      <c r="H658" s="29" t="s">
        <v>60</v>
      </c>
      <c r="I658" s="29" t="s">
        <v>19</v>
      </c>
      <c r="J658" s="29" t="s">
        <v>2461</v>
      </c>
      <c r="K658" s="31">
        <v>7</v>
      </c>
      <c r="L658" s="29" t="s">
        <v>21</v>
      </c>
      <c r="M658" s="29" t="s">
        <v>45</v>
      </c>
      <c r="N658" s="31">
        <v>378.12</v>
      </c>
    </row>
    <row r="659" ht="29.75" spans="1:14">
      <c r="A659" s="29" t="s">
        <v>2462</v>
      </c>
      <c r="B659" s="30">
        <v>45284</v>
      </c>
      <c r="C659" s="29" t="s">
        <v>2463</v>
      </c>
      <c r="D659" s="29" t="s">
        <v>32</v>
      </c>
      <c r="E659" s="31">
        <v>4</v>
      </c>
      <c r="F659" s="31">
        <v>87.79</v>
      </c>
      <c r="G659" s="29" t="s">
        <v>1306</v>
      </c>
      <c r="H659" s="29" t="s">
        <v>65</v>
      </c>
      <c r="I659" s="29" t="s">
        <v>35</v>
      </c>
      <c r="J659" s="29" t="s">
        <v>2464</v>
      </c>
      <c r="K659" s="31">
        <v>6</v>
      </c>
      <c r="L659" s="29" t="s">
        <v>37</v>
      </c>
      <c r="M659" s="29" t="s">
        <v>22</v>
      </c>
      <c r="N659" s="31">
        <v>351.16</v>
      </c>
    </row>
    <row r="660" ht="29.75" spans="1:14">
      <c r="A660" s="29" t="s">
        <v>2465</v>
      </c>
      <c r="B660" s="30">
        <v>45765</v>
      </c>
      <c r="C660" s="29" t="s">
        <v>2466</v>
      </c>
      <c r="D660" s="29" t="s">
        <v>48</v>
      </c>
      <c r="E660" s="31">
        <v>2</v>
      </c>
      <c r="F660" s="31">
        <v>46.36</v>
      </c>
      <c r="G660" s="29" t="s">
        <v>1161</v>
      </c>
      <c r="H660" s="29" t="s">
        <v>60</v>
      </c>
      <c r="I660" s="29" t="s">
        <v>43</v>
      </c>
      <c r="J660" s="29" t="s">
        <v>2467</v>
      </c>
      <c r="K660" s="31">
        <v>4</v>
      </c>
      <c r="L660" s="29" t="s">
        <v>21</v>
      </c>
      <c r="M660" s="29" t="s">
        <v>76</v>
      </c>
      <c r="N660" s="31">
        <v>92.72</v>
      </c>
    </row>
    <row r="661" ht="29.75" spans="1:14">
      <c r="A661" s="29" t="s">
        <v>2468</v>
      </c>
      <c r="B661" s="30">
        <v>45591</v>
      </c>
      <c r="C661" s="29" t="s">
        <v>2469</v>
      </c>
      <c r="D661" s="29" t="s">
        <v>25</v>
      </c>
      <c r="E661" s="31">
        <v>2</v>
      </c>
      <c r="F661" s="31">
        <v>642.04</v>
      </c>
      <c r="G661" s="29" t="s">
        <v>2079</v>
      </c>
      <c r="H661" s="29" t="s">
        <v>60</v>
      </c>
      <c r="I661" s="29" t="s">
        <v>50</v>
      </c>
      <c r="J661" s="29" t="s">
        <v>2470</v>
      </c>
      <c r="K661" s="31">
        <v>4</v>
      </c>
      <c r="L661" s="29" t="s">
        <v>81</v>
      </c>
      <c r="M661" s="29" t="s">
        <v>38</v>
      </c>
      <c r="N661" s="31">
        <v>1284.08</v>
      </c>
    </row>
    <row r="662" ht="29.75" spans="1:14">
      <c r="A662" s="29" t="s">
        <v>2471</v>
      </c>
      <c r="B662" s="30">
        <v>45584</v>
      </c>
      <c r="C662" s="29" t="s">
        <v>2472</v>
      </c>
      <c r="D662" s="29" t="s">
        <v>41</v>
      </c>
      <c r="E662" s="31">
        <v>2</v>
      </c>
      <c r="F662" s="31">
        <v>651.57</v>
      </c>
      <c r="G662" s="29" t="s">
        <v>603</v>
      </c>
      <c r="H662" s="29" t="s">
        <v>18</v>
      </c>
      <c r="I662" s="29" t="s">
        <v>19</v>
      </c>
      <c r="J662" s="29" t="s">
        <v>2473</v>
      </c>
      <c r="K662" s="31">
        <v>7</v>
      </c>
      <c r="L662" s="29" t="s">
        <v>81</v>
      </c>
      <c r="M662" s="29" t="s">
        <v>45</v>
      </c>
      <c r="N662" s="31">
        <v>1303.14</v>
      </c>
    </row>
    <row r="663" ht="29.75" spans="1:14">
      <c r="A663" s="29" t="s">
        <v>2474</v>
      </c>
      <c r="B663" s="30">
        <v>45716</v>
      </c>
      <c r="C663" s="29" t="s">
        <v>2475</v>
      </c>
      <c r="D663" s="29" t="s">
        <v>32</v>
      </c>
      <c r="E663" s="31">
        <v>3</v>
      </c>
      <c r="F663" s="31">
        <v>424.89</v>
      </c>
      <c r="G663" s="29" t="s">
        <v>2476</v>
      </c>
      <c r="H663" s="29" t="s">
        <v>18</v>
      </c>
      <c r="I663" s="29" t="s">
        <v>35</v>
      </c>
      <c r="J663" s="29" t="s">
        <v>2477</v>
      </c>
      <c r="K663" s="31">
        <v>6</v>
      </c>
      <c r="L663" s="29" t="s">
        <v>37</v>
      </c>
      <c r="M663" s="29" t="s">
        <v>76</v>
      </c>
      <c r="N663" s="31">
        <v>1274.67</v>
      </c>
    </row>
    <row r="664" ht="29.75" spans="1:14">
      <c r="A664" s="29" t="s">
        <v>2478</v>
      </c>
      <c r="B664" s="30">
        <v>44954</v>
      </c>
      <c r="C664" s="29" t="s">
        <v>2479</v>
      </c>
      <c r="D664" s="29" t="s">
        <v>58</v>
      </c>
      <c r="E664" s="31">
        <v>3</v>
      </c>
      <c r="F664" s="31">
        <v>438.89</v>
      </c>
      <c r="G664" s="29" t="s">
        <v>2480</v>
      </c>
      <c r="H664" s="29" t="s">
        <v>65</v>
      </c>
      <c r="I664" s="29" t="s">
        <v>43</v>
      </c>
      <c r="J664" s="29" t="s">
        <v>2481</v>
      </c>
      <c r="K664" s="31">
        <v>3</v>
      </c>
      <c r="L664" s="29"/>
      <c r="M664" s="29" t="s">
        <v>45</v>
      </c>
      <c r="N664" s="31">
        <v>1316.67</v>
      </c>
    </row>
    <row r="665" ht="29.75" spans="1:14">
      <c r="A665" s="29" t="s">
        <v>2482</v>
      </c>
      <c r="B665" s="30">
        <v>45397</v>
      </c>
      <c r="C665" s="29" t="s">
        <v>2483</v>
      </c>
      <c r="D665" s="29" t="s">
        <v>16</v>
      </c>
      <c r="E665" s="31">
        <v>1</v>
      </c>
      <c r="F665" s="31">
        <v>72.6</v>
      </c>
      <c r="G665" s="29" t="s">
        <v>1988</v>
      </c>
      <c r="H665" s="29" t="s">
        <v>18</v>
      </c>
      <c r="I665" s="29" t="s">
        <v>35</v>
      </c>
      <c r="J665" s="29" t="s">
        <v>2484</v>
      </c>
      <c r="K665" s="31">
        <v>6</v>
      </c>
      <c r="L665" s="29" t="s">
        <v>37</v>
      </c>
      <c r="M665" s="29" t="s">
        <v>22</v>
      </c>
      <c r="N665" s="31">
        <v>72.6</v>
      </c>
    </row>
    <row r="666" ht="29.75" spans="1:14">
      <c r="A666" s="29" t="s">
        <v>2485</v>
      </c>
      <c r="B666" s="30">
        <v>45645</v>
      </c>
      <c r="C666" s="29" t="s">
        <v>951</v>
      </c>
      <c r="D666" s="29" t="s">
        <v>58</v>
      </c>
      <c r="E666" s="31">
        <v>4</v>
      </c>
      <c r="F666" s="31">
        <v>194.75</v>
      </c>
      <c r="G666" s="29" t="s">
        <v>2486</v>
      </c>
      <c r="H666" s="29" t="s">
        <v>65</v>
      </c>
      <c r="I666" s="29" t="s">
        <v>19</v>
      </c>
      <c r="J666" s="29" t="s">
        <v>2487</v>
      </c>
      <c r="K666" s="31">
        <v>5</v>
      </c>
      <c r="L666" s="29"/>
      <c r="M666" s="29" t="s">
        <v>45</v>
      </c>
      <c r="N666" s="31">
        <v>779</v>
      </c>
    </row>
    <row r="667" ht="29.75" spans="1:14">
      <c r="A667" s="29" t="s">
        <v>2488</v>
      </c>
      <c r="B667" s="30">
        <v>45048</v>
      </c>
      <c r="C667" s="29" t="s">
        <v>2489</v>
      </c>
      <c r="D667" s="29" t="s">
        <v>32</v>
      </c>
      <c r="E667" s="31">
        <v>4</v>
      </c>
      <c r="F667" s="31">
        <v>231.26</v>
      </c>
      <c r="G667" s="29" t="s">
        <v>2490</v>
      </c>
      <c r="H667" s="29" t="s">
        <v>27</v>
      </c>
      <c r="I667" s="29" t="s">
        <v>19</v>
      </c>
      <c r="J667" s="29" t="s">
        <v>2491</v>
      </c>
      <c r="K667" s="31">
        <v>6</v>
      </c>
      <c r="L667" s="29" t="s">
        <v>81</v>
      </c>
      <c r="M667" s="29" t="s">
        <v>76</v>
      </c>
      <c r="N667" s="31">
        <v>925.04</v>
      </c>
    </row>
    <row r="668" ht="29.75" spans="1:14">
      <c r="A668" s="29" t="s">
        <v>2492</v>
      </c>
      <c r="B668" s="30">
        <v>45535</v>
      </c>
      <c r="C668" s="29" t="s">
        <v>2493</v>
      </c>
      <c r="D668" s="29" t="s">
        <v>16</v>
      </c>
      <c r="E668" s="31">
        <v>4</v>
      </c>
      <c r="F668" s="31">
        <v>327.12</v>
      </c>
      <c r="G668" s="29" t="s">
        <v>2294</v>
      </c>
      <c r="H668" s="29" t="s">
        <v>34</v>
      </c>
      <c r="I668" s="29" t="s">
        <v>35</v>
      </c>
      <c r="J668" s="29" t="s">
        <v>2494</v>
      </c>
      <c r="K668" s="31">
        <v>4</v>
      </c>
      <c r="L668" s="29"/>
      <c r="M668" s="29" t="s">
        <v>38</v>
      </c>
      <c r="N668" s="31">
        <v>1308.48</v>
      </c>
    </row>
    <row r="669" ht="29.75" spans="1:14">
      <c r="A669" s="29" t="s">
        <v>2495</v>
      </c>
      <c r="B669" s="30">
        <v>45049</v>
      </c>
      <c r="C669" s="29" t="s">
        <v>2496</v>
      </c>
      <c r="D669" s="29" t="s">
        <v>58</v>
      </c>
      <c r="E669" s="31">
        <v>1</v>
      </c>
      <c r="F669" s="31">
        <v>466.42</v>
      </c>
      <c r="G669" s="29" t="s">
        <v>830</v>
      </c>
      <c r="H669" s="29" t="s">
        <v>60</v>
      </c>
      <c r="I669" s="29" t="s">
        <v>89</v>
      </c>
      <c r="J669" s="29" t="s">
        <v>2497</v>
      </c>
      <c r="K669" s="31">
        <v>5</v>
      </c>
      <c r="L669" s="29" t="s">
        <v>21</v>
      </c>
      <c r="M669" s="29" t="s">
        <v>38</v>
      </c>
      <c r="N669" s="31">
        <v>466.42</v>
      </c>
    </row>
    <row r="670" ht="29.75" spans="1:14">
      <c r="A670" s="29" t="s">
        <v>2498</v>
      </c>
      <c r="B670" s="30">
        <v>45478</v>
      </c>
      <c r="C670" s="29" t="s">
        <v>2499</v>
      </c>
      <c r="D670" s="29" t="s">
        <v>16</v>
      </c>
      <c r="E670" s="31">
        <v>2</v>
      </c>
      <c r="F670" s="31">
        <v>253.67</v>
      </c>
      <c r="G670" s="29" t="s">
        <v>630</v>
      </c>
      <c r="H670" s="29" t="s">
        <v>65</v>
      </c>
      <c r="I670" s="29" t="s">
        <v>43</v>
      </c>
      <c r="J670" s="29" t="s">
        <v>2500</v>
      </c>
      <c r="K670" s="31">
        <v>3</v>
      </c>
      <c r="L670" s="29" t="s">
        <v>81</v>
      </c>
      <c r="M670" s="29" t="s">
        <v>45</v>
      </c>
      <c r="N670" s="31">
        <v>507.34</v>
      </c>
    </row>
    <row r="671" ht="29.75" spans="1:14">
      <c r="A671" s="29" t="s">
        <v>2501</v>
      </c>
      <c r="B671" s="30">
        <v>44962</v>
      </c>
      <c r="C671" s="29" t="s">
        <v>2502</v>
      </c>
      <c r="D671" s="29" t="s">
        <v>73</v>
      </c>
      <c r="E671" s="31">
        <v>1</v>
      </c>
      <c r="F671" s="31">
        <v>257</v>
      </c>
      <c r="G671" s="29" t="s">
        <v>2503</v>
      </c>
      <c r="H671" s="29" t="s">
        <v>18</v>
      </c>
      <c r="I671" s="29" t="s">
        <v>35</v>
      </c>
      <c r="J671" s="29" t="s">
        <v>2504</v>
      </c>
      <c r="K671" s="31">
        <v>5</v>
      </c>
      <c r="L671" s="29"/>
      <c r="M671" s="29" t="s">
        <v>29</v>
      </c>
      <c r="N671" s="31">
        <v>257</v>
      </c>
    </row>
    <row r="672" ht="29.75" spans="1:14">
      <c r="A672" s="29" t="s">
        <v>2505</v>
      </c>
      <c r="B672" s="30">
        <v>45400</v>
      </c>
      <c r="C672" s="29" t="s">
        <v>2506</v>
      </c>
      <c r="D672" s="29" t="s">
        <v>73</v>
      </c>
      <c r="E672" s="31">
        <v>4</v>
      </c>
      <c r="F672" s="31">
        <v>539.2</v>
      </c>
      <c r="G672" s="29" t="s">
        <v>1415</v>
      </c>
      <c r="H672" s="29" t="s">
        <v>34</v>
      </c>
      <c r="I672" s="29" t="s">
        <v>89</v>
      </c>
      <c r="J672" s="29" t="s">
        <v>2507</v>
      </c>
      <c r="K672" s="31">
        <v>8</v>
      </c>
      <c r="L672" s="29" t="s">
        <v>37</v>
      </c>
      <c r="M672" s="29" t="s">
        <v>76</v>
      </c>
      <c r="N672" s="31">
        <v>2156.8</v>
      </c>
    </row>
    <row r="673" ht="29.75" spans="1:14">
      <c r="A673" s="29" t="s">
        <v>2508</v>
      </c>
      <c r="B673" s="30">
        <v>45092</v>
      </c>
      <c r="C673" s="29" t="s">
        <v>2509</v>
      </c>
      <c r="D673" s="29" t="s">
        <v>41</v>
      </c>
      <c r="E673" s="31">
        <v>5</v>
      </c>
      <c r="F673" s="31">
        <v>50.74</v>
      </c>
      <c r="G673" s="29" t="s">
        <v>659</v>
      </c>
      <c r="H673" s="29" t="s">
        <v>60</v>
      </c>
      <c r="I673" s="29" t="s">
        <v>35</v>
      </c>
      <c r="J673" s="29" t="s">
        <v>2510</v>
      </c>
      <c r="K673" s="31">
        <v>7</v>
      </c>
      <c r="L673" s="29" t="s">
        <v>81</v>
      </c>
      <c r="M673" s="29" t="s">
        <v>76</v>
      </c>
      <c r="N673" s="31">
        <v>253.7</v>
      </c>
    </row>
    <row r="674" ht="29.75" spans="1:14">
      <c r="A674" s="29" t="s">
        <v>2511</v>
      </c>
      <c r="B674" s="30">
        <v>45055</v>
      </c>
      <c r="C674" s="29" t="s">
        <v>2512</v>
      </c>
      <c r="D674" s="29" t="s">
        <v>25</v>
      </c>
      <c r="E674" s="31">
        <v>2</v>
      </c>
      <c r="F674" s="31">
        <v>624.16</v>
      </c>
      <c r="G674" s="29" t="s">
        <v>2321</v>
      </c>
      <c r="H674" s="29" t="s">
        <v>18</v>
      </c>
      <c r="I674" s="29" t="s">
        <v>19</v>
      </c>
      <c r="J674" s="29" t="s">
        <v>2513</v>
      </c>
      <c r="K674" s="31">
        <v>2</v>
      </c>
      <c r="L674" s="29" t="s">
        <v>21</v>
      </c>
      <c r="M674" s="29" t="s">
        <v>22</v>
      </c>
      <c r="N674" s="31">
        <v>1248.32</v>
      </c>
    </row>
    <row r="675" ht="29.75" spans="1:14">
      <c r="A675" s="29" t="s">
        <v>2514</v>
      </c>
      <c r="B675" s="30">
        <v>44978</v>
      </c>
      <c r="C675" s="29" t="s">
        <v>2515</v>
      </c>
      <c r="D675" s="29" t="s">
        <v>32</v>
      </c>
      <c r="E675" s="31">
        <v>2</v>
      </c>
      <c r="F675" s="31">
        <v>372.92</v>
      </c>
      <c r="G675" s="29" t="s">
        <v>470</v>
      </c>
      <c r="H675" s="29" t="s">
        <v>34</v>
      </c>
      <c r="I675" s="29" t="s">
        <v>50</v>
      </c>
      <c r="J675" s="29" t="s">
        <v>2516</v>
      </c>
      <c r="K675" s="31">
        <v>7</v>
      </c>
      <c r="L675" s="29" t="s">
        <v>21</v>
      </c>
      <c r="M675" s="29" t="s">
        <v>38</v>
      </c>
      <c r="N675" s="31">
        <v>745.84</v>
      </c>
    </row>
    <row r="676" ht="29.75" spans="1:14">
      <c r="A676" s="29" t="s">
        <v>2517</v>
      </c>
      <c r="B676" s="30">
        <v>45300</v>
      </c>
      <c r="C676" s="29" t="s">
        <v>2518</v>
      </c>
      <c r="D676" s="29" t="s">
        <v>58</v>
      </c>
      <c r="E676" s="31">
        <v>4</v>
      </c>
      <c r="F676" s="31">
        <v>358.75</v>
      </c>
      <c r="G676" s="29" t="s">
        <v>2519</v>
      </c>
      <c r="H676" s="29" t="s">
        <v>60</v>
      </c>
      <c r="I676" s="29" t="s">
        <v>50</v>
      </c>
      <c r="J676" s="29" t="s">
        <v>2520</v>
      </c>
      <c r="K676" s="31">
        <v>9</v>
      </c>
      <c r="L676" s="29" t="s">
        <v>21</v>
      </c>
      <c r="M676" s="29" t="s">
        <v>45</v>
      </c>
      <c r="N676" s="31">
        <v>1435</v>
      </c>
    </row>
    <row r="677" ht="29.75" spans="1:14">
      <c r="A677" s="29" t="s">
        <v>2521</v>
      </c>
      <c r="B677" s="30">
        <v>45510</v>
      </c>
      <c r="C677" s="29" t="s">
        <v>2522</v>
      </c>
      <c r="D677" s="29" t="s">
        <v>73</v>
      </c>
      <c r="E677" s="31">
        <v>3</v>
      </c>
      <c r="F677" s="31">
        <v>342.02</v>
      </c>
      <c r="G677" s="29" t="s">
        <v>2040</v>
      </c>
      <c r="H677" s="29" t="s">
        <v>18</v>
      </c>
      <c r="I677" s="29" t="s">
        <v>89</v>
      </c>
      <c r="J677" s="29" t="s">
        <v>2523</v>
      </c>
      <c r="K677" s="31">
        <v>5</v>
      </c>
      <c r="L677" s="29"/>
      <c r="M677" s="29" t="s">
        <v>38</v>
      </c>
      <c r="N677" s="31">
        <v>1026.06</v>
      </c>
    </row>
    <row r="678" ht="29.75" spans="1:14">
      <c r="A678" s="29" t="s">
        <v>2524</v>
      </c>
      <c r="B678" s="30">
        <v>45831</v>
      </c>
      <c r="C678" s="29" t="s">
        <v>2525</v>
      </c>
      <c r="D678" s="29" t="s">
        <v>58</v>
      </c>
      <c r="E678" s="31">
        <v>2</v>
      </c>
      <c r="F678" s="31">
        <v>422.34</v>
      </c>
      <c r="G678" s="29" t="s">
        <v>2480</v>
      </c>
      <c r="H678" s="29" t="s">
        <v>34</v>
      </c>
      <c r="I678" s="29" t="s">
        <v>35</v>
      </c>
      <c r="J678" s="29" t="s">
        <v>2526</v>
      </c>
      <c r="K678" s="31">
        <v>4</v>
      </c>
      <c r="L678" s="29" t="s">
        <v>37</v>
      </c>
      <c r="M678" s="29" t="s">
        <v>22</v>
      </c>
      <c r="N678" s="31">
        <v>844.68</v>
      </c>
    </row>
    <row r="679" ht="29.75" spans="1:14">
      <c r="A679" s="29" t="s">
        <v>2527</v>
      </c>
      <c r="B679" s="30">
        <v>45750</v>
      </c>
      <c r="C679" s="29" t="s">
        <v>2528</v>
      </c>
      <c r="D679" s="29" t="s">
        <v>32</v>
      </c>
      <c r="E679" s="31">
        <v>5</v>
      </c>
      <c r="F679" s="31">
        <v>22.07</v>
      </c>
      <c r="G679" s="29" t="s">
        <v>88</v>
      </c>
      <c r="H679" s="29" t="s">
        <v>27</v>
      </c>
      <c r="I679" s="29" t="s">
        <v>35</v>
      </c>
      <c r="J679" s="29" t="s">
        <v>2529</v>
      </c>
      <c r="K679" s="31">
        <v>7</v>
      </c>
      <c r="L679" s="29" t="s">
        <v>37</v>
      </c>
      <c r="M679" s="29" t="s">
        <v>22</v>
      </c>
      <c r="N679" s="31">
        <v>110.35</v>
      </c>
    </row>
    <row r="680" ht="29.75" spans="1:14">
      <c r="A680" s="29" t="s">
        <v>2530</v>
      </c>
      <c r="B680" s="30">
        <v>45620</v>
      </c>
      <c r="C680" s="29" t="s">
        <v>2531</v>
      </c>
      <c r="D680" s="29" t="s">
        <v>41</v>
      </c>
      <c r="E680" s="31">
        <v>3</v>
      </c>
      <c r="F680" s="31">
        <v>163.13</v>
      </c>
      <c r="G680" s="29" t="s">
        <v>888</v>
      </c>
      <c r="H680" s="29" t="s">
        <v>60</v>
      </c>
      <c r="I680" s="29" t="s">
        <v>19</v>
      </c>
      <c r="J680" s="29" t="s">
        <v>2532</v>
      </c>
      <c r="K680" s="31">
        <v>5</v>
      </c>
      <c r="L680" s="29" t="s">
        <v>81</v>
      </c>
      <c r="M680" s="29" t="s">
        <v>45</v>
      </c>
      <c r="N680" s="31">
        <v>489.39</v>
      </c>
    </row>
    <row r="681" ht="29.75" spans="1:14">
      <c r="A681" s="29" t="s">
        <v>2533</v>
      </c>
      <c r="B681" s="30">
        <v>44959</v>
      </c>
      <c r="C681" s="29" t="s">
        <v>2534</v>
      </c>
      <c r="D681" s="29" t="s">
        <v>32</v>
      </c>
      <c r="E681" s="31">
        <v>3</v>
      </c>
      <c r="F681" s="31">
        <v>360.66</v>
      </c>
      <c r="G681" s="29" t="s">
        <v>1564</v>
      </c>
      <c r="H681" s="29" t="s">
        <v>27</v>
      </c>
      <c r="I681" s="29" t="s">
        <v>43</v>
      </c>
      <c r="J681" s="29" t="s">
        <v>2535</v>
      </c>
      <c r="K681" s="31">
        <v>5</v>
      </c>
      <c r="L681" s="29" t="s">
        <v>37</v>
      </c>
      <c r="M681" s="29" t="s">
        <v>22</v>
      </c>
      <c r="N681" s="31">
        <v>1081.98</v>
      </c>
    </row>
    <row r="682" ht="29.75" spans="1:14">
      <c r="A682" s="29" t="s">
        <v>2536</v>
      </c>
      <c r="B682" s="30">
        <v>45165</v>
      </c>
      <c r="C682" s="29" t="s">
        <v>2537</v>
      </c>
      <c r="D682" s="29" t="s">
        <v>16</v>
      </c>
      <c r="E682" s="31">
        <v>3</v>
      </c>
      <c r="F682" s="31">
        <v>463.39</v>
      </c>
      <c r="G682" s="29" t="s">
        <v>2538</v>
      </c>
      <c r="H682" s="29" t="s">
        <v>34</v>
      </c>
      <c r="I682" s="29" t="s">
        <v>43</v>
      </c>
      <c r="J682" s="29" t="s">
        <v>2539</v>
      </c>
      <c r="K682" s="31">
        <v>3</v>
      </c>
      <c r="L682" s="29"/>
      <c r="M682" s="29" t="s">
        <v>45</v>
      </c>
      <c r="N682" s="31">
        <v>1390.17</v>
      </c>
    </row>
    <row r="683" ht="29.75" spans="1:14">
      <c r="A683" s="29" t="s">
        <v>2540</v>
      </c>
      <c r="B683" s="30">
        <v>45321</v>
      </c>
      <c r="C683" s="29" t="s">
        <v>2541</v>
      </c>
      <c r="D683" s="29" t="s">
        <v>32</v>
      </c>
      <c r="E683" s="31">
        <v>1</v>
      </c>
      <c r="F683" s="31">
        <v>155.27</v>
      </c>
      <c r="G683" s="29" t="s">
        <v>2542</v>
      </c>
      <c r="H683" s="29" t="s">
        <v>18</v>
      </c>
      <c r="I683" s="29" t="s">
        <v>19</v>
      </c>
      <c r="J683" s="29" t="s">
        <v>2543</v>
      </c>
      <c r="K683" s="31">
        <v>6</v>
      </c>
      <c r="L683" s="29"/>
      <c r="M683" s="29" t="s">
        <v>38</v>
      </c>
      <c r="N683" s="31">
        <v>155.27</v>
      </c>
    </row>
    <row r="684" ht="29.75" spans="1:14">
      <c r="A684" s="29" t="s">
        <v>2544</v>
      </c>
      <c r="B684" s="30">
        <v>45130</v>
      </c>
      <c r="C684" s="29" t="s">
        <v>2545</v>
      </c>
      <c r="D684" s="29" t="s">
        <v>16</v>
      </c>
      <c r="E684" s="31">
        <v>3</v>
      </c>
      <c r="F684" s="31">
        <v>509.42</v>
      </c>
      <c r="G684" s="29" t="s">
        <v>1827</v>
      </c>
      <c r="H684" s="29" t="s">
        <v>34</v>
      </c>
      <c r="I684" s="29" t="s">
        <v>35</v>
      </c>
      <c r="J684" s="29" t="s">
        <v>2546</v>
      </c>
      <c r="K684" s="31">
        <v>5</v>
      </c>
      <c r="L684" s="29" t="s">
        <v>37</v>
      </c>
      <c r="M684" s="29" t="s">
        <v>76</v>
      </c>
      <c r="N684" s="31">
        <v>1528.26</v>
      </c>
    </row>
    <row r="685" ht="29.75" spans="1:14">
      <c r="A685" s="29" t="s">
        <v>2547</v>
      </c>
      <c r="B685" s="30">
        <v>45795</v>
      </c>
      <c r="C685" s="29" t="s">
        <v>2548</v>
      </c>
      <c r="D685" s="29" t="s">
        <v>73</v>
      </c>
      <c r="E685" s="31">
        <v>4</v>
      </c>
      <c r="F685" s="31">
        <v>652.48</v>
      </c>
      <c r="G685" s="29" t="s">
        <v>2549</v>
      </c>
      <c r="H685" s="29" t="s">
        <v>65</v>
      </c>
      <c r="I685" s="29" t="s">
        <v>89</v>
      </c>
      <c r="J685" s="29" t="s">
        <v>2550</v>
      </c>
      <c r="K685" s="31">
        <v>5</v>
      </c>
      <c r="L685" s="29" t="s">
        <v>37</v>
      </c>
      <c r="M685" s="29" t="s">
        <v>22</v>
      </c>
      <c r="N685" s="31">
        <v>2609.92</v>
      </c>
    </row>
    <row r="686" ht="29.75" spans="1:14">
      <c r="A686" s="29" t="s">
        <v>2551</v>
      </c>
      <c r="B686" s="30">
        <v>45557</v>
      </c>
      <c r="C686" s="29" t="s">
        <v>2552</v>
      </c>
      <c r="D686" s="29" t="s">
        <v>48</v>
      </c>
      <c r="E686" s="31">
        <v>4</v>
      </c>
      <c r="F686" s="31">
        <v>34.84</v>
      </c>
      <c r="G686" s="29" t="s">
        <v>2553</v>
      </c>
      <c r="H686" s="29" t="s">
        <v>34</v>
      </c>
      <c r="I686" s="29" t="s">
        <v>19</v>
      </c>
      <c r="J686" s="29" t="s">
        <v>2554</v>
      </c>
      <c r="K686" s="31">
        <v>8</v>
      </c>
      <c r="L686" s="29"/>
      <c r="M686" s="29" t="s">
        <v>38</v>
      </c>
      <c r="N686" s="31">
        <v>139.36</v>
      </c>
    </row>
    <row r="687" ht="29.75" spans="1:14">
      <c r="A687" s="29" t="s">
        <v>2555</v>
      </c>
      <c r="B687" s="30">
        <v>45695</v>
      </c>
      <c r="C687" s="29" t="s">
        <v>2556</v>
      </c>
      <c r="D687" s="29" t="s">
        <v>73</v>
      </c>
      <c r="E687" s="31">
        <v>1</v>
      </c>
      <c r="F687" s="31">
        <v>234.37</v>
      </c>
      <c r="G687" s="29" t="s">
        <v>2557</v>
      </c>
      <c r="H687" s="29" t="s">
        <v>18</v>
      </c>
      <c r="I687" s="29" t="s">
        <v>19</v>
      </c>
      <c r="J687" s="29" t="s">
        <v>2558</v>
      </c>
      <c r="K687" s="31">
        <v>5</v>
      </c>
      <c r="L687" s="29" t="s">
        <v>37</v>
      </c>
      <c r="M687" s="29" t="s">
        <v>38</v>
      </c>
      <c r="N687" s="31">
        <v>234.37</v>
      </c>
    </row>
    <row r="688" ht="29.75" spans="1:14">
      <c r="A688" s="29" t="s">
        <v>2559</v>
      </c>
      <c r="B688" s="30">
        <v>45208</v>
      </c>
      <c r="C688" s="29" t="s">
        <v>2560</v>
      </c>
      <c r="D688" s="29" t="s">
        <v>73</v>
      </c>
      <c r="E688" s="31">
        <v>3</v>
      </c>
      <c r="F688" s="31">
        <v>53.6</v>
      </c>
      <c r="G688" s="29" t="s">
        <v>2561</v>
      </c>
      <c r="H688" s="29" t="s">
        <v>65</v>
      </c>
      <c r="I688" s="29" t="s">
        <v>89</v>
      </c>
      <c r="J688" s="29" t="s">
        <v>2562</v>
      </c>
      <c r="K688" s="31">
        <v>4</v>
      </c>
      <c r="L688" s="29" t="s">
        <v>81</v>
      </c>
      <c r="M688" s="29" t="s">
        <v>45</v>
      </c>
      <c r="N688" s="31">
        <v>160.8</v>
      </c>
    </row>
    <row r="689" ht="29.75" spans="1:14">
      <c r="A689" s="29" t="s">
        <v>2563</v>
      </c>
      <c r="B689" s="30">
        <v>45182</v>
      </c>
      <c r="C689" s="29" t="s">
        <v>2564</v>
      </c>
      <c r="D689" s="29" t="s">
        <v>32</v>
      </c>
      <c r="E689" s="31">
        <v>1</v>
      </c>
      <c r="F689" s="31">
        <v>332.09</v>
      </c>
      <c r="G689" s="29" t="s">
        <v>2565</v>
      </c>
      <c r="H689" s="29" t="s">
        <v>60</v>
      </c>
      <c r="I689" s="29" t="s">
        <v>43</v>
      </c>
      <c r="J689" s="29" t="s">
        <v>2566</v>
      </c>
      <c r="K689" s="31">
        <v>5</v>
      </c>
      <c r="L689" s="29" t="s">
        <v>37</v>
      </c>
      <c r="M689" s="29" t="s">
        <v>22</v>
      </c>
      <c r="N689" s="31">
        <v>332.09</v>
      </c>
    </row>
    <row r="690" ht="29.75" spans="1:14">
      <c r="A690" s="29" t="s">
        <v>2567</v>
      </c>
      <c r="B690" s="30">
        <v>45357</v>
      </c>
      <c r="C690" s="29" t="s">
        <v>2568</v>
      </c>
      <c r="D690" s="29" t="s">
        <v>16</v>
      </c>
      <c r="E690" s="31">
        <v>4</v>
      </c>
      <c r="F690" s="31">
        <v>593.22</v>
      </c>
      <c r="G690" s="29" t="s">
        <v>2311</v>
      </c>
      <c r="H690" s="29" t="s">
        <v>34</v>
      </c>
      <c r="I690" s="29" t="s">
        <v>35</v>
      </c>
      <c r="J690" s="29" t="s">
        <v>2569</v>
      </c>
      <c r="K690" s="31">
        <v>8</v>
      </c>
      <c r="L690" s="29" t="s">
        <v>81</v>
      </c>
      <c r="M690" s="29" t="s">
        <v>45</v>
      </c>
      <c r="N690" s="31">
        <v>2372.88</v>
      </c>
    </row>
    <row r="691" ht="29.75" spans="1:14">
      <c r="A691" s="29" t="s">
        <v>2570</v>
      </c>
      <c r="B691" s="30">
        <v>45167</v>
      </c>
      <c r="C691" s="29" t="s">
        <v>2571</v>
      </c>
      <c r="D691" s="29" t="s">
        <v>32</v>
      </c>
      <c r="E691" s="31">
        <v>2</v>
      </c>
      <c r="F691" s="31">
        <v>444.84</v>
      </c>
      <c r="G691" s="29" t="s">
        <v>2572</v>
      </c>
      <c r="H691" s="29" t="s">
        <v>27</v>
      </c>
      <c r="I691" s="29" t="s">
        <v>19</v>
      </c>
      <c r="J691" s="29" t="s">
        <v>2573</v>
      </c>
      <c r="K691" s="31">
        <v>7</v>
      </c>
      <c r="L691" s="29"/>
      <c r="M691" s="29" t="s">
        <v>45</v>
      </c>
      <c r="N691" s="31">
        <v>889.68</v>
      </c>
    </row>
    <row r="692" ht="29.75" spans="1:14">
      <c r="A692" s="29" t="s">
        <v>2574</v>
      </c>
      <c r="B692" s="30">
        <v>45485</v>
      </c>
      <c r="C692" s="29" t="s">
        <v>2575</v>
      </c>
      <c r="D692" s="29" t="s">
        <v>16</v>
      </c>
      <c r="E692" s="31">
        <v>1</v>
      </c>
      <c r="F692" s="31">
        <v>24.48</v>
      </c>
      <c r="G692" s="29" t="s">
        <v>181</v>
      </c>
      <c r="H692" s="29" t="s">
        <v>60</v>
      </c>
      <c r="I692" s="29" t="s">
        <v>43</v>
      </c>
      <c r="J692" s="29" t="s">
        <v>2576</v>
      </c>
      <c r="K692" s="31">
        <v>1</v>
      </c>
      <c r="L692" s="29"/>
      <c r="M692" s="29" t="s">
        <v>22</v>
      </c>
      <c r="N692" s="31">
        <v>24.48</v>
      </c>
    </row>
    <row r="693" ht="29.75" spans="1:14">
      <c r="A693" s="29" t="s">
        <v>2577</v>
      </c>
      <c r="B693" s="30">
        <v>45620</v>
      </c>
      <c r="C693" s="29" t="s">
        <v>2578</v>
      </c>
      <c r="D693" s="29" t="s">
        <v>58</v>
      </c>
      <c r="E693" s="31">
        <v>3</v>
      </c>
      <c r="F693" s="31">
        <v>239.08</v>
      </c>
      <c r="G693" s="29" t="s">
        <v>2579</v>
      </c>
      <c r="H693" s="29" t="s">
        <v>65</v>
      </c>
      <c r="I693" s="29" t="s">
        <v>19</v>
      </c>
      <c r="J693" s="29" t="s">
        <v>2580</v>
      </c>
      <c r="K693" s="31">
        <v>8</v>
      </c>
      <c r="L693" s="29"/>
      <c r="M693" s="29" t="s">
        <v>76</v>
      </c>
      <c r="N693" s="31">
        <v>717.24</v>
      </c>
    </row>
    <row r="694" ht="29.75" spans="1:14">
      <c r="A694" s="29" t="s">
        <v>2581</v>
      </c>
      <c r="B694" s="30">
        <v>44949</v>
      </c>
      <c r="C694" s="29" t="s">
        <v>2582</v>
      </c>
      <c r="D694" s="29" t="s">
        <v>73</v>
      </c>
      <c r="E694" s="31">
        <v>5</v>
      </c>
      <c r="F694" s="31">
        <v>196.84</v>
      </c>
      <c r="G694" s="29" t="s">
        <v>1560</v>
      </c>
      <c r="H694" s="29" t="s">
        <v>34</v>
      </c>
      <c r="I694" s="29" t="s">
        <v>50</v>
      </c>
      <c r="J694" s="29" t="s">
        <v>2583</v>
      </c>
      <c r="K694" s="31">
        <v>5</v>
      </c>
      <c r="L694" s="29" t="s">
        <v>81</v>
      </c>
      <c r="M694" s="29" t="s">
        <v>22</v>
      </c>
      <c r="N694" s="31">
        <v>984.2</v>
      </c>
    </row>
    <row r="695" ht="29.75" spans="1:14">
      <c r="A695" s="29" t="s">
        <v>2584</v>
      </c>
      <c r="B695" s="30">
        <v>45728</v>
      </c>
      <c r="C695" s="29" t="s">
        <v>2585</v>
      </c>
      <c r="D695" s="29" t="s">
        <v>16</v>
      </c>
      <c r="E695" s="31">
        <v>1</v>
      </c>
      <c r="F695" s="31">
        <v>176.58</v>
      </c>
      <c r="G695" s="29" t="s">
        <v>2586</v>
      </c>
      <c r="H695" s="29" t="s">
        <v>18</v>
      </c>
      <c r="I695" s="29" t="s">
        <v>43</v>
      </c>
      <c r="J695" s="29" t="s">
        <v>2587</v>
      </c>
      <c r="K695" s="31">
        <v>4</v>
      </c>
      <c r="L695" s="29"/>
      <c r="M695" s="29" t="s">
        <v>29</v>
      </c>
      <c r="N695" s="31">
        <v>176.58</v>
      </c>
    </row>
    <row r="696" ht="29.75" spans="1:14">
      <c r="A696" s="29" t="s">
        <v>2588</v>
      </c>
      <c r="B696" s="30">
        <v>45201</v>
      </c>
      <c r="C696" s="29" t="s">
        <v>2589</v>
      </c>
      <c r="D696" s="29" t="s">
        <v>48</v>
      </c>
      <c r="E696" s="31">
        <v>4</v>
      </c>
      <c r="F696" s="31">
        <v>666.52</v>
      </c>
      <c r="G696" s="29" t="s">
        <v>1352</v>
      </c>
      <c r="H696" s="29" t="s">
        <v>65</v>
      </c>
      <c r="I696" s="29" t="s">
        <v>19</v>
      </c>
      <c r="J696" s="29" t="s">
        <v>2590</v>
      </c>
      <c r="K696" s="31">
        <v>8</v>
      </c>
      <c r="L696" s="29" t="s">
        <v>37</v>
      </c>
      <c r="M696" s="29" t="s">
        <v>38</v>
      </c>
      <c r="N696" s="31">
        <v>2666.08</v>
      </c>
    </row>
    <row r="697" ht="29.75" spans="1:14">
      <c r="A697" s="29" t="s">
        <v>2591</v>
      </c>
      <c r="B697" s="30">
        <v>45619</v>
      </c>
      <c r="C697" s="29" t="s">
        <v>2592</v>
      </c>
      <c r="D697" s="29" t="s">
        <v>48</v>
      </c>
      <c r="E697" s="31">
        <v>5</v>
      </c>
      <c r="F697" s="31">
        <v>101.3</v>
      </c>
      <c r="G697" s="29" t="s">
        <v>727</v>
      </c>
      <c r="H697" s="29" t="s">
        <v>27</v>
      </c>
      <c r="I697" s="29" t="s">
        <v>19</v>
      </c>
      <c r="J697" s="29" t="s">
        <v>2593</v>
      </c>
      <c r="K697" s="31">
        <v>7</v>
      </c>
      <c r="L697" s="29" t="s">
        <v>37</v>
      </c>
      <c r="M697" s="29" t="s">
        <v>38</v>
      </c>
      <c r="N697" s="31">
        <v>506.5</v>
      </c>
    </row>
    <row r="698" ht="29.75" spans="1:14">
      <c r="A698" s="29" t="s">
        <v>2594</v>
      </c>
      <c r="B698" s="30">
        <v>45109</v>
      </c>
      <c r="C698" s="29" t="s">
        <v>2595</v>
      </c>
      <c r="D698" s="29" t="s">
        <v>41</v>
      </c>
      <c r="E698" s="31">
        <v>4</v>
      </c>
      <c r="F698" s="31">
        <v>151.2</v>
      </c>
      <c r="G698" s="29" t="s">
        <v>2596</v>
      </c>
      <c r="H698" s="29" t="s">
        <v>60</v>
      </c>
      <c r="I698" s="29" t="s">
        <v>89</v>
      </c>
      <c r="J698" s="29" t="s">
        <v>2597</v>
      </c>
      <c r="K698" s="31">
        <v>9</v>
      </c>
      <c r="L698" s="29" t="s">
        <v>81</v>
      </c>
      <c r="M698" s="29" t="s">
        <v>45</v>
      </c>
      <c r="N698" s="31">
        <v>604.8</v>
      </c>
    </row>
    <row r="699" ht="29.75" spans="1:14">
      <c r="A699" s="29" t="s">
        <v>2598</v>
      </c>
      <c r="B699" s="30">
        <v>45692</v>
      </c>
      <c r="C699" s="29" t="s">
        <v>2599</v>
      </c>
      <c r="D699" s="29" t="s">
        <v>48</v>
      </c>
      <c r="E699" s="31">
        <v>5</v>
      </c>
      <c r="F699" s="31">
        <v>94.85</v>
      </c>
      <c r="G699" s="29" t="s">
        <v>2294</v>
      </c>
      <c r="H699" s="29" t="s">
        <v>65</v>
      </c>
      <c r="I699" s="29" t="s">
        <v>19</v>
      </c>
      <c r="J699" s="29" t="s">
        <v>2600</v>
      </c>
      <c r="K699" s="31">
        <v>6</v>
      </c>
      <c r="L699" s="29" t="s">
        <v>81</v>
      </c>
      <c r="M699" s="29" t="s">
        <v>38</v>
      </c>
      <c r="N699" s="31">
        <v>474.25</v>
      </c>
    </row>
    <row r="700" ht="29.75" spans="1:14">
      <c r="A700" s="29" t="s">
        <v>2601</v>
      </c>
      <c r="B700" s="30">
        <v>44930</v>
      </c>
      <c r="C700" s="29" t="s">
        <v>2602</v>
      </c>
      <c r="D700" s="29" t="s">
        <v>58</v>
      </c>
      <c r="E700" s="31">
        <v>2</v>
      </c>
      <c r="F700" s="31">
        <v>388.22</v>
      </c>
      <c r="G700" s="29" t="s">
        <v>1923</v>
      </c>
      <c r="H700" s="29" t="s">
        <v>65</v>
      </c>
      <c r="I700" s="29" t="s">
        <v>50</v>
      </c>
      <c r="J700" s="29" t="s">
        <v>2603</v>
      </c>
      <c r="K700" s="31">
        <v>2</v>
      </c>
      <c r="L700" s="29" t="s">
        <v>81</v>
      </c>
      <c r="M700" s="29" t="s">
        <v>22</v>
      </c>
      <c r="N700" s="31">
        <v>776.44</v>
      </c>
    </row>
    <row r="701" ht="29.75" spans="1:14">
      <c r="A701" s="29" t="s">
        <v>2604</v>
      </c>
      <c r="B701" s="30">
        <v>45243</v>
      </c>
      <c r="C701" s="29" t="s">
        <v>2605</v>
      </c>
      <c r="D701" s="29" t="s">
        <v>58</v>
      </c>
      <c r="E701" s="31">
        <v>3</v>
      </c>
      <c r="F701" s="31">
        <v>614.15</v>
      </c>
      <c r="G701" s="29" t="s">
        <v>2606</v>
      </c>
      <c r="H701" s="29" t="s">
        <v>60</v>
      </c>
      <c r="I701" s="29" t="s">
        <v>35</v>
      </c>
      <c r="J701" s="29" t="s">
        <v>2607</v>
      </c>
      <c r="K701" s="31">
        <v>3</v>
      </c>
      <c r="L701" s="29"/>
      <c r="M701" s="29" t="s">
        <v>45</v>
      </c>
      <c r="N701" s="31">
        <v>1842.45</v>
      </c>
    </row>
    <row r="702" ht="29.75" spans="1:14">
      <c r="A702" s="29" t="s">
        <v>2608</v>
      </c>
      <c r="B702" s="30">
        <v>45560</v>
      </c>
      <c r="C702" s="29" t="s">
        <v>2609</v>
      </c>
      <c r="D702" s="29" t="s">
        <v>58</v>
      </c>
      <c r="E702" s="31">
        <v>2</v>
      </c>
      <c r="F702" s="31">
        <v>92.91</v>
      </c>
      <c r="G702" s="29" t="s">
        <v>2610</v>
      </c>
      <c r="H702" s="29" t="s">
        <v>65</v>
      </c>
      <c r="I702" s="29" t="s">
        <v>43</v>
      </c>
      <c r="J702" s="29" t="s">
        <v>2611</v>
      </c>
      <c r="K702" s="31">
        <v>3</v>
      </c>
      <c r="L702" s="29" t="s">
        <v>81</v>
      </c>
      <c r="M702" s="29" t="s">
        <v>22</v>
      </c>
      <c r="N702" s="31">
        <v>185.82</v>
      </c>
    </row>
    <row r="703" ht="29.75" spans="1:14">
      <c r="A703" s="29" t="s">
        <v>2612</v>
      </c>
      <c r="B703" s="30">
        <v>45466</v>
      </c>
      <c r="C703" s="29" t="s">
        <v>2613</v>
      </c>
      <c r="D703" s="29" t="s">
        <v>16</v>
      </c>
      <c r="E703" s="31">
        <v>3</v>
      </c>
      <c r="F703" s="31">
        <v>92.22</v>
      </c>
      <c r="G703" s="29" t="s">
        <v>490</v>
      </c>
      <c r="H703" s="29" t="s">
        <v>34</v>
      </c>
      <c r="I703" s="29" t="s">
        <v>50</v>
      </c>
      <c r="J703" s="29" t="s">
        <v>2614</v>
      </c>
      <c r="K703" s="31">
        <v>5</v>
      </c>
      <c r="L703" s="29" t="s">
        <v>37</v>
      </c>
      <c r="M703" s="29" t="s">
        <v>38</v>
      </c>
      <c r="N703" s="31">
        <v>276.66</v>
      </c>
    </row>
    <row r="704" ht="29.75" spans="1:14">
      <c r="A704" s="29" t="s">
        <v>2615</v>
      </c>
      <c r="B704" s="30">
        <v>45452</v>
      </c>
      <c r="C704" s="29" t="s">
        <v>2616</v>
      </c>
      <c r="D704" s="29" t="s">
        <v>48</v>
      </c>
      <c r="E704" s="31">
        <v>3</v>
      </c>
      <c r="F704" s="31">
        <v>562.55</v>
      </c>
      <c r="G704" s="29" t="s">
        <v>2311</v>
      </c>
      <c r="H704" s="29" t="s">
        <v>18</v>
      </c>
      <c r="I704" s="29" t="s">
        <v>43</v>
      </c>
      <c r="J704" s="29" t="s">
        <v>2617</v>
      </c>
      <c r="K704" s="31">
        <v>6</v>
      </c>
      <c r="L704" s="29"/>
      <c r="M704" s="29" t="s">
        <v>38</v>
      </c>
      <c r="N704" s="31">
        <v>1687.65</v>
      </c>
    </row>
    <row r="705" ht="29.75" spans="1:14">
      <c r="A705" s="29" t="s">
        <v>2618</v>
      </c>
      <c r="B705" s="30">
        <v>45007</v>
      </c>
      <c r="C705" s="29" t="s">
        <v>2619</v>
      </c>
      <c r="D705" s="29" t="s">
        <v>73</v>
      </c>
      <c r="E705" s="31">
        <v>1</v>
      </c>
      <c r="F705" s="31">
        <v>92.79</v>
      </c>
      <c r="G705" s="29" t="s">
        <v>2620</v>
      </c>
      <c r="H705" s="29" t="s">
        <v>65</v>
      </c>
      <c r="I705" s="29" t="s">
        <v>89</v>
      </c>
      <c r="J705" s="29" t="s">
        <v>2621</v>
      </c>
      <c r="K705" s="31">
        <v>3</v>
      </c>
      <c r="L705" s="29" t="s">
        <v>81</v>
      </c>
      <c r="M705" s="29" t="s">
        <v>38</v>
      </c>
      <c r="N705" s="31">
        <v>92.79</v>
      </c>
    </row>
    <row r="706" ht="29.75" spans="1:14">
      <c r="A706" s="29" t="s">
        <v>2622</v>
      </c>
      <c r="B706" s="30">
        <v>45080</v>
      </c>
      <c r="C706" s="29" t="s">
        <v>2623</v>
      </c>
      <c r="D706" s="29" t="s">
        <v>73</v>
      </c>
      <c r="E706" s="31">
        <v>4</v>
      </c>
      <c r="F706" s="31">
        <v>30.27</v>
      </c>
      <c r="G706" s="29" t="s">
        <v>663</v>
      </c>
      <c r="H706" s="29" t="s">
        <v>27</v>
      </c>
      <c r="I706" s="29" t="s">
        <v>50</v>
      </c>
      <c r="J706" s="29" t="s">
        <v>2624</v>
      </c>
      <c r="K706" s="31">
        <v>9</v>
      </c>
      <c r="L706" s="29" t="s">
        <v>37</v>
      </c>
      <c r="M706" s="29" t="s">
        <v>76</v>
      </c>
      <c r="N706" s="31">
        <v>121.08</v>
      </c>
    </row>
    <row r="707" ht="29.75" spans="1:14">
      <c r="A707" s="29" t="s">
        <v>2625</v>
      </c>
      <c r="B707" s="30">
        <v>45746</v>
      </c>
      <c r="C707" s="29" t="s">
        <v>2626</v>
      </c>
      <c r="D707" s="29" t="s">
        <v>16</v>
      </c>
      <c r="E707" s="31">
        <v>2</v>
      </c>
      <c r="F707" s="31">
        <v>49.08</v>
      </c>
      <c r="G707" s="29" t="s">
        <v>2627</v>
      </c>
      <c r="H707" s="29" t="s">
        <v>18</v>
      </c>
      <c r="I707" s="29" t="s">
        <v>43</v>
      </c>
      <c r="J707" s="29" t="s">
        <v>2628</v>
      </c>
      <c r="K707" s="31">
        <v>7</v>
      </c>
      <c r="L707" s="29" t="s">
        <v>37</v>
      </c>
      <c r="M707" s="29" t="s">
        <v>22</v>
      </c>
      <c r="N707" s="31">
        <v>98.16</v>
      </c>
    </row>
    <row r="708" ht="29.75" spans="1:14">
      <c r="A708" s="29" t="s">
        <v>2629</v>
      </c>
      <c r="B708" s="30">
        <v>45718</v>
      </c>
      <c r="C708" s="29" t="s">
        <v>2630</v>
      </c>
      <c r="D708" s="29" t="s">
        <v>73</v>
      </c>
      <c r="E708" s="31">
        <v>5</v>
      </c>
      <c r="F708" s="31">
        <v>228.09</v>
      </c>
      <c r="G708" s="29" t="s">
        <v>1470</v>
      </c>
      <c r="H708" s="29" t="s">
        <v>60</v>
      </c>
      <c r="I708" s="29" t="s">
        <v>43</v>
      </c>
      <c r="J708" s="29" t="s">
        <v>2631</v>
      </c>
      <c r="K708" s="31">
        <v>9</v>
      </c>
      <c r="L708" s="29" t="s">
        <v>37</v>
      </c>
      <c r="M708" s="29" t="s">
        <v>45</v>
      </c>
      <c r="N708" s="31">
        <v>1140.45</v>
      </c>
    </row>
    <row r="709" ht="29.75" spans="1:14">
      <c r="A709" s="29" t="s">
        <v>2632</v>
      </c>
      <c r="B709" s="30">
        <v>45597</v>
      </c>
      <c r="C709" s="29" t="s">
        <v>2633</v>
      </c>
      <c r="D709" s="29" t="s">
        <v>41</v>
      </c>
      <c r="E709" s="31">
        <v>4</v>
      </c>
      <c r="F709" s="31">
        <v>650.04</v>
      </c>
      <c r="G709" s="29" t="s">
        <v>367</v>
      </c>
      <c r="H709" s="29" t="s">
        <v>60</v>
      </c>
      <c r="I709" s="29" t="s">
        <v>35</v>
      </c>
      <c r="J709" s="29" t="s">
        <v>2634</v>
      </c>
      <c r="K709" s="31">
        <v>6</v>
      </c>
      <c r="L709" s="29" t="s">
        <v>21</v>
      </c>
      <c r="M709" s="29" t="s">
        <v>45</v>
      </c>
      <c r="N709" s="31">
        <v>2600.16</v>
      </c>
    </row>
    <row r="710" ht="29.75" spans="1:14">
      <c r="A710" s="29" t="s">
        <v>2635</v>
      </c>
      <c r="B710" s="30">
        <v>45720</v>
      </c>
      <c r="C710" s="29" t="s">
        <v>2636</v>
      </c>
      <c r="D710" s="29" t="s">
        <v>48</v>
      </c>
      <c r="E710" s="31">
        <v>1</v>
      </c>
      <c r="F710" s="31">
        <v>665.11</v>
      </c>
      <c r="G710" s="29" t="s">
        <v>2294</v>
      </c>
      <c r="H710" s="29" t="s">
        <v>65</v>
      </c>
      <c r="I710" s="29" t="s">
        <v>89</v>
      </c>
      <c r="J710" s="29" t="s">
        <v>2637</v>
      </c>
      <c r="K710" s="31">
        <v>3</v>
      </c>
      <c r="L710" s="29" t="s">
        <v>37</v>
      </c>
      <c r="M710" s="29" t="s">
        <v>22</v>
      </c>
      <c r="N710" s="31">
        <v>665.11</v>
      </c>
    </row>
    <row r="711" ht="29.75" spans="1:14">
      <c r="A711" s="29" t="s">
        <v>2638</v>
      </c>
      <c r="B711" s="30">
        <v>45633</v>
      </c>
      <c r="C711" s="29" t="s">
        <v>2639</v>
      </c>
      <c r="D711" s="29" t="s">
        <v>73</v>
      </c>
      <c r="E711" s="31">
        <v>1</v>
      </c>
      <c r="F711" s="31">
        <v>386.03</v>
      </c>
      <c r="G711" s="29" t="s">
        <v>2640</v>
      </c>
      <c r="H711" s="29" t="s">
        <v>27</v>
      </c>
      <c r="I711" s="29" t="s">
        <v>89</v>
      </c>
      <c r="J711" s="29" t="s">
        <v>2641</v>
      </c>
      <c r="K711" s="31">
        <v>4</v>
      </c>
      <c r="L711" s="29" t="s">
        <v>37</v>
      </c>
      <c r="M711" s="29" t="s">
        <v>76</v>
      </c>
      <c r="N711" s="31">
        <v>386.03</v>
      </c>
    </row>
    <row r="712" ht="29.75" spans="1:14">
      <c r="A712" s="29" t="s">
        <v>2642</v>
      </c>
      <c r="B712" s="30">
        <v>45495</v>
      </c>
      <c r="C712" s="29" t="s">
        <v>2643</v>
      </c>
      <c r="D712" s="29" t="s">
        <v>58</v>
      </c>
      <c r="E712" s="31">
        <v>5</v>
      </c>
      <c r="F712" s="31">
        <v>21.54</v>
      </c>
      <c r="G712" s="29" t="s">
        <v>2644</v>
      </c>
      <c r="H712" s="29" t="s">
        <v>60</v>
      </c>
      <c r="I712" s="29" t="s">
        <v>43</v>
      </c>
      <c r="J712" s="29" t="s">
        <v>2645</v>
      </c>
      <c r="K712" s="31">
        <v>10</v>
      </c>
      <c r="L712" s="29"/>
      <c r="M712" s="29" t="s">
        <v>76</v>
      </c>
      <c r="N712" s="31">
        <v>107.7</v>
      </c>
    </row>
    <row r="713" ht="29.75" spans="1:14">
      <c r="A713" s="29" t="s">
        <v>2646</v>
      </c>
      <c r="B713" s="30">
        <v>45477</v>
      </c>
      <c r="C713" s="29" t="s">
        <v>2647</v>
      </c>
      <c r="D713" s="29" t="s">
        <v>32</v>
      </c>
      <c r="E713" s="31">
        <v>2</v>
      </c>
      <c r="F713" s="31">
        <v>475.78</v>
      </c>
      <c r="G713" s="29" t="s">
        <v>2648</v>
      </c>
      <c r="H713" s="29" t="s">
        <v>27</v>
      </c>
      <c r="I713" s="29" t="s">
        <v>19</v>
      </c>
      <c r="J713" s="29" t="s">
        <v>2649</v>
      </c>
      <c r="K713" s="31">
        <v>2</v>
      </c>
      <c r="L713" s="29" t="s">
        <v>81</v>
      </c>
      <c r="M713" s="29" t="s">
        <v>76</v>
      </c>
      <c r="N713" s="31">
        <v>951.56</v>
      </c>
    </row>
    <row r="714" ht="29.75" spans="1:14">
      <c r="A714" s="29" t="s">
        <v>2650</v>
      </c>
      <c r="B714" s="30">
        <v>45300</v>
      </c>
      <c r="C714" s="29" t="s">
        <v>2119</v>
      </c>
      <c r="D714" s="29" t="s">
        <v>32</v>
      </c>
      <c r="E714" s="31">
        <v>2</v>
      </c>
      <c r="F714" s="31">
        <v>68.4</v>
      </c>
      <c r="G714" s="29" t="s">
        <v>2651</v>
      </c>
      <c r="H714" s="29" t="s">
        <v>60</v>
      </c>
      <c r="I714" s="29" t="s">
        <v>89</v>
      </c>
      <c r="J714" s="29" t="s">
        <v>2652</v>
      </c>
      <c r="K714" s="31">
        <v>7</v>
      </c>
      <c r="L714" s="29" t="s">
        <v>37</v>
      </c>
      <c r="M714" s="29" t="s">
        <v>38</v>
      </c>
      <c r="N714" s="31">
        <v>136.8</v>
      </c>
    </row>
    <row r="715" ht="29.75" spans="1:14">
      <c r="A715" s="29" t="s">
        <v>2653</v>
      </c>
      <c r="B715" s="30">
        <v>45829</v>
      </c>
      <c r="C715" s="29" t="s">
        <v>2654</v>
      </c>
      <c r="D715" s="29" t="s">
        <v>32</v>
      </c>
      <c r="E715" s="31">
        <v>4</v>
      </c>
      <c r="F715" s="31">
        <v>532.49</v>
      </c>
      <c r="G715" s="29" t="s">
        <v>2557</v>
      </c>
      <c r="H715" s="29" t="s">
        <v>27</v>
      </c>
      <c r="I715" s="29" t="s">
        <v>35</v>
      </c>
      <c r="J715" s="29" t="s">
        <v>2655</v>
      </c>
      <c r="K715" s="31">
        <v>6</v>
      </c>
      <c r="L715" s="29" t="s">
        <v>21</v>
      </c>
      <c r="M715" s="29" t="s">
        <v>45</v>
      </c>
      <c r="N715" s="31">
        <v>2129.96</v>
      </c>
    </row>
    <row r="716" ht="29.75" spans="1:14">
      <c r="A716" s="29" t="s">
        <v>2656</v>
      </c>
      <c r="B716" s="30">
        <v>45037</v>
      </c>
      <c r="C716" s="29" t="s">
        <v>2657</v>
      </c>
      <c r="D716" s="29" t="s">
        <v>58</v>
      </c>
      <c r="E716" s="31">
        <v>1</v>
      </c>
      <c r="F716" s="31">
        <v>51.73</v>
      </c>
      <c r="G716" s="29" t="s">
        <v>1176</v>
      </c>
      <c r="H716" s="29" t="s">
        <v>18</v>
      </c>
      <c r="I716" s="29" t="s">
        <v>89</v>
      </c>
      <c r="J716" s="29" t="s">
        <v>2658</v>
      </c>
      <c r="K716" s="31">
        <v>1</v>
      </c>
      <c r="L716" s="29" t="s">
        <v>37</v>
      </c>
      <c r="M716" s="29" t="s">
        <v>45</v>
      </c>
      <c r="N716" s="31">
        <v>51.73</v>
      </c>
    </row>
    <row r="717" ht="29.75" spans="1:14">
      <c r="A717" s="29" t="s">
        <v>2659</v>
      </c>
      <c r="B717" s="30">
        <v>45499</v>
      </c>
      <c r="C717" s="29" t="s">
        <v>2660</v>
      </c>
      <c r="D717" s="29" t="s">
        <v>48</v>
      </c>
      <c r="E717" s="31">
        <v>3</v>
      </c>
      <c r="F717" s="31">
        <v>653.63</v>
      </c>
      <c r="G717" s="29" t="s">
        <v>2661</v>
      </c>
      <c r="H717" s="29" t="s">
        <v>27</v>
      </c>
      <c r="I717" s="29" t="s">
        <v>50</v>
      </c>
      <c r="J717" s="29" t="s">
        <v>2662</v>
      </c>
      <c r="K717" s="31">
        <v>7</v>
      </c>
      <c r="L717" s="29" t="s">
        <v>37</v>
      </c>
      <c r="M717" s="29" t="s">
        <v>38</v>
      </c>
      <c r="N717" s="31">
        <v>1960.89</v>
      </c>
    </row>
    <row r="718" ht="29.75" spans="1:14">
      <c r="A718" s="29" t="s">
        <v>2663</v>
      </c>
      <c r="B718" s="30">
        <v>45456</v>
      </c>
      <c r="C718" s="29" t="s">
        <v>2664</v>
      </c>
      <c r="D718" s="29" t="s">
        <v>41</v>
      </c>
      <c r="E718" s="31">
        <v>3</v>
      </c>
      <c r="F718" s="31">
        <v>454.29</v>
      </c>
      <c r="G718" s="29" t="s">
        <v>113</v>
      </c>
      <c r="H718" s="29" t="s">
        <v>34</v>
      </c>
      <c r="I718" s="29" t="s">
        <v>89</v>
      </c>
      <c r="J718" s="29" t="s">
        <v>2665</v>
      </c>
      <c r="K718" s="31">
        <v>4</v>
      </c>
      <c r="L718" s="29" t="s">
        <v>81</v>
      </c>
      <c r="M718" s="29" t="s">
        <v>76</v>
      </c>
      <c r="N718" s="31">
        <v>1362.87</v>
      </c>
    </row>
    <row r="719" ht="29.75" spans="1:14">
      <c r="A719" s="29" t="s">
        <v>2666</v>
      </c>
      <c r="B719" s="30">
        <v>45215</v>
      </c>
      <c r="C719" s="29" t="s">
        <v>2667</v>
      </c>
      <c r="D719" s="29" t="s">
        <v>41</v>
      </c>
      <c r="E719" s="31">
        <v>3</v>
      </c>
      <c r="F719" s="31">
        <v>122.11</v>
      </c>
      <c r="G719" s="29" t="s">
        <v>2668</v>
      </c>
      <c r="H719" s="29" t="s">
        <v>27</v>
      </c>
      <c r="I719" s="29" t="s">
        <v>50</v>
      </c>
      <c r="J719" s="29" t="s">
        <v>2669</v>
      </c>
      <c r="K719" s="31">
        <v>4</v>
      </c>
      <c r="L719" s="29" t="s">
        <v>81</v>
      </c>
      <c r="M719" s="29" t="s">
        <v>38</v>
      </c>
      <c r="N719" s="31">
        <v>366.33</v>
      </c>
    </row>
    <row r="720" ht="29.75" spans="1:14">
      <c r="A720" s="29" t="s">
        <v>2670</v>
      </c>
      <c r="B720" s="30">
        <v>45024</v>
      </c>
      <c r="C720" s="29" t="s">
        <v>2671</v>
      </c>
      <c r="D720" s="29" t="s">
        <v>58</v>
      </c>
      <c r="E720" s="31">
        <v>4</v>
      </c>
      <c r="F720" s="31">
        <v>64.74</v>
      </c>
      <c r="G720" s="29" t="s">
        <v>2672</v>
      </c>
      <c r="H720" s="29" t="s">
        <v>60</v>
      </c>
      <c r="I720" s="29" t="s">
        <v>35</v>
      </c>
      <c r="J720" s="29" t="s">
        <v>2673</v>
      </c>
      <c r="K720" s="31">
        <v>8</v>
      </c>
      <c r="L720" s="29" t="s">
        <v>21</v>
      </c>
      <c r="M720" s="29" t="s">
        <v>76</v>
      </c>
      <c r="N720" s="31">
        <v>258.96</v>
      </c>
    </row>
    <row r="721" ht="29.75" spans="1:14">
      <c r="A721" s="29" t="s">
        <v>2674</v>
      </c>
      <c r="B721" s="30">
        <v>45312</v>
      </c>
      <c r="C721" s="29" t="s">
        <v>2675</v>
      </c>
      <c r="D721" s="29" t="s">
        <v>58</v>
      </c>
      <c r="E721" s="31">
        <v>2</v>
      </c>
      <c r="F721" s="31">
        <v>681.06</v>
      </c>
      <c r="G721" s="29" t="s">
        <v>2676</v>
      </c>
      <c r="H721" s="29" t="s">
        <v>18</v>
      </c>
      <c r="I721" s="29" t="s">
        <v>19</v>
      </c>
      <c r="J721" s="29" t="s">
        <v>2677</v>
      </c>
      <c r="K721" s="31">
        <v>3</v>
      </c>
      <c r="L721" s="29" t="s">
        <v>37</v>
      </c>
      <c r="M721" s="29" t="s">
        <v>45</v>
      </c>
      <c r="N721" s="31">
        <v>1362.12</v>
      </c>
    </row>
    <row r="722" ht="29.75" spans="1:14">
      <c r="A722" s="29" t="s">
        <v>2678</v>
      </c>
      <c r="B722" s="30">
        <v>45190</v>
      </c>
      <c r="C722" s="29" t="s">
        <v>2679</v>
      </c>
      <c r="D722" s="29" t="s">
        <v>73</v>
      </c>
      <c r="E722" s="31">
        <v>5</v>
      </c>
      <c r="F722" s="31">
        <v>128.95</v>
      </c>
      <c r="G722" s="29" t="s">
        <v>2680</v>
      </c>
      <c r="H722" s="29" t="s">
        <v>65</v>
      </c>
      <c r="I722" s="29" t="s">
        <v>89</v>
      </c>
      <c r="J722" s="29" t="s">
        <v>2681</v>
      </c>
      <c r="K722" s="31">
        <v>10</v>
      </c>
      <c r="L722" s="29" t="s">
        <v>37</v>
      </c>
      <c r="M722" s="29" t="s">
        <v>22</v>
      </c>
      <c r="N722" s="31">
        <v>644.75</v>
      </c>
    </row>
    <row r="723" ht="29.75" spans="1:14">
      <c r="A723" s="29" t="s">
        <v>2682</v>
      </c>
      <c r="B723" s="30">
        <v>45369</v>
      </c>
      <c r="C723" s="29" t="s">
        <v>2683</v>
      </c>
      <c r="D723" s="29" t="s">
        <v>73</v>
      </c>
      <c r="E723" s="31">
        <v>2</v>
      </c>
      <c r="F723" s="31">
        <v>118.59</v>
      </c>
      <c r="G723" s="29" t="s">
        <v>2684</v>
      </c>
      <c r="H723" s="29" t="s">
        <v>34</v>
      </c>
      <c r="I723" s="29" t="s">
        <v>50</v>
      </c>
      <c r="J723" s="29" t="s">
        <v>2685</v>
      </c>
      <c r="K723" s="31">
        <v>2</v>
      </c>
      <c r="L723" s="29"/>
      <c r="M723" s="29" t="s">
        <v>38</v>
      </c>
      <c r="N723" s="31">
        <v>237.18</v>
      </c>
    </row>
    <row r="724" ht="29.75" spans="1:14">
      <c r="A724" s="29" t="s">
        <v>2686</v>
      </c>
      <c r="B724" s="30">
        <v>45611</v>
      </c>
      <c r="C724" s="29" t="s">
        <v>2687</v>
      </c>
      <c r="D724" s="29" t="s">
        <v>48</v>
      </c>
      <c r="E724" s="31">
        <v>1</v>
      </c>
      <c r="F724" s="31">
        <v>95.1</v>
      </c>
      <c r="G724" s="29" t="s">
        <v>1137</v>
      </c>
      <c r="H724" s="29" t="s">
        <v>60</v>
      </c>
      <c r="I724" s="29" t="s">
        <v>89</v>
      </c>
      <c r="J724" s="29" t="s">
        <v>2688</v>
      </c>
      <c r="K724" s="31">
        <v>1</v>
      </c>
      <c r="L724" s="29" t="s">
        <v>81</v>
      </c>
      <c r="M724" s="29" t="s">
        <v>22</v>
      </c>
      <c r="N724" s="31">
        <v>95.1</v>
      </c>
    </row>
    <row r="725" ht="29.75" spans="1:14">
      <c r="A725" s="29" t="s">
        <v>2689</v>
      </c>
      <c r="B725" s="30">
        <v>45269</v>
      </c>
      <c r="C725" s="29" t="s">
        <v>2690</v>
      </c>
      <c r="D725" s="29" t="s">
        <v>73</v>
      </c>
      <c r="E725" s="31">
        <v>3</v>
      </c>
      <c r="F725" s="31">
        <v>54.95</v>
      </c>
      <c r="G725" s="29" t="s">
        <v>297</v>
      </c>
      <c r="H725" s="29" t="s">
        <v>65</v>
      </c>
      <c r="I725" s="29" t="s">
        <v>43</v>
      </c>
      <c r="J725" s="29" t="s">
        <v>2691</v>
      </c>
      <c r="K725" s="31">
        <v>8</v>
      </c>
      <c r="L725" s="29" t="s">
        <v>21</v>
      </c>
      <c r="M725" s="29" t="s">
        <v>29</v>
      </c>
      <c r="N725" s="31">
        <v>164.85</v>
      </c>
    </row>
    <row r="726" ht="29.75" spans="1:14">
      <c r="A726" s="29" t="s">
        <v>2692</v>
      </c>
      <c r="B726" s="30">
        <v>45583</v>
      </c>
      <c r="C726" s="29" t="s">
        <v>2693</v>
      </c>
      <c r="D726" s="29" t="s">
        <v>48</v>
      </c>
      <c r="E726" s="31">
        <v>3</v>
      </c>
      <c r="F726" s="31">
        <v>136.97</v>
      </c>
      <c r="G726" s="29" t="s">
        <v>1210</v>
      </c>
      <c r="H726" s="29" t="s">
        <v>34</v>
      </c>
      <c r="I726" s="29" t="s">
        <v>43</v>
      </c>
      <c r="J726" s="29" t="s">
        <v>2694</v>
      </c>
      <c r="K726" s="31">
        <v>4</v>
      </c>
      <c r="L726" s="29" t="s">
        <v>37</v>
      </c>
      <c r="M726" s="29" t="s">
        <v>29</v>
      </c>
      <c r="N726" s="31">
        <v>410.91</v>
      </c>
    </row>
    <row r="727" ht="29.75" spans="1:14">
      <c r="A727" s="29" t="s">
        <v>2695</v>
      </c>
      <c r="B727" s="30">
        <v>44997</v>
      </c>
      <c r="C727" s="29" t="s">
        <v>2696</v>
      </c>
      <c r="D727" s="29" t="s">
        <v>41</v>
      </c>
      <c r="E727" s="31">
        <v>2</v>
      </c>
      <c r="F727" s="31">
        <v>194.85</v>
      </c>
      <c r="G727" s="29" t="s">
        <v>1897</v>
      </c>
      <c r="H727" s="29" t="s">
        <v>60</v>
      </c>
      <c r="I727" s="29" t="s">
        <v>43</v>
      </c>
      <c r="J727" s="29" t="s">
        <v>2697</v>
      </c>
      <c r="K727" s="31">
        <v>5</v>
      </c>
      <c r="L727" s="29"/>
      <c r="M727" s="29" t="s">
        <v>29</v>
      </c>
      <c r="N727" s="31">
        <v>389.7</v>
      </c>
    </row>
    <row r="728" ht="29.75" spans="1:14">
      <c r="A728" s="29" t="s">
        <v>2698</v>
      </c>
      <c r="B728" s="30">
        <v>45590</v>
      </c>
      <c r="C728" s="29" t="s">
        <v>2699</v>
      </c>
      <c r="D728" s="29" t="s">
        <v>58</v>
      </c>
      <c r="E728" s="31">
        <v>4</v>
      </c>
      <c r="F728" s="31">
        <v>583.02</v>
      </c>
      <c r="G728" s="29" t="s">
        <v>2700</v>
      </c>
      <c r="H728" s="29" t="s">
        <v>27</v>
      </c>
      <c r="I728" s="29" t="s">
        <v>50</v>
      </c>
      <c r="J728" s="29" t="s">
        <v>2701</v>
      </c>
      <c r="K728" s="31">
        <v>4</v>
      </c>
      <c r="L728" s="29" t="s">
        <v>37</v>
      </c>
      <c r="M728" s="29" t="s">
        <v>45</v>
      </c>
      <c r="N728" s="31">
        <v>2332.08</v>
      </c>
    </row>
    <row r="729" ht="29.75" spans="1:14">
      <c r="A729" s="29" t="s">
        <v>2702</v>
      </c>
      <c r="B729" s="30">
        <v>45564</v>
      </c>
      <c r="C729" s="29" t="s">
        <v>2703</v>
      </c>
      <c r="D729" s="29" t="s">
        <v>41</v>
      </c>
      <c r="E729" s="31">
        <v>5</v>
      </c>
      <c r="F729" s="31">
        <v>95.75</v>
      </c>
      <c r="G729" s="29" t="s">
        <v>1660</v>
      </c>
      <c r="H729" s="29" t="s">
        <v>27</v>
      </c>
      <c r="I729" s="29" t="s">
        <v>19</v>
      </c>
      <c r="J729" s="29" t="s">
        <v>2704</v>
      </c>
      <c r="K729" s="31">
        <v>8</v>
      </c>
      <c r="L729" s="29" t="s">
        <v>21</v>
      </c>
      <c r="M729" s="29" t="s">
        <v>22</v>
      </c>
      <c r="N729" s="31">
        <v>478.75</v>
      </c>
    </row>
    <row r="730" ht="29.75" spans="1:14">
      <c r="A730" s="29" t="s">
        <v>2705</v>
      </c>
      <c r="B730" s="30">
        <v>45502</v>
      </c>
      <c r="C730" s="29" t="s">
        <v>2706</v>
      </c>
      <c r="D730" s="29" t="s">
        <v>73</v>
      </c>
      <c r="E730" s="31">
        <v>4</v>
      </c>
      <c r="F730" s="31">
        <v>325.76</v>
      </c>
      <c r="G730" s="29" t="s">
        <v>2707</v>
      </c>
      <c r="H730" s="29" t="s">
        <v>60</v>
      </c>
      <c r="I730" s="29" t="s">
        <v>19</v>
      </c>
      <c r="J730" s="29" t="s">
        <v>2708</v>
      </c>
      <c r="K730" s="31">
        <v>8</v>
      </c>
      <c r="L730" s="29" t="s">
        <v>81</v>
      </c>
      <c r="M730" s="29" t="s">
        <v>38</v>
      </c>
      <c r="N730" s="31">
        <v>1303.04</v>
      </c>
    </row>
    <row r="731" ht="29.75" spans="1:14">
      <c r="A731" s="29" t="s">
        <v>2709</v>
      </c>
      <c r="B731" s="30">
        <v>45177</v>
      </c>
      <c r="C731" s="29" t="s">
        <v>2710</v>
      </c>
      <c r="D731" s="29" t="s">
        <v>25</v>
      </c>
      <c r="E731" s="31">
        <v>4</v>
      </c>
      <c r="F731" s="31">
        <v>186.41</v>
      </c>
      <c r="G731" s="29" t="s">
        <v>663</v>
      </c>
      <c r="H731" s="29" t="s">
        <v>60</v>
      </c>
      <c r="I731" s="29" t="s">
        <v>89</v>
      </c>
      <c r="J731" s="29" t="s">
        <v>2711</v>
      </c>
      <c r="K731" s="31">
        <v>6</v>
      </c>
      <c r="L731" s="29" t="s">
        <v>21</v>
      </c>
      <c r="M731" s="29" t="s">
        <v>76</v>
      </c>
      <c r="N731" s="31">
        <v>745.64</v>
      </c>
    </row>
    <row r="732" ht="29.75" spans="1:14">
      <c r="A732" s="29" t="s">
        <v>2712</v>
      </c>
      <c r="B732" s="30">
        <v>45710</v>
      </c>
      <c r="C732" s="29" t="s">
        <v>2713</v>
      </c>
      <c r="D732" s="29" t="s">
        <v>25</v>
      </c>
      <c r="E732" s="31">
        <v>1</v>
      </c>
      <c r="F732" s="31">
        <v>474.6</v>
      </c>
      <c r="G732" s="29" t="s">
        <v>972</v>
      </c>
      <c r="H732" s="29" t="s">
        <v>18</v>
      </c>
      <c r="I732" s="29" t="s">
        <v>50</v>
      </c>
      <c r="J732" s="29" t="s">
        <v>2714</v>
      </c>
      <c r="K732" s="31">
        <v>4</v>
      </c>
      <c r="L732" s="29" t="s">
        <v>21</v>
      </c>
      <c r="M732" s="29" t="s">
        <v>38</v>
      </c>
      <c r="N732" s="31">
        <v>474.6</v>
      </c>
    </row>
    <row r="733" ht="29.75" spans="1:14">
      <c r="A733" s="29" t="s">
        <v>2715</v>
      </c>
      <c r="B733" s="30">
        <v>45450</v>
      </c>
      <c r="C733" s="29" t="s">
        <v>2716</v>
      </c>
      <c r="D733" s="29" t="s">
        <v>48</v>
      </c>
      <c r="E733" s="31">
        <v>5</v>
      </c>
      <c r="F733" s="31">
        <v>584.46</v>
      </c>
      <c r="G733" s="29" t="s">
        <v>2717</v>
      </c>
      <c r="H733" s="29" t="s">
        <v>34</v>
      </c>
      <c r="I733" s="29" t="s">
        <v>43</v>
      </c>
      <c r="J733" s="29" t="s">
        <v>2718</v>
      </c>
      <c r="K733" s="31">
        <v>8</v>
      </c>
      <c r="L733" s="29"/>
      <c r="M733" s="29" t="s">
        <v>38</v>
      </c>
      <c r="N733" s="31">
        <v>2922.3</v>
      </c>
    </row>
    <row r="734" ht="29.75" spans="1:14">
      <c r="A734" s="29" t="s">
        <v>2719</v>
      </c>
      <c r="B734" s="30">
        <v>45723</v>
      </c>
      <c r="C734" s="29" t="s">
        <v>2720</v>
      </c>
      <c r="D734" s="29" t="s">
        <v>58</v>
      </c>
      <c r="E734" s="31">
        <v>1</v>
      </c>
      <c r="F734" s="31">
        <v>132.05</v>
      </c>
      <c r="G734" s="29" t="s">
        <v>2572</v>
      </c>
      <c r="H734" s="29" t="s">
        <v>27</v>
      </c>
      <c r="I734" s="29" t="s">
        <v>50</v>
      </c>
      <c r="J734" s="29" t="s">
        <v>2721</v>
      </c>
      <c r="K734" s="31">
        <v>2</v>
      </c>
      <c r="L734" s="29"/>
      <c r="M734" s="29" t="s">
        <v>76</v>
      </c>
      <c r="N734" s="31">
        <v>132.05</v>
      </c>
    </row>
    <row r="735" ht="29.75" spans="1:14">
      <c r="A735" s="29" t="s">
        <v>2722</v>
      </c>
      <c r="B735" s="30">
        <v>45264</v>
      </c>
      <c r="C735" s="29" t="s">
        <v>2723</v>
      </c>
      <c r="D735" s="29" t="s">
        <v>32</v>
      </c>
      <c r="E735" s="31">
        <v>4</v>
      </c>
      <c r="F735" s="31">
        <v>494.84</v>
      </c>
      <c r="G735" s="29" t="s">
        <v>2538</v>
      </c>
      <c r="H735" s="29" t="s">
        <v>65</v>
      </c>
      <c r="I735" s="29" t="s">
        <v>43</v>
      </c>
      <c r="J735" s="29" t="s">
        <v>2724</v>
      </c>
      <c r="K735" s="31">
        <v>8</v>
      </c>
      <c r="L735" s="29" t="s">
        <v>21</v>
      </c>
      <c r="M735" s="29" t="s">
        <v>38</v>
      </c>
      <c r="N735" s="31">
        <v>1979.36</v>
      </c>
    </row>
    <row r="736" ht="29.75" spans="1:14">
      <c r="A736" s="29" t="s">
        <v>2725</v>
      </c>
      <c r="B736" s="30">
        <v>45314</v>
      </c>
      <c r="C736" s="29" t="s">
        <v>2726</v>
      </c>
      <c r="D736" s="29" t="s">
        <v>48</v>
      </c>
      <c r="E736" s="31">
        <v>4</v>
      </c>
      <c r="F736" s="31">
        <v>224.61</v>
      </c>
      <c r="G736" s="29" t="s">
        <v>1147</v>
      </c>
      <c r="H736" s="29" t="s">
        <v>34</v>
      </c>
      <c r="I736" s="29" t="s">
        <v>43</v>
      </c>
      <c r="J736" s="29" t="s">
        <v>2727</v>
      </c>
      <c r="K736" s="31">
        <v>6</v>
      </c>
      <c r="L736" s="29" t="s">
        <v>81</v>
      </c>
      <c r="M736" s="29" t="s">
        <v>45</v>
      </c>
      <c r="N736" s="31">
        <v>898.44</v>
      </c>
    </row>
    <row r="737" ht="29.75" spans="1:14">
      <c r="A737" s="29" t="s">
        <v>2728</v>
      </c>
      <c r="B737" s="30">
        <v>45471</v>
      </c>
      <c r="C737" s="29" t="s">
        <v>2729</v>
      </c>
      <c r="D737" s="29" t="s">
        <v>16</v>
      </c>
      <c r="E737" s="31">
        <v>4</v>
      </c>
      <c r="F737" s="31">
        <v>44.07</v>
      </c>
      <c r="G737" s="29" t="s">
        <v>1542</v>
      </c>
      <c r="H737" s="29" t="s">
        <v>18</v>
      </c>
      <c r="I737" s="29" t="s">
        <v>89</v>
      </c>
      <c r="J737" s="29" t="s">
        <v>2730</v>
      </c>
      <c r="K737" s="31">
        <v>6</v>
      </c>
      <c r="L737" s="29"/>
      <c r="M737" s="29" t="s">
        <v>38</v>
      </c>
      <c r="N737" s="31">
        <v>176.28</v>
      </c>
    </row>
    <row r="738" ht="29.75" spans="1:14">
      <c r="A738" s="29" t="s">
        <v>2731</v>
      </c>
      <c r="B738" s="30">
        <v>45331</v>
      </c>
      <c r="C738" s="29" t="s">
        <v>2732</v>
      </c>
      <c r="D738" s="29" t="s">
        <v>16</v>
      </c>
      <c r="E738" s="31">
        <v>5</v>
      </c>
      <c r="F738" s="31">
        <v>418.53</v>
      </c>
      <c r="G738" s="29" t="s">
        <v>1945</v>
      </c>
      <c r="H738" s="29" t="s">
        <v>34</v>
      </c>
      <c r="I738" s="29" t="s">
        <v>89</v>
      </c>
      <c r="J738" s="29" t="s">
        <v>2733</v>
      </c>
      <c r="K738" s="31">
        <v>6</v>
      </c>
      <c r="L738" s="29" t="s">
        <v>37</v>
      </c>
      <c r="M738" s="29" t="s">
        <v>76</v>
      </c>
      <c r="N738" s="31">
        <v>2092.65</v>
      </c>
    </row>
    <row r="739" ht="29.75" spans="1:14">
      <c r="A739" s="29" t="s">
        <v>2734</v>
      </c>
      <c r="B739" s="30">
        <v>45294</v>
      </c>
      <c r="C739" s="29" t="s">
        <v>2735</v>
      </c>
      <c r="D739" s="29" t="s">
        <v>25</v>
      </c>
      <c r="E739" s="31">
        <v>4</v>
      </c>
      <c r="F739" s="31">
        <v>532.87</v>
      </c>
      <c r="G739" s="29" t="s">
        <v>2736</v>
      </c>
      <c r="H739" s="29" t="s">
        <v>65</v>
      </c>
      <c r="I739" s="29" t="s">
        <v>89</v>
      </c>
      <c r="J739" s="29" t="s">
        <v>2737</v>
      </c>
      <c r="K739" s="31">
        <v>9</v>
      </c>
      <c r="L739" s="29" t="s">
        <v>37</v>
      </c>
      <c r="M739" s="29" t="s">
        <v>22</v>
      </c>
      <c r="N739" s="31">
        <v>2131.48</v>
      </c>
    </row>
    <row r="740" ht="29.75" spans="1:14">
      <c r="A740" s="29" t="s">
        <v>2738</v>
      </c>
      <c r="B740" s="30">
        <v>45812</v>
      </c>
      <c r="C740" s="29" t="s">
        <v>2739</v>
      </c>
      <c r="D740" s="29" t="s">
        <v>25</v>
      </c>
      <c r="E740" s="31">
        <v>2</v>
      </c>
      <c r="F740" s="31">
        <v>485.37</v>
      </c>
      <c r="G740" s="29" t="s">
        <v>2740</v>
      </c>
      <c r="H740" s="29" t="s">
        <v>34</v>
      </c>
      <c r="I740" s="29" t="s">
        <v>19</v>
      </c>
      <c r="J740" s="29" t="s">
        <v>2741</v>
      </c>
      <c r="K740" s="31">
        <v>5</v>
      </c>
      <c r="L740" s="29" t="s">
        <v>21</v>
      </c>
      <c r="M740" s="29" t="s">
        <v>38</v>
      </c>
      <c r="N740" s="31">
        <v>970.74</v>
      </c>
    </row>
    <row r="741" ht="29.75" spans="1:14">
      <c r="A741" s="29" t="s">
        <v>2742</v>
      </c>
      <c r="B741" s="30">
        <v>45456</v>
      </c>
      <c r="C741" s="29" t="s">
        <v>2743</v>
      </c>
      <c r="D741" s="29" t="s">
        <v>25</v>
      </c>
      <c r="E741" s="31">
        <v>4</v>
      </c>
      <c r="F741" s="31">
        <v>386.73</v>
      </c>
      <c r="G741" s="29" t="s">
        <v>553</v>
      </c>
      <c r="H741" s="29" t="s">
        <v>65</v>
      </c>
      <c r="I741" s="29" t="s">
        <v>50</v>
      </c>
      <c r="J741" s="29" t="s">
        <v>2744</v>
      </c>
      <c r="K741" s="31">
        <v>4</v>
      </c>
      <c r="L741" s="29" t="s">
        <v>21</v>
      </c>
      <c r="M741" s="29" t="s">
        <v>45</v>
      </c>
      <c r="N741" s="31">
        <v>1546.92</v>
      </c>
    </row>
    <row r="742" ht="29.75" spans="1:14">
      <c r="A742" s="29" t="s">
        <v>2745</v>
      </c>
      <c r="B742" s="30">
        <v>45493</v>
      </c>
      <c r="C742" s="29" t="s">
        <v>2746</v>
      </c>
      <c r="D742" s="29" t="s">
        <v>73</v>
      </c>
      <c r="E742" s="31">
        <v>2</v>
      </c>
      <c r="F742" s="31">
        <v>377.47</v>
      </c>
      <c r="G742" s="29" t="s">
        <v>1670</v>
      </c>
      <c r="H742" s="29" t="s">
        <v>65</v>
      </c>
      <c r="I742" s="29" t="s">
        <v>89</v>
      </c>
      <c r="J742" s="29" t="s">
        <v>2747</v>
      </c>
      <c r="K742" s="31">
        <v>7</v>
      </c>
      <c r="L742" s="29"/>
      <c r="M742" s="29" t="s">
        <v>76</v>
      </c>
      <c r="N742" s="31">
        <v>754.94</v>
      </c>
    </row>
    <row r="743" ht="29.75" spans="1:14">
      <c r="A743" s="29" t="s">
        <v>2748</v>
      </c>
      <c r="B743" s="30">
        <v>45680</v>
      </c>
      <c r="C743" s="29" t="s">
        <v>2749</v>
      </c>
      <c r="D743" s="29" t="s">
        <v>16</v>
      </c>
      <c r="E743" s="31">
        <v>5</v>
      </c>
      <c r="F743" s="31">
        <v>332.64</v>
      </c>
      <c r="G743" s="29" t="s">
        <v>2750</v>
      </c>
      <c r="H743" s="29" t="s">
        <v>60</v>
      </c>
      <c r="I743" s="29" t="s">
        <v>50</v>
      </c>
      <c r="J743" s="29" t="s">
        <v>2751</v>
      </c>
      <c r="K743" s="31">
        <v>10</v>
      </c>
      <c r="L743" s="29"/>
      <c r="M743" s="29" t="s">
        <v>29</v>
      </c>
      <c r="N743" s="31">
        <v>1663.2</v>
      </c>
    </row>
    <row r="744" ht="29.75" spans="1:14">
      <c r="A744" s="29" t="s">
        <v>2752</v>
      </c>
      <c r="B744" s="30">
        <v>45626</v>
      </c>
      <c r="C744" s="29" t="s">
        <v>2753</v>
      </c>
      <c r="D744" s="29" t="s">
        <v>58</v>
      </c>
      <c r="E744" s="31">
        <v>3</v>
      </c>
      <c r="F744" s="31">
        <v>699.93</v>
      </c>
      <c r="G744" s="29" t="s">
        <v>1198</v>
      </c>
      <c r="H744" s="29" t="s">
        <v>65</v>
      </c>
      <c r="I744" s="29" t="s">
        <v>43</v>
      </c>
      <c r="J744" s="29" t="s">
        <v>2754</v>
      </c>
      <c r="K744" s="31">
        <v>7</v>
      </c>
      <c r="L744" s="29" t="s">
        <v>21</v>
      </c>
      <c r="M744" s="29" t="s">
        <v>76</v>
      </c>
      <c r="N744" s="31">
        <v>2099.79</v>
      </c>
    </row>
    <row r="745" ht="29.75" spans="1:14">
      <c r="A745" s="29" t="s">
        <v>2755</v>
      </c>
      <c r="B745" s="30">
        <v>45565</v>
      </c>
      <c r="C745" s="29" t="s">
        <v>2756</v>
      </c>
      <c r="D745" s="29" t="s">
        <v>16</v>
      </c>
      <c r="E745" s="31">
        <v>1</v>
      </c>
      <c r="F745" s="31">
        <v>576.35</v>
      </c>
      <c r="G745" s="29" t="s">
        <v>193</v>
      </c>
      <c r="H745" s="29" t="s">
        <v>60</v>
      </c>
      <c r="I745" s="29" t="s">
        <v>43</v>
      </c>
      <c r="J745" s="29" t="s">
        <v>2757</v>
      </c>
      <c r="K745" s="31">
        <v>1</v>
      </c>
      <c r="L745" s="29" t="s">
        <v>81</v>
      </c>
      <c r="M745" s="29" t="s">
        <v>22</v>
      </c>
      <c r="N745" s="31">
        <v>576.35</v>
      </c>
    </row>
    <row r="746" ht="29.75" spans="1:14">
      <c r="A746" s="29" t="s">
        <v>2758</v>
      </c>
      <c r="B746" s="30">
        <v>45455</v>
      </c>
      <c r="C746" s="29" t="s">
        <v>2759</v>
      </c>
      <c r="D746" s="29" t="s">
        <v>32</v>
      </c>
      <c r="E746" s="31">
        <v>2</v>
      </c>
      <c r="F746" s="31">
        <v>461.37</v>
      </c>
      <c r="G746" s="29" t="s">
        <v>2760</v>
      </c>
      <c r="H746" s="29" t="s">
        <v>65</v>
      </c>
      <c r="I746" s="29" t="s">
        <v>50</v>
      </c>
      <c r="J746" s="29" t="s">
        <v>2761</v>
      </c>
      <c r="K746" s="31">
        <v>5</v>
      </c>
      <c r="L746" s="29" t="s">
        <v>21</v>
      </c>
      <c r="M746" s="29" t="s">
        <v>76</v>
      </c>
      <c r="N746" s="31">
        <v>922.74</v>
      </c>
    </row>
    <row r="747" ht="29.75" spans="1:14">
      <c r="A747" s="29" t="s">
        <v>2762</v>
      </c>
      <c r="B747" s="30">
        <v>44987</v>
      </c>
      <c r="C747" s="29" t="s">
        <v>2763</v>
      </c>
      <c r="D747" s="29" t="s">
        <v>48</v>
      </c>
      <c r="E747" s="31">
        <v>4</v>
      </c>
      <c r="F747" s="31">
        <v>111.3</v>
      </c>
      <c r="G747" s="29" t="s">
        <v>2764</v>
      </c>
      <c r="H747" s="29" t="s">
        <v>18</v>
      </c>
      <c r="I747" s="29" t="s">
        <v>89</v>
      </c>
      <c r="J747" s="29" t="s">
        <v>2765</v>
      </c>
      <c r="K747" s="31">
        <v>7</v>
      </c>
      <c r="L747" s="29" t="s">
        <v>37</v>
      </c>
      <c r="M747" s="29" t="s">
        <v>38</v>
      </c>
      <c r="N747" s="31">
        <v>445.2</v>
      </c>
    </row>
    <row r="748" ht="29.75" spans="1:14">
      <c r="A748" s="29" t="s">
        <v>2766</v>
      </c>
      <c r="B748" s="30">
        <v>45712</v>
      </c>
      <c r="C748" s="29" t="s">
        <v>2767</v>
      </c>
      <c r="D748" s="29" t="s">
        <v>73</v>
      </c>
      <c r="E748" s="31">
        <v>3</v>
      </c>
      <c r="F748" s="31">
        <v>661.89</v>
      </c>
      <c r="G748" s="29" t="s">
        <v>2768</v>
      </c>
      <c r="H748" s="29" t="s">
        <v>27</v>
      </c>
      <c r="I748" s="29" t="s">
        <v>35</v>
      </c>
      <c r="J748" s="29" t="s">
        <v>2769</v>
      </c>
      <c r="K748" s="31">
        <v>6</v>
      </c>
      <c r="L748" s="29" t="s">
        <v>81</v>
      </c>
      <c r="M748" s="29" t="s">
        <v>29</v>
      </c>
      <c r="N748" s="31">
        <v>1985.67</v>
      </c>
    </row>
    <row r="749" ht="29.75" spans="1:14">
      <c r="A749" s="29" t="s">
        <v>2770</v>
      </c>
      <c r="B749" s="30">
        <v>45728</v>
      </c>
      <c r="C749" s="29" t="s">
        <v>2771</v>
      </c>
      <c r="D749" s="29" t="s">
        <v>32</v>
      </c>
      <c r="E749" s="31">
        <v>2</v>
      </c>
      <c r="F749" s="31">
        <v>259.58</v>
      </c>
      <c r="G749" s="29" t="s">
        <v>2772</v>
      </c>
      <c r="H749" s="29" t="s">
        <v>18</v>
      </c>
      <c r="I749" s="29" t="s">
        <v>50</v>
      </c>
      <c r="J749" s="29" t="s">
        <v>2773</v>
      </c>
      <c r="K749" s="31">
        <v>7</v>
      </c>
      <c r="L749" s="29" t="s">
        <v>37</v>
      </c>
      <c r="M749" s="29" t="s">
        <v>22</v>
      </c>
      <c r="N749" s="31">
        <v>519.16</v>
      </c>
    </row>
    <row r="750" ht="29.75" spans="1:14">
      <c r="A750" s="29" t="s">
        <v>2774</v>
      </c>
      <c r="B750" s="30">
        <v>45488</v>
      </c>
      <c r="C750" s="29" t="s">
        <v>2775</v>
      </c>
      <c r="D750" s="29" t="s">
        <v>32</v>
      </c>
      <c r="E750" s="31">
        <v>3</v>
      </c>
      <c r="F750" s="31">
        <v>70.81</v>
      </c>
      <c r="G750" s="29" t="s">
        <v>1908</v>
      </c>
      <c r="H750" s="29" t="s">
        <v>34</v>
      </c>
      <c r="I750" s="29" t="s">
        <v>19</v>
      </c>
      <c r="J750" s="29" t="s">
        <v>2776</v>
      </c>
      <c r="K750" s="31">
        <v>8</v>
      </c>
      <c r="L750" s="29" t="s">
        <v>37</v>
      </c>
      <c r="M750" s="29" t="s">
        <v>29</v>
      </c>
      <c r="N750" s="31">
        <v>212.43</v>
      </c>
    </row>
    <row r="751" ht="29.75" spans="1:14">
      <c r="A751" s="29" t="s">
        <v>2777</v>
      </c>
      <c r="B751" s="30">
        <v>45760</v>
      </c>
      <c r="C751" s="29" t="s">
        <v>2778</v>
      </c>
      <c r="D751" s="29" t="s">
        <v>58</v>
      </c>
      <c r="E751" s="31">
        <v>1</v>
      </c>
      <c r="F751" s="31">
        <v>518.39</v>
      </c>
      <c r="G751" s="29" t="s">
        <v>2779</v>
      </c>
      <c r="H751" s="29" t="s">
        <v>18</v>
      </c>
      <c r="I751" s="29" t="s">
        <v>89</v>
      </c>
      <c r="J751" s="29" t="s">
        <v>2780</v>
      </c>
      <c r="K751" s="31">
        <v>4</v>
      </c>
      <c r="L751" s="29" t="s">
        <v>37</v>
      </c>
      <c r="M751" s="29" t="s">
        <v>22</v>
      </c>
      <c r="N751" s="31">
        <v>518.39</v>
      </c>
    </row>
    <row r="752" ht="29.75" spans="1:14">
      <c r="A752" s="29" t="s">
        <v>2781</v>
      </c>
      <c r="B752" s="30">
        <v>44940</v>
      </c>
      <c r="C752" s="29" t="s">
        <v>2782</v>
      </c>
      <c r="D752" s="29" t="s">
        <v>32</v>
      </c>
      <c r="E752" s="31">
        <v>4</v>
      </c>
      <c r="F752" s="31">
        <v>145.41</v>
      </c>
      <c r="G752" s="29" t="s">
        <v>2783</v>
      </c>
      <c r="H752" s="29" t="s">
        <v>34</v>
      </c>
      <c r="I752" s="29" t="s">
        <v>43</v>
      </c>
      <c r="J752" s="29" t="s">
        <v>2784</v>
      </c>
      <c r="K752" s="31">
        <v>7</v>
      </c>
      <c r="L752" s="29" t="s">
        <v>37</v>
      </c>
      <c r="M752" s="29" t="s">
        <v>38</v>
      </c>
      <c r="N752" s="31">
        <v>581.64</v>
      </c>
    </row>
    <row r="753" ht="29.75" spans="1:14">
      <c r="A753" s="29" t="s">
        <v>2785</v>
      </c>
      <c r="B753" s="30">
        <v>44950</v>
      </c>
      <c r="C753" s="29" t="s">
        <v>2786</v>
      </c>
      <c r="D753" s="29" t="s">
        <v>32</v>
      </c>
      <c r="E753" s="31">
        <v>2</v>
      </c>
      <c r="F753" s="31">
        <v>599.86</v>
      </c>
      <c r="G753" s="29" t="s">
        <v>2787</v>
      </c>
      <c r="H753" s="29" t="s">
        <v>60</v>
      </c>
      <c r="I753" s="29" t="s">
        <v>89</v>
      </c>
      <c r="J753" s="29" t="s">
        <v>2788</v>
      </c>
      <c r="K753" s="31">
        <v>7</v>
      </c>
      <c r="L753" s="29" t="s">
        <v>37</v>
      </c>
      <c r="M753" s="29" t="s">
        <v>45</v>
      </c>
      <c r="N753" s="31">
        <v>1199.72</v>
      </c>
    </row>
    <row r="754" ht="29.75" spans="1:14">
      <c r="A754" s="29" t="s">
        <v>2789</v>
      </c>
      <c r="B754" s="30">
        <v>45568</v>
      </c>
      <c r="C754" s="29" t="s">
        <v>2790</v>
      </c>
      <c r="D754" s="29" t="s">
        <v>25</v>
      </c>
      <c r="E754" s="31">
        <v>4</v>
      </c>
      <c r="F754" s="31">
        <v>429.37</v>
      </c>
      <c r="G754" s="29" t="s">
        <v>1113</v>
      </c>
      <c r="H754" s="29" t="s">
        <v>34</v>
      </c>
      <c r="I754" s="29" t="s">
        <v>50</v>
      </c>
      <c r="J754" s="29" t="s">
        <v>2791</v>
      </c>
      <c r="K754" s="31">
        <v>8</v>
      </c>
      <c r="L754" s="29" t="s">
        <v>37</v>
      </c>
      <c r="M754" s="29" t="s">
        <v>76</v>
      </c>
      <c r="N754" s="31">
        <v>1717.48</v>
      </c>
    </row>
    <row r="755" ht="29.75" spans="1:14">
      <c r="A755" s="29" t="s">
        <v>2792</v>
      </c>
      <c r="B755" s="30">
        <v>45406</v>
      </c>
      <c r="C755" s="29" t="s">
        <v>2793</v>
      </c>
      <c r="D755" s="29" t="s">
        <v>25</v>
      </c>
      <c r="E755" s="31">
        <v>2</v>
      </c>
      <c r="F755" s="31">
        <v>241.49</v>
      </c>
      <c r="G755" s="29" t="s">
        <v>2794</v>
      </c>
      <c r="H755" s="29" t="s">
        <v>18</v>
      </c>
      <c r="I755" s="29" t="s">
        <v>43</v>
      </c>
      <c r="J755" s="29" t="s">
        <v>2795</v>
      </c>
      <c r="K755" s="31">
        <v>7</v>
      </c>
      <c r="L755" s="29" t="s">
        <v>37</v>
      </c>
      <c r="M755" s="29" t="s">
        <v>22</v>
      </c>
      <c r="N755" s="31">
        <v>482.98</v>
      </c>
    </row>
    <row r="756" ht="29.75" spans="1:14">
      <c r="A756" s="29" t="s">
        <v>2796</v>
      </c>
      <c r="B756" s="30">
        <v>45808</v>
      </c>
      <c r="C756" s="29" t="s">
        <v>2797</v>
      </c>
      <c r="D756" s="29" t="s">
        <v>48</v>
      </c>
      <c r="E756" s="31">
        <v>2</v>
      </c>
      <c r="F756" s="31">
        <v>452.05</v>
      </c>
      <c r="G756" s="29" t="s">
        <v>2798</v>
      </c>
      <c r="H756" s="29" t="s">
        <v>34</v>
      </c>
      <c r="I756" s="29" t="s">
        <v>43</v>
      </c>
      <c r="J756" s="29" t="s">
        <v>2799</v>
      </c>
      <c r="K756" s="31">
        <v>3</v>
      </c>
      <c r="L756" s="29" t="s">
        <v>81</v>
      </c>
      <c r="M756" s="29" t="s">
        <v>38</v>
      </c>
      <c r="N756" s="31">
        <v>904.1</v>
      </c>
    </row>
    <row r="757" ht="29.75" spans="1:14">
      <c r="A757" s="29" t="s">
        <v>2800</v>
      </c>
      <c r="B757" s="30">
        <v>45090</v>
      </c>
      <c r="C757" s="29" t="s">
        <v>2801</v>
      </c>
      <c r="D757" s="29" t="s">
        <v>73</v>
      </c>
      <c r="E757" s="31">
        <v>3</v>
      </c>
      <c r="F757" s="31">
        <v>336.71</v>
      </c>
      <c r="G757" s="29" t="s">
        <v>2802</v>
      </c>
      <c r="H757" s="29" t="s">
        <v>34</v>
      </c>
      <c r="I757" s="29" t="s">
        <v>89</v>
      </c>
      <c r="J757" s="29" t="s">
        <v>2803</v>
      </c>
      <c r="K757" s="31">
        <v>4</v>
      </c>
      <c r="L757" s="29"/>
      <c r="M757" s="29" t="s">
        <v>38</v>
      </c>
      <c r="N757" s="31">
        <v>1010.13</v>
      </c>
    </row>
    <row r="758" ht="29.75" spans="1:14">
      <c r="A758" s="29" t="s">
        <v>2804</v>
      </c>
      <c r="B758" s="30">
        <v>45470</v>
      </c>
      <c r="C758" s="29" t="s">
        <v>2805</v>
      </c>
      <c r="D758" s="29" t="s">
        <v>25</v>
      </c>
      <c r="E758" s="31">
        <v>1</v>
      </c>
      <c r="F758" s="31">
        <v>283.69</v>
      </c>
      <c r="G758" s="29" t="s">
        <v>269</v>
      </c>
      <c r="H758" s="29" t="s">
        <v>60</v>
      </c>
      <c r="I758" s="29" t="s">
        <v>19</v>
      </c>
      <c r="J758" s="29" t="s">
        <v>2806</v>
      </c>
      <c r="K758" s="31">
        <v>6</v>
      </c>
      <c r="L758" s="29"/>
      <c r="M758" s="29" t="s">
        <v>76</v>
      </c>
      <c r="N758" s="31">
        <v>283.69</v>
      </c>
    </row>
    <row r="759" ht="29.75" spans="1:14">
      <c r="A759" s="29" t="s">
        <v>2807</v>
      </c>
      <c r="B759" s="30">
        <v>45344</v>
      </c>
      <c r="C759" s="29" t="s">
        <v>2808</v>
      </c>
      <c r="D759" s="29" t="s">
        <v>73</v>
      </c>
      <c r="E759" s="31">
        <v>1</v>
      </c>
      <c r="F759" s="31">
        <v>157.72</v>
      </c>
      <c r="G759" s="29" t="s">
        <v>779</v>
      </c>
      <c r="H759" s="29" t="s">
        <v>18</v>
      </c>
      <c r="I759" s="29" t="s">
        <v>50</v>
      </c>
      <c r="J759" s="29" t="s">
        <v>2809</v>
      </c>
      <c r="K759" s="31">
        <v>2</v>
      </c>
      <c r="L759" s="29" t="s">
        <v>37</v>
      </c>
      <c r="M759" s="29" t="s">
        <v>76</v>
      </c>
      <c r="N759" s="31">
        <v>157.72</v>
      </c>
    </row>
    <row r="760" ht="29.75" spans="1:14">
      <c r="A760" s="29" t="s">
        <v>2810</v>
      </c>
      <c r="B760" s="30">
        <v>45011</v>
      </c>
      <c r="C760" s="29" t="s">
        <v>2811</v>
      </c>
      <c r="D760" s="29" t="s">
        <v>32</v>
      </c>
      <c r="E760" s="31">
        <v>3</v>
      </c>
      <c r="F760" s="31">
        <v>624.84</v>
      </c>
      <c r="G760" s="29" t="s">
        <v>335</v>
      </c>
      <c r="H760" s="29" t="s">
        <v>34</v>
      </c>
      <c r="I760" s="29" t="s">
        <v>35</v>
      </c>
      <c r="J760" s="29" t="s">
        <v>2812</v>
      </c>
      <c r="K760" s="31">
        <v>8</v>
      </c>
      <c r="L760" s="29" t="s">
        <v>81</v>
      </c>
      <c r="M760" s="29" t="s">
        <v>45</v>
      </c>
      <c r="N760" s="31">
        <v>1874.52</v>
      </c>
    </row>
    <row r="761" ht="29.75" spans="1:14">
      <c r="A761" s="29" t="s">
        <v>2813</v>
      </c>
      <c r="B761" s="30">
        <v>45131</v>
      </c>
      <c r="C761" s="29" t="s">
        <v>2814</v>
      </c>
      <c r="D761" s="29" t="s">
        <v>73</v>
      </c>
      <c r="E761" s="31">
        <v>3</v>
      </c>
      <c r="F761" s="31">
        <v>308.01</v>
      </c>
      <c r="G761" s="29" t="s">
        <v>2815</v>
      </c>
      <c r="H761" s="29" t="s">
        <v>65</v>
      </c>
      <c r="I761" s="29" t="s">
        <v>89</v>
      </c>
      <c r="J761" s="29" t="s">
        <v>2816</v>
      </c>
      <c r="K761" s="31">
        <v>3</v>
      </c>
      <c r="L761" s="29" t="s">
        <v>37</v>
      </c>
      <c r="M761" s="29" t="s">
        <v>45</v>
      </c>
      <c r="N761" s="31">
        <v>924.03</v>
      </c>
    </row>
    <row r="762" ht="29.75" spans="1:14">
      <c r="A762" s="29" t="s">
        <v>2817</v>
      </c>
      <c r="B762" s="30">
        <v>45706</v>
      </c>
      <c r="C762" s="29" t="s">
        <v>2818</v>
      </c>
      <c r="D762" s="29" t="s">
        <v>73</v>
      </c>
      <c r="E762" s="31">
        <v>1</v>
      </c>
      <c r="F762" s="31">
        <v>39.56</v>
      </c>
      <c r="G762" s="29" t="s">
        <v>735</v>
      </c>
      <c r="H762" s="29" t="s">
        <v>18</v>
      </c>
      <c r="I762" s="29" t="s">
        <v>35</v>
      </c>
      <c r="J762" s="29" t="s">
        <v>2819</v>
      </c>
      <c r="K762" s="31">
        <v>5</v>
      </c>
      <c r="L762" s="29"/>
      <c r="M762" s="29" t="s">
        <v>76</v>
      </c>
      <c r="N762" s="31">
        <v>39.56</v>
      </c>
    </row>
    <row r="763" ht="29.75" spans="1:14">
      <c r="A763" s="29" t="s">
        <v>2820</v>
      </c>
      <c r="B763" s="30">
        <v>45079</v>
      </c>
      <c r="C763" s="29" t="s">
        <v>2821</v>
      </c>
      <c r="D763" s="29" t="s">
        <v>73</v>
      </c>
      <c r="E763" s="31">
        <v>4</v>
      </c>
      <c r="F763" s="31">
        <v>37.76</v>
      </c>
      <c r="G763" s="29" t="s">
        <v>2822</v>
      </c>
      <c r="H763" s="29" t="s">
        <v>18</v>
      </c>
      <c r="I763" s="29" t="s">
        <v>50</v>
      </c>
      <c r="J763" s="29" t="s">
        <v>2823</v>
      </c>
      <c r="K763" s="31">
        <v>7</v>
      </c>
      <c r="L763" s="29"/>
      <c r="M763" s="29" t="s">
        <v>76</v>
      </c>
      <c r="N763" s="31">
        <v>151.04</v>
      </c>
    </row>
    <row r="764" ht="29.75" spans="1:14">
      <c r="A764" s="29" t="s">
        <v>2824</v>
      </c>
      <c r="B764" s="30">
        <v>45552</v>
      </c>
      <c r="C764" s="29" t="s">
        <v>2825</v>
      </c>
      <c r="D764" s="29" t="s">
        <v>25</v>
      </c>
      <c r="E764" s="31">
        <v>3</v>
      </c>
      <c r="F764" s="31">
        <v>76.96</v>
      </c>
      <c r="G764" s="29" t="s">
        <v>395</v>
      </c>
      <c r="H764" s="29" t="s">
        <v>65</v>
      </c>
      <c r="I764" s="29" t="s">
        <v>43</v>
      </c>
      <c r="J764" s="29" t="s">
        <v>2826</v>
      </c>
      <c r="K764" s="31">
        <v>8</v>
      </c>
      <c r="L764" s="29" t="s">
        <v>37</v>
      </c>
      <c r="M764" s="29" t="s">
        <v>38</v>
      </c>
      <c r="N764" s="31">
        <v>230.88</v>
      </c>
    </row>
    <row r="765" ht="29.75" spans="1:14">
      <c r="A765" s="29" t="s">
        <v>2827</v>
      </c>
      <c r="B765" s="30">
        <v>45022</v>
      </c>
      <c r="C765" s="29" t="s">
        <v>2828</v>
      </c>
      <c r="D765" s="29" t="s">
        <v>58</v>
      </c>
      <c r="E765" s="31">
        <v>1</v>
      </c>
      <c r="F765" s="31">
        <v>569.96</v>
      </c>
      <c r="G765" s="29" t="s">
        <v>426</v>
      </c>
      <c r="H765" s="29" t="s">
        <v>27</v>
      </c>
      <c r="I765" s="29" t="s">
        <v>50</v>
      </c>
      <c r="J765" s="29" t="s">
        <v>2829</v>
      </c>
      <c r="K765" s="31">
        <v>4</v>
      </c>
      <c r="L765" s="29" t="s">
        <v>37</v>
      </c>
      <c r="M765" s="29" t="s">
        <v>38</v>
      </c>
      <c r="N765" s="31">
        <v>569.96</v>
      </c>
    </row>
    <row r="766" ht="29.75" spans="1:14">
      <c r="A766" s="29" t="s">
        <v>2830</v>
      </c>
      <c r="B766" s="30">
        <v>45361</v>
      </c>
      <c r="C766" s="29" t="s">
        <v>2831</v>
      </c>
      <c r="D766" s="29" t="s">
        <v>58</v>
      </c>
      <c r="E766" s="31">
        <v>5</v>
      </c>
      <c r="F766" s="31">
        <v>627.43</v>
      </c>
      <c r="G766" s="29" t="s">
        <v>715</v>
      </c>
      <c r="H766" s="29" t="s">
        <v>34</v>
      </c>
      <c r="I766" s="29" t="s">
        <v>35</v>
      </c>
      <c r="J766" s="29" t="s">
        <v>2832</v>
      </c>
      <c r="K766" s="31">
        <v>10</v>
      </c>
      <c r="L766" s="29" t="s">
        <v>37</v>
      </c>
      <c r="M766" s="29" t="s">
        <v>38</v>
      </c>
      <c r="N766" s="31">
        <v>3137.15</v>
      </c>
    </row>
    <row r="767" ht="29.75" spans="1:14">
      <c r="A767" s="29" t="s">
        <v>2833</v>
      </c>
      <c r="B767" s="30">
        <v>45205</v>
      </c>
      <c r="C767" s="29" t="s">
        <v>2834</v>
      </c>
      <c r="D767" s="29" t="s">
        <v>58</v>
      </c>
      <c r="E767" s="31">
        <v>2</v>
      </c>
      <c r="F767" s="31">
        <v>534.91</v>
      </c>
      <c r="G767" s="29" t="s">
        <v>2661</v>
      </c>
      <c r="H767" s="29" t="s">
        <v>18</v>
      </c>
      <c r="I767" s="29" t="s">
        <v>43</v>
      </c>
      <c r="J767" s="29" t="s">
        <v>2835</v>
      </c>
      <c r="K767" s="31">
        <v>5</v>
      </c>
      <c r="L767" s="29" t="s">
        <v>21</v>
      </c>
      <c r="M767" s="29" t="s">
        <v>76</v>
      </c>
      <c r="N767" s="31">
        <v>1069.82</v>
      </c>
    </row>
    <row r="768" ht="29.75" spans="1:14">
      <c r="A768" s="29" t="s">
        <v>2836</v>
      </c>
      <c r="B768" s="30">
        <v>44948</v>
      </c>
      <c r="C768" s="29" t="s">
        <v>2837</v>
      </c>
      <c r="D768" s="29" t="s">
        <v>48</v>
      </c>
      <c r="E768" s="31">
        <v>2</v>
      </c>
      <c r="F768" s="31">
        <v>278.88</v>
      </c>
      <c r="G768" s="29" t="s">
        <v>1388</v>
      </c>
      <c r="H768" s="29" t="s">
        <v>18</v>
      </c>
      <c r="I768" s="29" t="s">
        <v>89</v>
      </c>
      <c r="J768" s="29" t="s">
        <v>2838</v>
      </c>
      <c r="K768" s="31">
        <v>3</v>
      </c>
      <c r="L768" s="29" t="s">
        <v>37</v>
      </c>
      <c r="M768" s="29" t="s">
        <v>29</v>
      </c>
      <c r="N768" s="31">
        <v>557.76</v>
      </c>
    </row>
    <row r="769" ht="29.75" spans="1:14">
      <c r="A769" s="29" t="s">
        <v>2839</v>
      </c>
      <c r="B769" s="30">
        <v>45765</v>
      </c>
      <c r="C769" s="29" t="s">
        <v>2840</v>
      </c>
      <c r="D769" s="29" t="s">
        <v>32</v>
      </c>
      <c r="E769" s="31">
        <v>2</v>
      </c>
      <c r="F769" s="31">
        <v>323.22</v>
      </c>
      <c r="G769" s="29" t="s">
        <v>2841</v>
      </c>
      <c r="H769" s="29" t="s">
        <v>34</v>
      </c>
      <c r="I769" s="29" t="s">
        <v>50</v>
      </c>
      <c r="J769" s="29" t="s">
        <v>2842</v>
      </c>
      <c r="K769" s="31">
        <v>7</v>
      </c>
      <c r="L769" s="29"/>
      <c r="M769" s="29" t="s">
        <v>22</v>
      </c>
      <c r="N769" s="31">
        <v>646.44</v>
      </c>
    </row>
    <row r="770" ht="29.75" spans="1:14">
      <c r="A770" s="29" t="s">
        <v>2843</v>
      </c>
      <c r="B770" s="30">
        <v>45173</v>
      </c>
      <c r="C770" s="29" t="s">
        <v>2844</v>
      </c>
      <c r="D770" s="29" t="s">
        <v>32</v>
      </c>
      <c r="E770" s="31">
        <v>5</v>
      </c>
      <c r="F770" s="31">
        <v>653.46</v>
      </c>
      <c r="G770" s="29" t="s">
        <v>2845</v>
      </c>
      <c r="H770" s="29" t="s">
        <v>65</v>
      </c>
      <c r="I770" s="29" t="s">
        <v>35</v>
      </c>
      <c r="J770" s="29" t="s">
        <v>2846</v>
      </c>
      <c r="K770" s="31">
        <v>9</v>
      </c>
      <c r="L770" s="29" t="s">
        <v>81</v>
      </c>
      <c r="M770" s="29" t="s">
        <v>38</v>
      </c>
      <c r="N770" s="31">
        <v>3267.3</v>
      </c>
    </row>
    <row r="771" ht="29.75" spans="1:14">
      <c r="A771" s="29" t="s">
        <v>2847</v>
      </c>
      <c r="B771" s="30">
        <v>45113</v>
      </c>
      <c r="C771" s="29" t="s">
        <v>2848</v>
      </c>
      <c r="D771" s="29" t="s">
        <v>48</v>
      </c>
      <c r="E771" s="31">
        <v>4</v>
      </c>
      <c r="F771" s="31">
        <v>678.55</v>
      </c>
      <c r="G771" s="29" t="s">
        <v>153</v>
      </c>
      <c r="H771" s="29" t="s">
        <v>65</v>
      </c>
      <c r="I771" s="29" t="s">
        <v>50</v>
      </c>
      <c r="J771" s="29" t="s">
        <v>2849</v>
      </c>
      <c r="K771" s="31">
        <v>5</v>
      </c>
      <c r="L771" s="29"/>
      <c r="M771" s="29" t="s">
        <v>38</v>
      </c>
      <c r="N771" s="31">
        <v>2714.2</v>
      </c>
    </row>
    <row r="772" ht="29.75" spans="1:14">
      <c r="A772" s="29" t="s">
        <v>2850</v>
      </c>
      <c r="B772" s="30">
        <v>45333</v>
      </c>
      <c r="C772" s="29" t="s">
        <v>2851</v>
      </c>
      <c r="D772" s="29" t="s">
        <v>73</v>
      </c>
      <c r="E772" s="31">
        <v>1</v>
      </c>
      <c r="F772" s="31">
        <v>314.38</v>
      </c>
      <c r="G772" s="29" t="s">
        <v>1723</v>
      </c>
      <c r="H772" s="29" t="s">
        <v>27</v>
      </c>
      <c r="I772" s="29" t="s">
        <v>43</v>
      </c>
      <c r="J772" s="29" t="s">
        <v>2852</v>
      </c>
      <c r="K772" s="31">
        <v>6</v>
      </c>
      <c r="L772" s="29"/>
      <c r="M772" s="29" t="s">
        <v>76</v>
      </c>
      <c r="N772" s="31">
        <v>314.38</v>
      </c>
    </row>
    <row r="773" ht="29.75" spans="1:14">
      <c r="A773" s="29" t="s">
        <v>2853</v>
      </c>
      <c r="B773" s="30">
        <v>45455</v>
      </c>
      <c r="C773" s="29" t="s">
        <v>2854</v>
      </c>
      <c r="D773" s="29" t="s">
        <v>25</v>
      </c>
      <c r="E773" s="31">
        <v>3</v>
      </c>
      <c r="F773" s="31">
        <v>692.44</v>
      </c>
      <c r="G773" s="29" t="s">
        <v>1501</v>
      </c>
      <c r="H773" s="29" t="s">
        <v>18</v>
      </c>
      <c r="I773" s="29" t="s">
        <v>35</v>
      </c>
      <c r="J773" s="29" t="s">
        <v>2855</v>
      </c>
      <c r="K773" s="31">
        <v>8</v>
      </c>
      <c r="L773" s="29" t="s">
        <v>37</v>
      </c>
      <c r="M773" s="29" t="s">
        <v>76</v>
      </c>
      <c r="N773" s="31">
        <v>2077.32</v>
      </c>
    </row>
    <row r="774" ht="29.75" spans="1:14">
      <c r="A774" s="29" t="s">
        <v>2856</v>
      </c>
      <c r="B774" s="30">
        <v>45501</v>
      </c>
      <c r="C774" s="29" t="s">
        <v>2857</v>
      </c>
      <c r="D774" s="29" t="s">
        <v>16</v>
      </c>
      <c r="E774" s="31">
        <v>1</v>
      </c>
      <c r="F774" s="31">
        <v>604.87</v>
      </c>
      <c r="G774" s="29" t="s">
        <v>2858</v>
      </c>
      <c r="H774" s="29" t="s">
        <v>27</v>
      </c>
      <c r="I774" s="29" t="s">
        <v>50</v>
      </c>
      <c r="J774" s="29" t="s">
        <v>2859</v>
      </c>
      <c r="K774" s="31">
        <v>4</v>
      </c>
      <c r="L774" s="29"/>
      <c r="M774" s="29" t="s">
        <v>22</v>
      </c>
      <c r="N774" s="31">
        <v>604.87</v>
      </c>
    </row>
    <row r="775" ht="29.75" spans="1:14">
      <c r="A775" s="29" t="s">
        <v>2860</v>
      </c>
      <c r="B775" s="30">
        <v>45836</v>
      </c>
      <c r="C775" s="29" t="s">
        <v>2861</v>
      </c>
      <c r="D775" s="29" t="s">
        <v>25</v>
      </c>
      <c r="E775" s="31">
        <v>2</v>
      </c>
      <c r="F775" s="31">
        <v>512.33</v>
      </c>
      <c r="G775" s="29" t="s">
        <v>2862</v>
      </c>
      <c r="H775" s="29" t="s">
        <v>65</v>
      </c>
      <c r="I775" s="29" t="s">
        <v>35</v>
      </c>
      <c r="J775" s="29" t="s">
        <v>2863</v>
      </c>
      <c r="K775" s="31">
        <v>7</v>
      </c>
      <c r="L775" s="29"/>
      <c r="M775" s="29" t="s">
        <v>45</v>
      </c>
      <c r="N775" s="31">
        <v>1024.66</v>
      </c>
    </row>
    <row r="776" ht="29.75" spans="1:14">
      <c r="A776" s="29" t="s">
        <v>2864</v>
      </c>
      <c r="B776" s="30">
        <v>45762</v>
      </c>
      <c r="C776" s="29" t="s">
        <v>2865</v>
      </c>
      <c r="D776" s="29" t="s">
        <v>41</v>
      </c>
      <c r="E776" s="31">
        <v>3</v>
      </c>
      <c r="F776" s="31">
        <v>20.54</v>
      </c>
      <c r="G776" s="29" t="s">
        <v>2866</v>
      </c>
      <c r="H776" s="29" t="s">
        <v>34</v>
      </c>
      <c r="I776" s="29" t="s">
        <v>35</v>
      </c>
      <c r="J776" s="29" t="s">
        <v>2867</v>
      </c>
      <c r="K776" s="31">
        <v>3</v>
      </c>
      <c r="L776" s="29" t="s">
        <v>37</v>
      </c>
      <c r="M776" s="29" t="s">
        <v>22</v>
      </c>
      <c r="N776" s="31">
        <v>61.62</v>
      </c>
    </row>
    <row r="777" ht="29.75" spans="1:14">
      <c r="A777" s="29" t="s">
        <v>2868</v>
      </c>
      <c r="B777" s="30">
        <v>44989</v>
      </c>
      <c r="C777" s="29" t="s">
        <v>2869</v>
      </c>
      <c r="D777" s="29" t="s">
        <v>25</v>
      </c>
      <c r="E777" s="31">
        <v>2</v>
      </c>
      <c r="F777" s="31">
        <v>625.22</v>
      </c>
      <c r="G777" s="29" t="s">
        <v>125</v>
      </c>
      <c r="H777" s="29" t="s">
        <v>27</v>
      </c>
      <c r="I777" s="29" t="s">
        <v>35</v>
      </c>
      <c r="J777" s="29" t="s">
        <v>2870</v>
      </c>
      <c r="K777" s="31">
        <v>5</v>
      </c>
      <c r="L777" s="29"/>
      <c r="M777" s="29" t="s">
        <v>76</v>
      </c>
      <c r="N777" s="31">
        <v>1250.44</v>
      </c>
    </row>
    <row r="778" ht="29.75" spans="1:14">
      <c r="A778" s="29" t="s">
        <v>2871</v>
      </c>
      <c r="B778" s="30">
        <v>45159</v>
      </c>
      <c r="C778" s="29" t="s">
        <v>2872</v>
      </c>
      <c r="D778" s="29" t="s">
        <v>32</v>
      </c>
      <c r="E778" s="31">
        <v>1</v>
      </c>
      <c r="F778" s="31">
        <v>21.19</v>
      </c>
      <c r="G778" s="29" t="s">
        <v>2873</v>
      </c>
      <c r="H778" s="29" t="s">
        <v>65</v>
      </c>
      <c r="I778" s="29" t="s">
        <v>43</v>
      </c>
      <c r="J778" s="29" t="s">
        <v>2874</v>
      </c>
      <c r="K778" s="31">
        <v>5</v>
      </c>
      <c r="L778" s="29" t="s">
        <v>81</v>
      </c>
      <c r="M778" s="29" t="s">
        <v>76</v>
      </c>
      <c r="N778" s="31">
        <v>21.19</v>
      </c>
    </row>
    <row r="779" ht="29.75" spans="1:14">
      <c r="A779" s="29" t="s">
        <v>2875</v>
      </c>
      <c r="B779" s="30">
        <v>45737</v>
      </c>
      <c r="C779" s="29" t="s">
        <v>2876</v>
      </c>
      <c r="D779" s="29" t="s">
        <v>41</v>
      </c>
      <c r="E779" s="31">
        <v>5</v>
      </c>
      <c r="F779" s="31">
        <v>64.49</v>
      </c>
      <c r="G779" s="29" t="s">
        <v>129</v>
      </c>
      <c r="H779" s="29" t="s">
        <v>27</v>
      </c>
      <c r="I779" s="29" t="s">
        <v>35</v>
      </c>
      <c r="J779" s="29" t="s">
        <v>2877</v>
      </c>
      <c r="K779" s="31">
        <v>7</v>
      </c>
      <c r="L779" s="29"/>
      <c r="M779" s="29" t="s">
        <v>45</v>
      </c>
      <c r="N779" s="31">
        <v>322.45</v>
      </c>
    </row>
    <row r="780" ht="29.75" spans="1:14">
      <c r="A780" s="29" t="s">
        <v>2878</v>
      </c>
      <c r="B780" s="30">
        <v>45044</v>
      </c>
      <c r="C780" s="29" t="s">
        <v>2879</v>
      </c>
      <c r="D780" s="29" t="s">
        <v>58</v>
      </c>
      <c r="E780" s="31">
        <v>4</v>
      </c>
      <c r="F780" s="31">
        <v>246.85</v>
      </c>
      <c r="G780" s="29" t="s">
        <v>2880</v>
      </c>
      <c r="H780" s="29" t="s">
        <v>34</v>
      </c>
      <c r="I780" s="29" t="s">
        <v>19</v>
      </c>
      <c r="J780" s="29" t="s">
        <v>2881</v>
      </c>
      <c r="K780" s="31">
        <v>8</v>
      </c>
      <c r="L780" s="29" t="s">
        <v>81</v>
      </c>
      <c r="M780" s="29" t="s">
        <v>76</v>
      </c>
      <c r="N780" s="31">
        <v>987.4</v>
      </c>
    </row>
    <row r="781" ht="29.75" spans="1:14">
      <c r="A781" s="29" t="s">
        <v>2882</v>
      </c>
      <c r="B781" s="30">
        <v>45261</v>
      </c>
      <c r="C781" s="29" t="s">
        <v>2883</v>
      </c>
      <c r="D781" s="29" t="s">
        <v>25</v>
      </c>
      <c r="E781" s="31">
        <v>3</v>
      </c>
      <c r="F781" s="31">
        <v>588.74</v>
      </c>
      <c r="G781" s="29" t="s">
        <v>2884</v>
      </c>
      <c r="H781" s="29" t="s">
        <v>18</v>
      </c>
      <c r="I781" s="29" t="s">
        <v>89</v>
      </c>
      <c r="J781" s="29" t="s">
        <v>2885</v>
      </c>
      <c r="K781" s="31">
        <v>8</v>
      </c>
      <c r="L781" s="29" t="s">
        <v>37</v>
      </c>
      <c r="M781" s="29" t="s">
        <v>38</v>
      </c>
      <c r="N781" s="31">
        <v>1766.22</v>
      </c>
    </row>
    <row r="782" ht="29.75" spans="1:14">
      <c r="A782" s="29" t="s">
        <v>2886</v>
      </c>
      <c r="B782" s="30">
        <v>45382</v>
      </c>
      <c r="C782" s="29" t="s">
        <v>2887</v>
      </c>
      <c r="D782" s="29" t="s">
        <v>58</v>
      </c>
      <c r="E782" s="31">
        <v>4</v>
      </c>
      <c r="F782" s="31">
        <v>184.48</v>
      </c>
      <c r="G782" s="29" t="s">
        <v>1712</v>
      </c>
      <c r="H782" s="29" t="s">
        <v>27</v>
      </c>
      <c r="I782" s="29" t="s">
        <v>35</v>
      </c>
      <c r="J782" s="29" t="s">
        <v>2888</v>
      </c>
      <c r="K782" s="31">
        <v>4</v>
      </c>
      <c r="L782" s="29" t="s">
        <v>81</v>
      </c>
      <c r="M782" s="29" t="s">
        <v>76</v>
      </c>
      <c r="N782" s="31">
        <v>737.92</v>
      </c>
    </row>
    <row r="783" ht="29.75" spans="1:14">
      <c r="A783" s="29" t="s">
        <v>2889</v>
      </c>
      <c r="B783" s="30">
        <v>45301</v>
      </c>
      <c r="C783" s="29" t="s">
        <v>2890</v>
      </c>
      <c r="D783" s="29" t="s">
        <v>25</v>
      </c>
      <c r="E783" s="31">
        <v>5</v>
      </c>
      <c r="F783" s="31">
        <v>524.26</v>
      </c>
      <c r="G783" s="29" t="s">
        <v>54</v>
      </c>
      <c r="H783" s="29" t="s">
        <v>60</v>
      </c>
      <c r="I783" s="29" t="s">
        <v>50</v>
      </c>
      <c r="J783" s="29" t="s">
        <v>2891</v>
      </c>
      <c r="K783" s="31">
        <v>5</v>
      </c>
      <c r="L783" s="29" t="s">
        <v>37</v>
      </c>
      <c r="M783" s="29" t="s">
        <v>29</v>
      </c>
      <c r="N783" s="31">
        <v>2621.3</v>
      </c>
    </row>
    <row r="784" ht="29.75" spans="1:14">
      <c r="A784" s="29" t="s">
        <v>2892</v>
      </c>
      <c r="B784" s="30">
        <v>45515</v>
      </c>
      <c r="C784" s="29" t="s">
        <v>2893</v>
      </c>
      <c r="D784" s="29" t="s">
        <v>16</v>
      </c>
      <c r="E784" s="31">
        <v>2</v>
      </c>
      <c r="F784" s="31">
        <v>493.63</v>
      </c>
      <c r="G784" s="29" t="s">
        <v>2153</v>
      </c>
      <c r="H784" s="29" t="s">
        <v>27</v>
      </c>
      <c r="I784" s="29" t="s">
        <v>43</v>
      </c>
      <c r="J784" s="29" t="s">
        <v>2894</v>
      </c>
      <c r="K784" s="31">
        <v>6</v>
      </c>
      <c r="L784" s="29" t="s">
        <v>21</v>
      </c>
      <c r="M784" s="29" t="s">
        <v>29</v>
      </c>
      <c r="N784" s="31">
        <v>987.26</v>
      </c>
    </row>
    <row r="785" ht="29.75" spans="1:14">
      <c r="A785" s="29" t="s">
        <v>2895</v>
      </c>
      <c r="B785" s="30">
        <v>45803</v>
      </c>
      <c r="C785" s="29" t="s">
        <v>2896</v>
      </c>
      <c r="D785" s="29" t="s">
        <v>48</v>
      </c>
      <c r="E785" s="31">
        <v>1</v>
      </c>
      <c r="F785" s="31">
        <v>438.34</v>
      </c>
      <c r="G785" s="29" t="s">
        <v>2661</v>
      </c>
      <c r="H785" s="29" t="s">
        <v>60</v>
      </c>
      <c r="I785" s="29" t="s">
        <v>43</v>
      </c>
      <c r="J785" s="29" t="s">
        <v>2897</v>
      </c>
      <c r="K785" s="31">
        <v>5</v>
      </c>
      <c r="L785" s="29" t="s">
        <v>37</v>
      </c>
      <c r="M785" s="29" t="s">
        <v>45</v>
      </c>
      <c r="N785" s="31">
        <v>438.34</v>
      </c>
    </row>
    <row r="786" ht="29.75" spans="1:14">
      <c r="A786" s="29" t="s">
        <v>2898</v>
      </c>
      <c r="B786" s="30">
        <v>45793</v>
      </c>
      <c r="C786" s="29" t="s">
        <v>2899</v>
      </c>
      <c r="D786" s="29" t="s">
        <v>58</v>
      </c>
      <c r="E786" s="31">
        <v>1</v>
      </c>
      <c r="F786" s="31">
        <v>325.81</v>
      </c>
      <c r="G786" s="29" t="s">
        <v>246</v>
      </c>
      <c r="H786" s="29" t="s">
        <v>34</v>
      </c>
      <c r="I786" s="29" t="s">
        <v>89</v>
      </c>
      <c r="J786" s="29" t="s">
        <v>2900</v>
      </c>
      <c r="K786" s="31">
        <v>1</v>
      </c>
      <c r="L786" s="29" t="s">
        <v>81</v>
      </c>
      <c r="M786" s="29" t="s">
        <v>29</v>
      </c>
      <c r="N786" s="31">
        <v>325.81</v>
      </c>
    </row>
    <row r="787" ht="29.75" spans="1:14">
      <c r="A787" s="29" t="s">
        <v>2901</v>
      </c>
      <c r="B787" s="30">
        <v>45136</v>
      </c>
      <c r="C787" s="29" t="s">
        <v>2902</v>
      </c>
      <c r="D787" s="29" t="s">
        <v>41</v>
      </c>
      <c r="E787" s="31">
        <v>1</v>
      </c>
      <c r="F787" s="31">
        <v>176.1</v>
      </c>
      <c r="G787" s="29" t="s">
        <v>2903</v>
      </c>
      <c r="H787" s="29" t="s">
        <v>34</v>
      </c>
      <c r="I787" s="29" t="s">
        <v>89</v>
      </c>
      <c r="J787" s="29" t="s">
        <v>2904</v>
      </c>
      <c r="K787" s="31">
        <v>1</v>
      </c>
      <c r="L787" s="29" t="s">
        <v>21</v>
      </c>
      <c r="M787" s="29" t="s">
        <v>22</v>
      </c>
      <c r="N787" s="31">
        <v>176.1</v>
      </c>
    </row>
    <row r="788" ht="29.75" spans="1:14">
      <c r="A788" s="29" t="s">
        <v>2905</v>
      </c>
      <c r="B788" s="30">
        <v>45161</v>
      </c>
      <c r="C788" s="29" t="s">
        <v>2906</v>
      </c>
      <c r="D788" s="29" t="s">
        <v>41</v>
      </c>
      <c r="E788" s="31">
        <v>5</v>
      </c>
      <c r="F788" s="31">
        <v>45.31</v>
      </c>
      <c r="G788" s="29" t="s">
        <v>2907</v>
      </c>
      <c r="H788" s="29" t="s">
        <v>27</v>
      </c>
      <c r="I788" s="29" t="s">
        <v>35</v>
      </c>
      <c r="J788" s="29" t="s">
        <v>2908</v>
      </c>
      <c r="K788" s="31">
        <v>8</v>
      </c>
      <c r="L788" s="29"/>
      <c r="M788" s="29" t="s">
        <v>29</v>
      </c>
      <c r="N788" s="31">
        <v>226.55</v>
      </c>
    </row>
    <row r="789" ht="29.75" spans="1:14">
      <c r="A789" s="29" t="s">
        <v>2909</v>
      </c>
      <c r="B789" s="30">
        <v>45368</v>
      </c>
      <c r="C789" s="29" t="s">
        <v>2910</v>
      </c>
      <c r="D789" s="29" t="s">
        <v>73</v>
      </c>
      <c r="E789" s="31">
        <v>4</v>
      </c>
      <c r="F789" s="31">
        <v>221.96</v>
      </c>
      <c r="G789" s="29" t="s">
        <v>2911</v>
      </c>
      <c r="H789" s="29" t="s">
        <v>65</v>
      </c>
      <c r="I789" s="29" t="s">
        <v>50</v>
      </c>
      <c r="J789" s="29" t="s">
        <v>2912</v>
      </c>
      <c r="K789" s="31">
        <v>7</v>
      </c>
      <c r="L789" s="29"/>
      <c r="M789" s="29" t="s">
        <v>76</v>
      </c>
      <c r="N789" s="31">
        <v>887.84</v>
      </c>
    </row>
    <row r="790" ht="29.75" spans="1:14">
      <c r="A790" s="29" t="s">
        <v>2913</v>
      </c>
      <c r="B790" s="30">
        <v>45232</v>
      </c>
      <c r="C790" s="29" t="s">
        <v>2914</v>
      </c>
      <c r="D790" s="29" t="s">
        <v>41</v>
      </c>
      <c r="E790" s="31">
        <v>2</v>
      </c>
      <c r="F790" s="31">
        <v>601.43</v>
      </c>
      <c r="G790" s="29" t="s">
        <v>2915</v>
      </c>
      <c r="H790" s="29" t="s">
        <v>27</v>
      </c>
      <c r="I790" s="29" t="s">
        <v>89</v>
      </c>
      <c r="J790" s="29" t="s">
        <v>2916</v>
      </c>
      <c r="K790" s="31">
        <v>5</v>
      </c>
      <c r="L790" s="29" t="s">
        <v>37</v>
      </c>
      <c r="M790" s="29" t="s">
        <v>22</v>
      </c>
      <c r="N790" s="31">
        <v>1202.86</v>
      </c>
    </row>
    <row r="791" ht="29.75" spans="1:14">
      <c r="A791" s="29" t="s">
        <v>2917</v>
      </c>
      <c r="B791" s="30">
        <v>45155</v>
      </c>
      <c r="C791" s="29" t="s">
        <v>2918</v>
      </c>
      <c r="D791" s="29" t="s">
        <v>32</v>
      </c>
      <c r="E791" s="31">
        <v>5</v>
      </c>
      <c r="F791" s="31">
        <v>691.28</v>
      </c>
      <c r="G791" s="29" t="s">
        <v>2919</v>
      </c>
      <c r="H791" s="29" t="s">
        <v>27</v>
      </c>
      <c r="I791" s="29" t="s">
        <v>50</v>
      </c>
      <c r="J791" s="29" t="s">
        <v>2920</v>
      </c>
      <c r="K791" s="31">
        <v>10</v>
      </c>
      <c r="L791" s="29" t="s">
        <v>21</v>
      </c>
      <c r="M791" s="29" t="s">
        <v>38</v>
      </c>
      <c r="N791" s="31">
        <v>3456.4</v>
      </c>
    </row>
    <row r="792" ht="29.75" spans="1:14">
      <c r="A792" s="29" t="s">
        <v>2921</v>
      </c>
      <c r="B792" s="30">
        <v>45549</v>
      </c>
      <c r="C792" s="29" t="s">
        <v>2922</v>
      </c>
      <c r="D792" s="29" t="s">
        <v>58</v>
      </c>
      <c r="E792" s="31">
        <v>4</v>
      </c>
      <c r="F792" s="31">
        <v>417.89</v>
      </c>
      <c r="G792" s="29" t="s">
        <v>2923</v>
      </c>
      <c r="H792" s="29" t="s">
        <v>60</v>
      </c>
      <c r="I792" s="29" t="s">
        <v>89</v>
      </c>
      <c r="J792" s="29" t="s">
        <v>2924</v>
      </c>
      <c r="K792" s="31">
        <v>4</v>
      </c>
      <c r="L792" s="29"/>
      <c r="M792" s="29" t="s">
        <v>76</v>
      </c>
      <c r="N792" s="31">
        <v>1671.56</v>
      </c>
    </row>
    <row r="793" ht="29.75" spans="1:14">
      <c r="A793" s="29" t="s">
        <v>2925</v>
      </c>
      <c r="B793" s="30">
        <v>45304</v>
      </c>
      <c r="C793" s="29" t="s">
        <v>2926</v>
      </c>
      <c r="D793" s="29" t="s">
        <v>41</v>
      </c>
      <c r="E793" s="31">
        <v>4</v>
      </c>
      <c r="F793" s="31">
        <v>409.28</v>
      </c>
      <c r="G793" s="29" t="s">
        <v>137</v>
      </c>
      <c r="H793" s="29" t="s">
        <v>65</v>
      </c>
      <c r="I793" s="29" t="s">
        <v>89</v>
      </c>
      <c r="J793" s="29" t="s">
        <v>2927</v>
      </c>
      <c r="K793" s="31">
        <v>8</v>
      </c>
      <c r="L793" s="29"/>
      <c r="M793" s="29" t="s">
        <v>38</v>
      </c>
      <c r="N793" s="31">
        <v>1637.12</v>
      </c>
    </row>
    <row r="794" ht="29.75" spans="1:14">
      <c r="A794" s="29" t="s">
        <v>2928</v>
      </c>
      <c r="B794" s="30">
        <v>45093</v>
      </c>
      <c r="C794" s="29" t="s">
        <v>2929</v>
      </c>
      <c r="D794" s="29" t="s">
        <v>73</v>
      </c>
      <c r="E794" s="31">
        <v>2</v>
      </c>
      <c r="F794" s="31">
        <v>356.35</v>
      </c>
      <c r="G794" s="29" t="s">
        <v>2930</v>
      </c>
      <c r="H794" s="29" t="s">
        <v>18</v>
      </c>
      <c r="I794" s="29" t="s">
        <v>43</v>
      </c>
      <c r="J794" s="29" t="s">
        <v>2931</v>
      </c>
      <c r="K794" s="31">
        <v>6</v>
      </c>
      <c r="L794" s="29" t="s">
        <v>81</v>
      </c>
      <c r="M794" s="29" t="s">
        <v>45</v>
      </c>
      <c r="N794" s="31">
        <v>712.7</v>
      </c>
    </row>
    <row r="795" ht="29.75" spans="1:14">
      <c r="A795" s="29" t="s">
        <v>2932</v>
      </c>
      <c r="B795" s="30">
        <v>45397</v>
      </c>
      <c r="C795" s="29" t="s">
        <v>2933</v>
      </c>
      <c r="D795" s="29" t="s">
        <v>41</v>
      </c>
      <c r="E795" s="31">
        <v>5</v>
      </c>
      <c r="F795" s="31">
        <v>170.22</v>
      </c>
      <c r="G795" s="29" t="s">
        <v>1639</v>
      </c>
      <c r="H795" s="29" t="s">
        <v>18</v>
      </c>
      <c r="I795" s="29" t="s">
        <v>50</v>
      </c>
      <c r="J795" s="29" t="s">
        <v>2934</v>
      </c>
      <c r="K795" s="31">
        <v>8</v>
      </c>
      <c r="L795" s="29"/>
      <c r="M795" s="29" t="s">
        <v>29</v>
      </c>
      <c r="N795" s="31">
        <v>851.1</v>
      </c>
    </row>
    <row r="796" ht="29.75" spans="1:14">
      <c r="A796" s="29" t="s">
        <v>2935</v>
      </c>
      <c r="B796" s="30">
        <v>44994</v>
      </c>
      <c r="C796" s="29" t="s">
        <v>2936</v>
      </c>
      <c r="D796" s="29" t="s">
        <v>48</v>
      </c>
      <c r="E796" s="31">
        <v>4</v>
      </c>
      <c r="F796" s="31">
        <v>384.85</v>
      </c>
      <c r="G796" s="29" t="s">
        <v>2937</v>
      </c>
      <c r="H796" s="29" t="s">
        <v>27</v>
      </c>
      <c r="I796" s="29" t="s">
        <v>50</v>
      </c>
      <c r="J796" s="29" t="s">
        <v>2938</v>
      </c>
      <c r="K796" s="31">
        <v>9</v>
      </c>
      <c r="L796" s="29" t="s">
        <v>37</v>
      </c>
      <c r="M796" s="29" t="s">
        <v>22</v>
      </c>
      <c r="N796" s="31">
        <v>1539.4</v>
      </c>
    </row>
    <row r="797" ht="29.75" spans="1:14">
      <c r="A797" s="29" t="s">
        <v>2939</v>
      </c>
      <c r="B797" s="30">
        <v>45616</v>
      </c>
      <c r="C797" s="29" t="s">
        <v>2940</v>
      </c>
      <c r="D797" s="29" t="s">
        <v>58</v>
      </c>
      <c r="E797" s="31">
        <v>4</v>
      </c>
      <c r="F797" s="31">
        <v>115.77</v>
      </c>
      <c r="G797" s="29" t="s">
        <v>2941</v>
      </c>
      <c r="H797" s="29" t="s">
        <v>27</v>
      </c>
      <c r="I797" s="29" t="s">
        <v>89</v>
      </c>
      <c r="J797" s="29" t="s">
        <v>2942</v>
      </c>
      <c r="K797" s="31">
        <v>7</v>
      </c>
      <c r="L797" s="29" t="s">
        <v>21</v>
      </c>
      <c r="M797" s="29" t="s">
        <v>22</v>
      </c>
      <c r="N797" s="31">
        <v>463.08</v>
      </c>
    </row>
    <row r="798" ht="29.75" spans="1:14">
      <c r="A798" s="29" t="s">
        <v>2943</v>
      </c>
      <c r="B798" s="30">
        <v>45776</v>
      </c>
      <c r="C798" s="29" t="s">
        <v>2944</v>
      </c>
      <c r="D798" s="29" t="s">
        <v>25</v>
      </c>
      <c r="E798" s="31">
        <v>3</v>
      </c>
      <c r="F798" s="31">
        <v>579.55</v>
      </c>
      <c r="G798" s="29" t="s">
        <v>884</v>
      </c>
      <c r="H798" s="29" t="s">
        <v>60</v>
      </c>
      <c r="I798" s="29" t="s">
        <v>43</v>
      </c>
      <c r="J798" s="29" t="s">
        <v>2945</v>
      </c>
      <c r="K798" s="31">
        <v>8</v>
      </c>
      <c r="L798" s="29" t="s">
        <v>81</v>
      </c>
      <c r="M798" s="29" t="s">
        <v>45</v>
      </c>
      <c r="N798" s="31">
        <v>1738.65</v>
      </c>
    </row>
    <row r="799" ht="29.75" spans="1:14">
      <c r="A799" s="29" t="s">
        <v>2946</v>
      </c>
      <c r="B799" s="30">
        <v>44984</v>
      </c>
      <c r="C799" s="29" t="s">
        <v>2947</v>
      </c>
      <c r="D799" s="29" t="s">
        <v>58</v>
      </c>
      <c r="E799" s="31">
        <v>2</v>
      </c>
      <c r="F799" s="31">
        <v>438.76</v>
      </c>
      <c r="G799" s="29" t="s">
        <v>2948</v>
      </c>
      <c r="H799" s="29" t="s">
        <v>18</v>
      </c>
      <c r="I799" s="29" t="s">
        <v>43</v>
      </c>
      <c r="J799" s="29" t="s">
        <v>2949</v>
      </c>
      <c r="K799" s="31">
        <v>2</v>
      </c>
      <c r="L799" s="29"/>
      <c r="M799" s="29" t="s">
        <v>45</v>
      </c>
      <c r="N799" s="31">
        <v>877.52</v>
      </c>
    </row>
    <row r="800" ht="29.75" spans="1:14">
      <c r="A800" s="29" t="s">
        <v>2950</v>
      </c>
      <c r="B800" s="30">
        <v>45796</v>
      </c>
      <c r="C800" s="29" t="s">
        <v>2951</v>
      </c>
      <c r="D800" s="29" t="s">
        <v>25</v>
      </c>
      <c r="E800" s="31">
        <v>5</v>
      </c>
      <c r="F800" s="31">
        <v>488.35</v>
      </c>
      <c r="G800" s="29" t="s">
        <v>1233</v>
      </c>
      <c r="H800" s="29" t="s">
        <v>18</v>
      </c>
      <c r="I800" s="29" t="s">
        <v>43</v>
      </c>
      <c r="J800" s="29" t="s">
        <v>2952</v>
      </c>
      <c r="K800" s="31">
        <v>9</v>
      </c>
      <c r="L800" s="29" t="s">
        <v>37</v>
      </c>
      <c r="M800" s="29" t="s">
        <v>38</v>
      </c>
      <c r="N800" s="31">
        <v>2441.75</v>
      </c>
    </row>
    <row r="801" ht="29.75" spans="1:14">
      <c r="A801" s="29" t="s">
        <v>2953</v>
      </c>
      <c r="B801" s="30">
        <v>45032</v>
      </c>
      <c r="C801" s="29" t="s">
        <v>2954</v>
      </c>
      <c r="D801" s="29" t="s">
        <v>58</v>
      </c>
      <c r="E801" s="31">
        <v>4</v>
      </c>
      <c r="F801" s="31">
        <v>328.56</v>
      </c>
      <c r="G801" s="29" t="s">
        <v>1070</v>
      </c>
      <c r="H801" s="29" t="s">
        <v>18</v>
      </c>
      <c r="I801" s="29" t="s">
        <v>43</v>
      </c>
      <c r="J801" s="29" t="s">
        <v>2955</v>
      </c>
      <c r="K801" s="31">
        <v>4</v>
      </c>
      <c r="L801" s="29" t="s">
        <v>37</v>
      </c>
      <c r="M801" s="29" t="s">
        <v>38</v>
      </c>
      <c r="N801" s="31">
        <v>1314.24</v>
      </c>
    </row>
    <row r="802" ht="29.75" spans="1:14">
      <c r="A802" s="29" t="s">
        <v>2956</v>
      </c>
      <c r="B802" s="30">
        <v>45744</v>
      </c>
      <c r="C802" s="29" t="s">
        <v>2957</v>
      </c>
      <c r="D802" s="29" t="s">
        <v>32</v>
      </c>
      <c r="E802" s="31">
        <v>1</v>
      </c>
      <c r="F802" s="31">
        <v>68.39</v>
      </c>
      <c r="G802" s="29" t="s">
        <v>2958</v>
      </c>
      <c r="H802" s="29" t="s">
        <v>27</v>
      </c>
      <c r="I802" s="29" t="s">
        <v>43</v>
      </c>
      <c r="J802" s="29" t="s">
        <v>2959</v>
      </c>
      <c r="K802" s="31">
        <v>3</v>
      </c>
      <c r="L802" s="29" t="s">
        <v>81</v>
      </c>
      <c r="M802" s="29" t="s">
        <v>45</v>
      </c>
      <c r="N802" s="31">
        <v>68.39</v>
      </c>
    </row>
    <row r="803" ht="29.75" spans="1:14">
      <c r="A803" s="29" t="s">
        <v>2960</v>
      </c>
      <c r="B803" s="30">
        <v>45049</v>
      </c>
      <c r="C803" s="29" t="s">
        <v>148</v>
      </c>
      <c r="D803" s="29" t="s">
        <v>48</v>
      </c>
      <c r="E803" s="31">
        <v>4</v>
      </c>
      <c r="F803" s="31">
        <v>595.62</v>
      </c>
      <c r="G803" s="29" t="s">
        <v>2961</v>
      </c>
      <c r="H803" s="29" t="s">
        <v>18</v>
      </c>
      <c r="I803" s="29" t="s">
        <v>89</v>
      </c>
      <c r="J803" s="29" t="s">
        <v>2962</v>
      </c>
      <c r="K803" s="31">
        <v>8</v>
      </c>
      <c r="L803" s="29" t="s">
        <v>37</v>
      </c>
      <c r="M803" s="29" t="s">
        <v>45</v>
      </c>
      <c r="N803" s="31">
        <v>2382.48</v>
      </c>
    </row>
    <row r="804" ht="29.75" spans="1:14">
      <c r="A804" s="29" t="s">
        <v>2963</v>
      </c>
      <c r="B804" s="30">
        <v>45339</v>
      </c>
      <c r="C804" s="29" t="s">
        <v>2964</v>
      </c>
      <c r="D804" s="29" t="s">
        <v>41</v>
      </c>
      <c r="E804" s="31">
        <v>5</v>
      </c>
      <c r="F804" s="31">
        <v>644.64</v>
      </c>
      <c r="G804" s="29" t="s">
        <v>2965</v>
      </c>
      <c r="H804" s="29" t="s">
        <v>60</v>
      </c>
      <c r="I804" s="29" t="s">
        <v>35</v>
      </c>
      <c r="J804" s="29" t="s">
        <v>2966</v>
      </c>
      <c r="K804" s="31">
        <v>6</v>
      </c>
      <c r="L804" s="29" t="s">
        <v>37</v>
      </c>
      <c r="M804" s="29" t="s">
        <v>38</v>
      </c>
      <c r="N804" s="31">
        <v>3223.2</v>
      </c>
    </row>
    <row r="805" ht="29.75" spans="1:14">
      <c r="A805" s="29" t="s">
        <v>2967</v>
      </c>
      <c r="B805" s="30">
        <v>45158</v>
      </c>
      <c r="C805" s="29" t="s">
        <v>2968</v>
      </c>
      <c r="D805" s="29" t="s">
        <v>16</v>
      </c>
      <c r="E805" s="31">
        <v>5</v>
      </c>
      <c r="F805" s="31">
        <v>397.81</v>
      </c>
      <c r="G805" s="29" t="s">
        <v>223</v>
      </c>
      <c r="H805" s="29" t="s">
        <v>18</v>
      </c>
      <c r="I805" s="29" t="s">
        <v>43</v>
      </c>
      <c r="J805" s="29" t="s">
        <v>2969</v>
      </c>
      <c r="K805" s="31">
        <v>5</v>
      </c>
      <c r="L805" s="29" t="s">
        <v>21</v>
      </c>
      <c r="M805" s="29" t="s">
        <v>29</v>
      </c>
      <c r="N805" s="31">
        <v>1989.05</v>
      </c>
    </row>
    <row r="806" ht="29.75" spans="1:14">
      <c r="A806" s="29" t="s">
        <v>2970</v>
      </c>
      <c r="B806" s="30">
        <v>45292</v>
      </c>
      <c r="C806" s="29" t="s">
        <v>2971</v>
      </c>
      <c r="D806" s="29" t="s">
        <v>41</v>
      </c>
      <c r="E806" s="31">
        <v>3</v>
      </c>
      <c r="F806" s="31">
        <v>236.5</v>
      </c>
      <c r="G806" s="29" t="s">
        <v>2972</v>
      </c>
      <c r="H806" s="29" t="s">
        <v>27</v>
      </c>
      <c r="I806" s="29" t="s">
        <v>50</v>
      </c>
      <c r="J806" s="29" t="s">
        <v>2973</v>
      </c>
      <c r="K806" s="31">
        <v>8</v>
      </c>
      <c r="L806" s="29" t="s">
        <v>37</v>
      </c>
      <c r="M806" s="29" t="s">
        <v>38</v>
      </c>
      <c r="N806" s="31">
        <v>709.5</v>
      </c>
    </row>
    <row r="807" ht="29.75" spans="1:14">
      <c r="A807" s="29" t="s">
        <v>2974</v>
      </c>
      <c r="B807" s="30">
        <v>45580</v>
      </c>
      <c r="C807" s="29" t="s">
        <v>2975</v>
      </c>
      <c r="D807" s="29" t="s">
        <v>58</v>
      </c>
      <c r="E807" s="31">
        <v>5</v>
      </c>
      <c r="F807" s="31">
        <v>472.01</v>
      </c>
      <c r="G807" s="29" t="s">
        <v>2976</v>
      </c>
      <c r="H807" s="29" t="s">
        <v>60</v>
      </c>
      <c r="I807" s="29" t="s">
        <v>35</v>
      </c>
      <c r="J807" s="29" t="s">
        <v>2977</v>
      </c>
      <c r="K807" s="31">
        <v>10</v>
      </c>
      <c r="L807" s="29" t="s">
        <v>21</v>
      </c>
      <c r="M807" s="29" t="s">
        <v>38</v>
      </c>
      <c r="N807" s="31">
        <v>2360.05</v>
      </c>
    </row>
    <row r="808" ht="29.75" spans="1:14">
      <c r="A808" s="29" t="s">
        <v>2978</v>
      </c>
      <c r="B808" s="30">
        <v>45170</v>
      </c>
      <c r="C808" s="29" t="s">
        <v>2979</v>
      </c>
      <c r="D808" s="29" t="s">
        <v>41</v>
      </c>
      <c r="E808" s="31">
        <v>5</v>
      </c>
      <c r="F808" s="31">
        <v>253.75</v>
      </c>
      <c r="G808" s="29" t="s">
        <v>1121</v>
      </c>
      <c r="H808" s="29" t="s">
        <v>27</v>
      </c>
      <c r="I808" s="29" t="s">
        <v>89</v>
      </c>
      <c r="J808" s="29" t="s">
        <v>2980</v>
      </c>
      <c r="K808" s="31">
        <v>9</v>
      </c>
      <c r="L808" s="29" t="s">
        <v>81</v>
      </c>
      <c r="M808" s="29" t="s">
        <v>22</v>
      </c>
      <c r="N808" s="31">
        <v>1268.75</v>
      </c>
    </row>
    <row r="809" ht="29.75" spans="1:14">
      <c r="A809" s="29" t="s">
        <v>2981</v>
      </c>
      <c r="B809" s="30">
        <v>45606</v>
      </c>
      <c r="C809" s="29" t="s">
        <v>2982</v>
      </c>
      <c r="D809" s="29" t="s">
        <v>16</v>
      </c>
      <c r="E809" s="31">
        <v>3</v>
      </c>
      <c r="F809" s="31">
        <v>676.21</v>
      </c>
      <c r="G809" s="29" t="s">
        <v>2983</v>
      </c>
      <c r="H809" s="29" t="s">
        <v>27</v>
      </c>
      <c r="I809" s="29" t="s">
        <v>50</v>
      </c>
      <c r="J809" s="29" t="s">
        <v>2984</v>
      </c>
      <c r="K809" s="31">
        <v>5</v>
      </c>
      <c r="L809" s="29" t="s">
        <v>21</v>
      </c>
      <c r="M809" s="29" t="s">
        <v>76</v>
      </c>
      <c r="N809" s="31">
        <v>2028.63</v>
      </c>
    </row>
    <row r="810" ht="29.75" spans="1:14">
      <c r="A810" s="29" t="s">
        <v>2985</v>
      </c>
      <c r="B810" s="30">
        <v>45335</v>
      </c>
      <c r="C810" s="29" t="s">
        <v>2986</v>
      </c>
      <c r="D810" s="29" t="s">
        <v>73</v>
      </c>
      <c r="E810" s="31">
        <v>3</v>
      </c>
      <c r="F810" s="31">
        <v>134.05</v>
      </c>
      <c r="G810" s="29" t="s">
        <v>2987</v>
      </c>
      <c r="H810" s="29" t="s">
        <v>34</v>
      </c>
      <c r="I810" s="29" t="s">
        <v>19</v>
      </c>
      <c r="J810" s="29" t="s">
        <v>2988</v>
      </c>
      <c r="K810" s="31">
        <v>3</v>
      </c>
      <c r="L810" s="29"/>
      <c r="M810" s="29" t="s">
        <v>76</v>
      </c>
      <c r="N810" s="31">
        <v>402.15</v>
      </c>
    </row>
    <row r="811" ht="29.75" spans="1:14">
      <c r="A811" s="29" t="s">
        <v>2989</v>
      </c>
      <c r="B811" s="30">
        <v>45391</v>
      </c>
      <c r="C811" s="29" t="s">
        <v>2990</v>
      </c>
      <c r="D811" s="29" t="s">
        <v>73</v>
      </c>
      <c r="E811" s="31">
        <v>5</v>
      </c>
      <c r="F811" s="31">
        <v>217.43</v>
      </c>
      <c r="G811" s="29" t="s">
        <v>293</v>
      </c>
      <c r="H811" s="29" t="s">
        <v>18</v>
      </c>
      <c r="I811" s="29" t="s">
        <v>19</v>
      </c>
      <c r="J811" s="29" t="s">
        <v>2991</v>
      </c>
      <c r="K811" s="31">
        <v>10</v>
      </c>
      <c r="L811" s="29" t="s">
        <v>21</v>
      </c>
      <c r="M811" s="29" t="s">
        <v>22</v>
      </c>
      <c r="N811" s="31">
        <v>1087.15</v>
      </c>
    </row>
    <row r="812" ht="29.75" spans="1:14">
      <c r="A812" s="29" t="s">
        <v>2992</v>
      </c>
      <c r="B812" s="30">
        <v>45077</v>
      </c>
      <c r="C812" s="29" t="s">
        <v>2993</v>
      </c>
      <c r="D812" s="29" t="s">
        <v>32</v>
      </c>
      <c r="E812" s="31">
        <v>1</v>
      </c>
      <c r="F812" s="31">
        <v>553.56</v>
      </c>
      <c r="G812" s="29" t="s">
        <v>2994</v>
      </c>
      <c r="H812" s="29" t="s">
        <v>34</v>
      </c>
      <c r="I812" s="29" t="s">
        <v>35</v>
      </c>
      <c r="J812" s="29" t="s">
        <v>2995</v>
      </c>
      <c r="K812" s="31">
        <v>5</v>
      </c>
      <c r="L812" s="29"/>
      <c r="M812" s="29" t="s">
        <v>29</v>
      </c>
      <c r="N812" s="31">
        <v>553.56</v>
      </c>
    </row>
    <row r="813" ht="29.75" spans="1:14">
      <c r="A813" s="29" t="s">
        <v>2996</v>
      </c>
      <c r="B813" s="30">
        <v>45235</v>
      </c>
      <c r="C813" s="29" t="s">
        <v>2997</v>
      </c>
      <c r="D813" s="29" t="s">
        <v>58</v>
      </c>
      <c r="E813" s="31">
        <v>2</v>
      </c>
      <c r="F813" s="31">
        <v>28.55</v>
      </c>
      <c r="G813" s="29" t="s">
        <v>2794</v>
      </c>
      <c r="H813" s="29" t="s">
        <v>60</v>
      </c>
      <c r="I813" s="29" t="s">
        <v>19</v>
      </c>
      <c r="J813" s="29" t="s">
        <v>2998</v>
      </c>
      <c r="K813" s="31">
        <v>7</v>
      </c>
      <c r="L813" s="29" t="s">
        <v>21</v>
      </c>
      <c r="M813" s="29" t="s">
        <v>38</v>
      </c>
      <c r="N813" s="31">
        <v>57.1</v>
      </c>
    </row>
    <row r="814" ht="29.75" spans="1:14">
      <c r="A814" s="29" t="s">
        <v>2999</v>
      </c>
      <c r="B814" s="30">
        <v>45317</v>
      </c>
      <c r="C814" s="29" t="s">
        <v>3000</v>
      </c>
      <c r="D814" s="29" t="s">
        <v>25</v>
      </c>
      <c r="E814" s="31">
        <v>2</v>
      </c>
      <c r="F814" s="31">
        <v>255.26</v>
      </c>
      <c r="G814" s="29" t="s">
        <v>1070</v>
      </c>
      <c r="H814" s="29" t="s">
        <v>34</v>
      </c>
      <c r="I814" s="29" t="s">
        <v>35</v>
      </c>
      <c r="J814" s="29" t="s">
        <v>3001</v>
      </c>
      <c r="K814" s="31">
        <v>6</v>
      </c>
      <c r="L814" s="29" t="s">
        <v>37</v>
      </c>
      <c r="M814" s="29" t="s">
        <v>76</v>
      </c>
      <c r="N814" s="31">
        <v>510.52</v>
      </c>
    </row>
    <row r="815" ht="29.75" spans="1:14">
      <c r="A815" s="29" t="s">
        <v>3002</v>
      </c>
      <c r="B815" s="30">
        <v>45731</v>
      </c>
      <c r="C815" s="29" t="s">
        <v>3003</v>
      </c>
      <c r="D815" s="29" t="s">
        <v>58</v>
      </c>
      <c r="E815" s="31">
        <v>5</v>
      </c>
      <c r="F815" s="31">
        <v>292.54</v>
      </c>
      <c r="G815" s="29" t="s">
        <v>1117</v>
      </c>
      <c r="H815" s="29" t="s">
        <v>18</v>
      </c>
      <c r="I815" s="29" t="s">
        <v>35</v>
      </c>
      <c r="J815" s="29" t="s">
        <v>3004</v>
      </c>
      <c r="K815" s="31">
        <v>8</v>
      </c>
      <c r="L815" s="29" t="s">
        <v>37</v>
      </c>
      <c r="M815" s="29" t="s">
        <v>38</v>
      </c>
      <c r="N815" s="31">
        <v>1462.7</v>
      </c>
    </row>
    <row r="816" ht="29.75" spans="1:14">
      <c r="A816" s="29" t="s">
        <v>3005</v>
      </c>
      <c r="B816" s="30">
        <v>45637</v>
      </c>
      <c r="C816" s="29" t="s">
        <v>3006</v>
      </c>
      <c r="D816" s="29" t="s">
        <v>41</v>
      </c>
      <c r="E816" s="31">
        <v>4</v>
      </c>
      <c r="F816" s="31">
        <v>147.51</v>
      </c>
      <c r="G816" s="29" t="s">
        <v>3007</v>
      </c>
      <c r="H816" s="29" t="s">
        <v>18</v>
      </c>
      <c r="I816" s="29" t="s">
        <v>89</v>
      </c>
      <c r="J816" s="29" t="s">
        <v>3008</v>
      </c>
      <c r="K816" s="31">
        <v>4</v>
      </c>
      <c r="L816" s="29" t="s">
        <v>81</v>
      </c>
      <c r="M816" s="29" t="s">
        <v>22</v>
      </c>
      <c r="N816" s="31">
        <v>590.04</v>
      </c>
    </row>
    <row r="817" ht="29.75" spans="1:14">
      <c r="A817" s="29" t="s">
        <v>3009</v>
      </c>
      <c r="B817" s="30">
        <v>45508</v>
      </c>
      <c r="C817" s="29" t="s">
        <v>3010</v>
      </c>
      <c r="D817" s="29" t="s">
        <v>48</v>
      </c>
      <c r="E817" s="31">
        <v>3</v>
      </c>
      <c r="F817" s="31">
        <v>569.84</v>
      </c>
      <c r="G817" s="29" t="s">
        <v>3011</v>
      </c>
      <c r="H817" s="29" t="s">
        <v>60</v>
      </c>
      <c r="I817" s="29" t="s">
        <v>35</v>
      </c>
      <c r="J817" s="29" t="s">
        <v>3012</v>
      </c>
      <c r="K817" s="31">
        <v>8</v>
      </c>
      <c r="L817" s="29" t="s">
        <v>81</v>
      </c>
      <c r="M817" s="29" t="s">
        <v>22</v>
      </c>
      <c r="N817" s="31">
        <v>1709.52</v>
      </c>
    </row>
    <row r="818" ht="29.75" spans="1:14">
      <c r="A818" s="29" t="s">
        <v>3013</v>
      </c>
      <c r="B818" s="30">
        <v>45343</v>
      </c>
      <c r="C818" s="29" t="s">
        <v>3014</v>
      </c>
      <c r="D818" s="29" t="s">
        <v>32</v>
      </c>
      <c r="E818" s="31">
        <v>5</v>
      </c>
      <c r="F818" s="31">
        <v>574.79</v>
      </c>
      <c r="G818" s="29" t="s">
        <v>892</v>
      </c>
      <c r="H818" s="29" t="s">
        <v>34</v>
      </c>
      <c r="I818" s="29" t="s">
        <v>89</v>
      </c>
      <c r="J818" s="29" t="s">
        <v>3015</v>
      </c>
      <c r="K818" s="31">
        <v>8</v>
      </c>
      <c r="L818" s="29" t="s">
        <v>81</v>
      </c>
      <c r="M818" s="29" t="s">
        <v>29</v>
      </c>
      <c r="N818" s="31">
        <v>2873.95</v>
      </c>
    </row>
    <row r="819" ht="29.75" spans="1:14">
      <c r="A819" s="29" t="s">
        <v>3016</v>
      </c>
      <c r="B819" s="30">
        <v>45204</v>
      </c>
      <c r="C819" s="29" t="s">
        <v>3017</v>
      </c>
      <c r="D819" s="29" t="s">
        <v>41</v>
      </c>
      <c r="E819" s="31">
        <v>4</v>
      </c>
      <c r="F819" s="31">
        <v>598.19</v>
      </c>
      <c r="G819" s="29" t="s">
        <v>3018</v>
      </c>
      <c r="H819" s="29" t="s">
        <v>34</v>
      </c>
      <c r="I819" s="29" t="s">
        <v>50</v>
      </c>
      <c r="J819" s="29" t="s">
        <v>3019</v>
      </c>
      <c r="K819" s="31">
        <v>7</v>
      </c>
      <c r="L819" s="29" t="s">
        <v>81</v>
      </c>
      <c r="M819" s="29" t="s">
        <v>38</v>
      </c>
      <c r="N819" s="31">
        <v>2392.76</v>
      </c>
    </row>
    <row r="820" ht="29.75" spans="1:14">
      <c r="A820" s="29" t="s">
        <v>3020</v>
      </c>
      <c r="B820" s="30">
        <v>44987</v>
      </c>
      <c r="C820" s="29" t="s">
        <v>3021</v>
      </c>
      <c r="D820" s="29" t="s">
        <v>25</v>
      </c>
      <c r="E820" s="31">
        <v>4</v>
      </c>
      <c r="F820" s="31">
        <v>390.84</v>
      </c>
      <c r="G820" s="29" t="s">
        <v>2519</v>
      </c>
      <c r="H820" s="29" t="s">
        <v>34</v>
      </c>
      <c r="I820" s="29" t="s">
        <v>35</v>
      </c>
      <c r="J820" s="29" t="s">
        <v>3022</v>
      </c>
      <c r="K820" s="31">
        <v>9</v>
      </c>
      <c r="L820" s="29" t="s">
        <v>81</v>
      </c>
      <c r="M820" s="29" t="s">
        <v>29</v>
      </c>
      <c r="N820" s="31">
        <v>1563.36</v>
      </c>
    </row>
    <row r="821" ht="29.75" spans="1:14">
      <c r="A821" s="29" t="s">
        <v>3023</v>
      </c>
      <c r="B821" s="30">
        <v>45563</v>
      </c>
      <c r="C821" s="29" t="s">
        <v>3024</v>
      </c>
      <c r="D821" s="29" t="s">
        <v>25</v>
      </c>
      <c r="E821" s="31">
        <v>2</v>
      </c>
      <c r="F821" s="31">
        <v>398.45</v>
      </c>
      <c r="G821" s="29" t="s">
        <v>3025</v>
      </c>
      <c r="H821" s="29" t="s">
        <v>18</v>
      </c>
      <c r="I821" s="29" t="s">
        <v>35</v>
      </c>
      <c r="J821" s="29" t="s">
        <v>3026</v>
      </c>
      <c r="K821" s="31">
        <v>7</v>
      </c>
      <c r="L821" s="29" t="s">
        <v>21</v>
      </c>
      <c r="M821" s="29" t="s">
        <v>76</v>
      </c>
      <c r="N821" s="31">
        <v>796.9</v>
      </c>
    </row>
    <row r="822" ht="29.75" spans="1:14">
      <c r="A822" s="29" t="s">
        <v>3027</v>
      </c>
      <c r="B822" s="30">
        <v>45073</v>
      </c>
      <c r="C822" s="29" t="s">
        <v>3028</v>
      </c>
      <c r="D822" s="29" t="s">
        <v>25</v>
      </c>
      <c r="E822" s="31">
        <v>5</v>
      </c>
      <c r="F822" s="31">
        <v>623.81</v>
      </c>
      <c r="G822" s="29" t="s">
        <v>1396</v>
      </c>
      <c r="H822" s="29" t="s">
        <v>65</v>
      </c>
      <c r="I822" s="29" t="s">
        <v>43</v>
      </c>
      <c r="J822" s="29" t="s">
        <v>3029</v>
      </c>
      <c r="K822" s="31">
        <v>6</v>
      </c>
      <c r="L822" s="29" t="s">
        <v>37</v>
      </c>
      <c r="M822" s="29" t="s">
        <v>38</v>
      </c>
      <c r="N822" s="31">
        <v>3119.05</v>
      </c>
    </row>
    <row r="823" ht="29.75" spans="1:14">
      <c r="A823" s="29" t="s">
        <v>3030</v>
      </c>
      <c r="B823" s="30">
        <v>45640</v>
      </c>
      <c r="C823" s="29" t="s">
        <v>3031</v>
      </c>
      <c r="D823" s="29" t="s">
        <v>58</v>
      </c>
      <c r="E823" s="31">
        <v>4</v>
      </c>
      <c r="F823" s="31">
        <v>174.49</v>
      </c>
      <c r="G823" s="29" t="s">
        <v>1364</v>
      </c>
      <c r="H823" s="29" t="s">
        <v>34</v>
      </c>
      <c r="I823" s="29" t="s">
        <v>50</v>
      </c>
      <c r="J823" s="29" t="s">
        <v>3032</v>
      </c>
      <c r="K823" s="31">
        <v>5</v>
      </c>
      <c r="L823" s="29" t="s">
        <v>21</v>
      </c>
      <c r="M823" s="29" t="s">
        <v>45</v>
      </c>
      <c r="N823" s="31">
        <v>697.96</v>
      </c>
    </row>
    <row r="824" ht="29.75" spans="1:14">
      <c r="A824" s="29" t="s">
        <v>3033</v>
      </c>
      <c r="B824" s="30">
        <v>45731</v>
      </c>
      <c r="C824" s="29" t="s">
        <v>3034</v>
      </c>
      <c r="D824" s="29" t="s">
        <v>25</v>
      </c>
      <c r="E824" s="31">
        <v>1</v>
      </c>
      <c r="F824" s="31">
        <v>479.56</v>
      </c>
      <c r="G824" s="29" t="s">
        <v>320</v>
      </c>
      <c r="H824" s="29" t="s">
        <v>60</v>
      </c>
      <c r="I824" s="29" t="s">
        <v>43</v>
      </c>
      <c r="J824" s="29" t="s">
        <v>3035</v>
      </c>
      <c r="K824" s="31">
        <v>1</v>
      </c>
      <c r="L824" s="29" t="s">
        <v>21</v>
      </c>
      <c r="M824" s="29" t="s">
        <v>76</v>
      </c>
      <c r="N824" s="31">
        <v>479.56</v>
      </c>
    </row>
    <row r="825" ht="29.75" spans="1:14">
      <c r="A825" s="29" t="s">
        <v>3036</v>
      </c>
      <c r="B825" s="30">
        <v>45572</v>
      </c>
      <c r="C825" s="29" t="s">
        <v>3037</v>
      </c>
      <c r="D825" s="29" t="s">
        <v>58</v>
      </c>
      <c r="E825" s="31">
        <v>4</v>
      </c>
      <c r="F825" s="31">
        <v>653.13</v>
      </c>
      <c r="G825" s="29" t="s">
        <v>3038</v>
      </c>
      <c r="H825" s="29" t="s">
        <v>34</v>
      </c>
      <c r="I825" s="29" t="s">
        <v>19</v>
      </c>
      <c r="J825" s="29" t="s">
        <v>3039</v>
      </c>
      <c r="K825" s="31">
        <v>8</v>
      </c>
      <c r="L825" s="29" t="s">
        <v>81</v>
      </c>
      <c r="M825" s="29" t="s">
        <v>22</v>
      </c>
      <c r="N825" s="31">
        <v>2612.52</v>
      </c>
    </row>
    <row r="826" ht="29.75" spans="1:14">
      <c r="A826" s="29" t="s">
        <v>3040</v>
      </c>
      <c r="B826" s="30">
        <v>45167</v>
      </c>
      <c r="C826" s="29" t="s">
        <v>3041</v>
      </c>
      <c r="D826" s="29" t="s">
        <v>16</v>
      </c>
      <c r="E826" s="31">
        <v>3</v>
      </c>
      <c r="F826" s="31">
        <v>481.1</v>
      </c>
      <c r="G826" s="29" t="s">
        <v>3042</v>
      </c>
      <c r="H826" s="29" t="s">
        <v>34</v>
      </c>
      <c r="I826" s="29" t="s">
        <v>43</v>
      </c>
      <c r="J826" s="29" t="s">
        <v>3043</v>
      </c>
      <c r="K826" s="31">
        <v>3</v>
      </c>
      <c r="L826" s="29" t="s">
        <v>37</v>
      </c>
      <c r="M826" s="29" t="s">
        <v>45</v>
      </c>
      <c r="N826" s="31">
        <v>1443.3</v>
      </c>
    </row>
    <row r="827" ht="29.75" spans="1:14">
      <c r="A827" s="29" t="s">
        <v>3044</v>
      </c>
      <c r="B827" s="30">
        <v>45742</v>
      </c>
      <c r="C827" s="29" t="s">
        <v>3045</v>
      </c>
      <c r="D827" s="29" t="s">
        <v>73</v>
      </c>
      <c r="E827" s="31">
        <v>5</v>
      </c>
      <c r="F827" s="31">
        <v>271.69</v>
      </c>
      <c r="G827" s="29" t="s">
        <v>3046</v>
      </c>
      <c r="H827" s="29" t="s">
        <v>27</v>
      </c>
      <c r="I827" s="29" t="s">
        <v>43</v>
      </c>
      <c r="J827" s="29" t="s">
        <v>3047</v>
      </c>
      <c r="K827" s="31">
        <v>7</v>
      </c>
      <c r="L827" s="29" t="s">
        <v>37</v>
      </c>
      <c r="M827" s="29" t="s">
        <v>22</v>
      </c>
      <c r="N827" s="31">
        <v>1358.45</v>
      </c>
    </row>
    <row r="828" ht="29.75" spans="1:14">
      <c r="A828" s="29" t="s">
        <v>3048</v>
      </c>
      <c r="B828" s="30">
        <v>45724</v>
      </c>
      <c r="C828" s="29" t="s">
        <v>3049</v>
      </c>
      <c r="D828" s="29" t="s">
        <v>48</v>
      </c>
      <c r="E828" s="31">
        <v>3</v>
      </c>
      <c r="F828" s="31">
        <v>463.81</v>
      </c>
      <c r="G828" s="29" t="s">
        <v>735</v>
      </c>
      <c r="H828" s="29" t="s">
        <v>27</v>
      </c>
      <c r="I828" s="29" t="s">
        <v>43</v>
      </c>
      <c r="J828" s="29" t="s">
        <v>3050</v>
      </c>
      <c r="K828" s="31">
        <v>8</v>
      </c>
      <c r="L828" s="29" t="s">
        <v>81</v>
      </c>
      <c r="M828" s="29" t="s">
        <v>38</v>
      </c>
      <c r="N828" s="31">
        <v>1391.43</v>
      </c>
    </row>
    <row r="829" ht="29.75" spans="1:14">
      <c r="A829" s="29" t="s">
        <v>3051</v>
      </c>
      <c r="B829" s="30">
        <v>45071</v>
      </c>
      <c r="C829" s="29" t="s">
        <v>3052</v>
      </c>
      <c r="D829" s="29" t="s">
        <v>32</v>
      </c>
      <c r="E829" s="31">
        <v>2</v>
      </c>
      <c r="F829" s="31">
        <v>639.88</v>
      </c>
      <c r="G829" s="29" t="s">
        <v>873</v>
      </c>
      <c r="H829" s="29" t="s">
        <v>65</v>
      </c>
      <c r="I829" s="29" t="s">
        <v>50</v>
      </c>
      <c r="J829" s="29" t="s">
        <v>3053</v>
      </c>
      <c r="K829" s="31">
        <v>5</v>
      </c>
      <c r="L829" s="29" t="s">
        <v>81</v>
      </c>
      <c r="M829" s="29" t="s">
        <v>22</v>
      </c>
      <c r="N829" s="31">
        <v>1279.76</v>
      </c>
    </row>
    <row r="830" ht="29.75" spans="1:14">
      <c r="A830" s="29" t="s">
        <v>3054</v>
      </c>
      <c r="B830" s="30">
        <v>45497</v>
      </c>
      <c r="C830" s="29" t="s">
        <v>3055</v>
      </c>
      <c r="D830" s="29" t="s">
        <v>41</v>
      </c>
      <c r="E830" s="31">
        <v>4</v>
      </c>
      <c r="F830" s="31">
        <v>404.58</v>
      </c>
      <c r="G830" s="29" t="s">
        <v>3056</v>
      </c>
      <c r="H830" s="29" t="s">
        <v>65</v>
      </c>
      <c r="I830" s="29" t="s">
        <v>19</v>
      </c>
      <c r="J830" s="29" t="s">
        <v>3057</v>
      </c>
      <c r="K830" s="31">
        <v>5</v>
      </c>
      <c r="L830" s="29" t="s">
        <v>37</v>
      </c>
      <c r="M830" s="29" t="s">
        <v>22</v>
      </c>
      <c r="N830" s="31">
        <v>1618.32</v>
      </c>
    </row>
    <row r="831" ht="29.75" spans="1:14">
      <c r="A831" s="29" t="s">
        <v>3058</v>
      </c>
      <c r="B831" s="30">
        <v>44962</v>
      </c>
      <c r="C831" s="29" t="s">
        <v>3059</v>
      </c>
      <c r="D831" s="29" t="s">
        <v>16</v>
      </c>
      <c r="E831" s="31">
        <v>1</v>
      </c>
      <c r="F831" s="31">
        <v>76.93</v>
      </c>
      <c r="G831" s="29" t="s">
        <v>3060</v>
      </c>
      <c r="H831" s="29" t="s">
        <v>18</v>
      </c>
      <c r="I831" s="29" t="s">
        <v>50</v>
      </c>
      <c r="J831" s="29" t="s">
        <v>3061</v>
      </c>
      <c r="K831" s="31">
        <v>6</v>
      </c>
      <c r="L831" s="29" t="s">
        <v>81</v>
      </c>
      <c r="M831" s="29" t="s">
        <v>22</v>
      </c>
      <c r="N831" s="31">
        <v>76.93</v>
      </c>
    </row>
    <row r="832" ht="29.75" spans="1:14">
      <c r="A832" s="29" t="s">
        <v>3062</v>
      </c>
      <c r="B832" s="30">
        <v>45637</v>
      </c>
      <c r="C832" s="29" t="s">
        <v>3063</v>
      </c>
      <c r="D832" s="29" t="s">
        <v>32</v>
      </c>
      <c r="E832" s="31">
        <v>4</v>
      </c>
      <c r="F832" s="31">
        <v>190.64</v>
      </c>
      <c r="G832" s="29" t="s">
        <v>3064</v>
      </c>
      <c r="H832" s="29" t="s">
        <v>65</v>
      </c>
      <c r="I832" s="29" t="s">
        <v>50</v>
      </c>
      <c r="J832" s="29" t="s">
        <v>3065</v>
      </c>
      <c r="K832" s="31">
        <v>5</v>
      </c>
      <c r="L832" s="29" t="s">
        <v>21</v>
      </c>
      <c r="M832" s="29" t="s">
        <v>38</v>
      </c>
      <c r="N832" s="31">
        <v>762.56</v>
      </c>
    </row>
    <row r="833" ht="29.75" spans="1:14">
      <c r="A833" s="29" t="s">
        <v>3066</v>
      </c>
      <c r="B833" s="30">
        <v>45278</v>
      </c>
      <c r="C833" s="29" t="s">
        <v>3067</v>
      </c>
      <c r="D833" s="29" t="s">
        <v>48</v>
      </c>
      <c r="E833" s="31">
        <v>2</v>
      </c>
      <c r="F833" s="31">
        <v>88.73</v>
      </c>
      <c r="G833" s="29" t="s">
        <v>2371</v>
      </c>
      <c r="H833" s="29" t="s">
        <v>27</v>
      </c>
      <c r="I833" s="29" t="s">
        <v>89</v>
      </c>
      <c r="J833" s="29" t="s">
        <v>3068</v>
      </c>
      <c r="K833" s="31">
        <v>5</v>
      </c>
      <c r="L833" s="29"/>
      <c r="M833" s="29" t="s">
        <v>76</v>
      </c>
      <c r="N833" s="31">
        <v>177.46</v>
      </c>
    </row>
    <row r="834" ht="29.75" spans="1:14">
      <c r="A834" s="29" t="s">
        <v>3069</v>
      </c>
      <c r="B834" s="30">
        <v>45363</v>
      </c>
      <c r="C834" s="29" t="s">
        <v>3070</v>
      </c>
      <c r="D834" s="29" t="s">
        <v>41</v>
      </c>
      <c r="E834" s="31">
        <v>5</v>
      </c>
      <c r="F834" s="31">
        <v>485.71</v>
      </c>
      <c r="G834" s="29" t="s">
        <v>93</v>
      </c>
      <c r="H834" s="29" t="s">
        <v>27</v>
      </c>
      <c r="I834" s="29" t="s">
        <v>89</v>
      </c>
      <c r="J834" s="29" t="s">
        <v>3071</v>
      </c>
      <c r="K834" s="31">
        <v>10</v>
      </c>
      <c r="L834" s="29" t="s">
        <v>21</v>
      </c>
      <c r="M834" s="29" t="s">
        <v>29</v>
      </c>
      <c r="N834" s="31">
        <v>2428.55</v>
      </c>
    </row>
    <row r="835" ht="29.75" spans="1:14">
      <c r="A835" s="29" t="s">
        <v>3072</v>
      </c>
      <c r="B835" s="30">
        <v>45730</v>
      </c>
      <c r="C835" s="29" t="s">
        <v>3073</v>
      </c>
      <c r="D835" s="29" t="s">
        <v>25</v>
      </c>
      <c r="E835" s="31">
        <v>5</v>
      </c>
      <c r="F835" s="31">
        <v>78.29</v>
      </c>
      <c r="G835" s="29" t="s">
        <v>3074</v>
      </c>
      <c r="H835" s="29" t="s">
        <v>34</v>
      </c>
      <c r="I835" s="29" t="s">
        <v>19</v>
      </c>
      <c r="J835" s="29" t="s">
        <v>3075</v>
      </c>
      <c r="K835" s="31">
        <v>5</v>
      </c>
      <c r="L835" s="29" t="s">
        <v>81</v>
      </c>
      <c r="M835" s="29" t="s">
        <v>29</v>
      </c>
      <c r="N835" s="31">
        <v>391.45</v>
      </c>
    </row>
    <row r="836" ht="29.75" spans="1:14">
      <c r="A836" s="29" t="s">
        <v>3076</v>
      </c>
      <c r="B836" s="30">
        <v>45393</v>
      </c>
      <c r="C836" s="29" t="s">
        <v>3077</v>
      </c>
      <c r="D836" s="29" t="s">
        <v>48</v>
      </c>
      <c r="E836" s="31">
        <v>5</v>
      </c>
      <c r="F836" s="31">
        <v>22.14</v>
      </c>
      <c r="G836" s="29" t="s">
        <v>964</v>
      </c>
      <c r="H836" s="29" t="s">
        <v>65</v>
      </c>
      <c r="I836" s="29" t="s">
        <v>43</v>
      </c>
      <c r="J836" s="29" t="s">
        <v>3078</v>
      </c>
      <c r="K836" s="31">
        <v>10</v>
      </c>
      <c r="L836" s="29"/>
      <c r="M836" s="29" t="s">
        <v>22</v>
      </c>
      <c r="N836" s="31">
        <v>110.7</v>
      </c>
    </row>
    <row r="837" ht="29.75" spans="1:14">
      <c r="A837" s="29" t="s">
        <v>3079</v>
      </c>
      <c r="B837" s="30">
        <v>45377</v>
      </c>
      <c r="C837" s="29" t="s">
        <v>3080</v>
      </c>
      <c r="D837" s="29" t="s">
        <v>73</v>
      </c>
      <c r="E837" s="31">
        <v>1</v>
      </c>
      <c r="F837" s="31">
        <v>679.65</v>
      </c>
      <c r="G837" s="29" t="s">
        <v>3081</v>
      </c>
      <c r="H837" s="29" t="s">
        <v>18</v>
      </c>
      <c r="I837" s="29" t="s">
        <v>19</v>
      </c>
      <c r="J837" s="29" t="s">
        <v>3082</v>
      </c>
      <c r="K837" s="31">
        <v>6</v>
      </c>
      <c r="L837" s="29" t="s">
        <v>37</v>
      </c>
      <c r="M837" s="29" t="s">
        <v>76</v>
      </c>
      <c r="N837" s="31">
        <v>679.65</v>
      </c>
    </row>
    <row r="838" ht="29.75" spans="1:14">
      <c r="A838" s="29" t="s">
        <v>3083</v>
      </c>
      <c r="B838" s="30">
        <v>44959</v>
      </c>
      <c r="C838" s="29" t="s">
        <v>3084</v>
      </c>
      <c r="D838" s="29" t="s">
        <v>25</v>
      </c>
      <c r="E838" s="31">
        <v>1</v>
      </c>
      <c r="F838" s="31">
        <v>178.44</v>
      </c>
      <c r="G838" s="29" t="s">
        <v>2446</v>
      </c>
      <c r="H838" s="29" t="s">
        <v>34</v>
      </c>
      <c r="I838" s="29" t="s">
        <v>35</v>
      </c>
      <c r="J838" s="29" t="s">
        <v>3085</v>
      </c>
      <c r="K838" s="31">
        <v>2</v>
      </c>
      <c r="L838" s="29" t="s">
        <v>37</v>
      </c>
      <c r="M838" s="29" t="s">
        <v>76</v>
      </c>
      <c r="N838" s="31">
        <v>178.44</v>
      </c>
    </row>
    <row r="839" ht="29.75" spans="1:14">
      <c r="A839" s="29" t="s">
        <v>3086</v>
      </c>
      <c r="B839" s="30">
        <v>45822</v>
      </c>
      <c r="C839" s="29" t="s">
        <v>3087</v>
      </c>
      <c r="D839" s="29" t="s">
        <v>41</v>
      </c>
      <c r="E839" s="31">
        <v>5</v>
      </c>
      <c r="F839" s="31">
        <v>655.55</v>
      </c>
      <c r="G839" s="29" t="s">
        <v>2290</v>
      </c>
      <c r="H839" s="29" t="s">
        <v>27</v>
      </c>
      <c r="I839" s="29" t="s">
        <v>50</v>
      </c>
      <c r="J839" s="29" t="s">
        <v>3088</v>
      </c>
      <c r="K839" s="31">
        <v>5</v>
      </c>
      <c r="L839" s="29"/>
      <c r="M839" s="29" t="s">
        <v>38</v>
      </c>
      <c r="N839" s="31">
        <v>3277.75</v>
      </c>
    </row>
    <row r="840" ht="29.75" spans="1:14">
      <c r="A840" s="29" t="s">
        <v>3089</v>
      </c>
      <c r="B840" s="30">
        <v>45393</v>
      </c>
      <c r="C840" s="29" t="s">
        <v>3090</v>
      </c>
      <c r="D840" s="29" t="s">
        <v>73</v>
      </c>
      <c r="E840" s="31">
        <v>4</v>
      </c>
      <c r="F840" s="31">
        <v>577.08</v>
      </c>
      <c r="G840" s="29" t="s">
        <v>316</v>
      </c>
      <c r="H840" s="29" t="s">
        <v>27</v>
      </c>
      <c r="I840" s="29" t="s">
        <v>89</v>
      </c>
      <c r="J840" s="29" t="s">
        <v>3091</v>
      </c>
      <c r="K840" s="31">
        <v>8</v>
      </c>
      <c r="L840" s="29"/>
      <c r="M840" s="29" t="s">
        <v>45</v>
      </c>
      <c r="N840" s="31">
        <v>2308.32</v>
      </c>
    </row>
    <row r="841" ht="29.75" spans="1:14">
      <c r="A841" s="29" t="s">
        <v>3092</v>
      </c>
      <c r="B841" s="30">
        <v>45162</v>
      </c>
      <c r="C841" s="29" t="s">
        <v>3093</v>
      </c>
      <c r="D841" s="29" t="s">
        <v>41</v>
      </c>
      <c r="E841" s="31">
        <v>3</v>
      </c>
      <c r="F841" s="31">
        <v>197.97</v>
      </c>
      <c r="G841" s="29" t="s">
        <v>2768</v>
      </c>
      <c r="H841" s="29" t="s">
        <v>27</v>
      </c>
      <c r="I841" s="29" t="s">
        <v>35</v>
      </c>
      <c r="J841" s="29" t="s">
        <v>3094</v>
      </c>
      <c r="K841" s="31">
        <v>5</v>
      </c>
      <c r="L841" s="29"/>
      <c r="M841" s="29" t="s">
        <v>76</v>
      </c>
      <c r="N841" s="31">
        <v>593.91</v>
      </c>
    </row>
    <row r="842" ht="29.75" spans="1:14">
      <c r="A842" s="29" t="s">
        <v>3095</v>
      </c>
      <c r="B842" s="30">
        <v>45305</v>
      </c>
      <c r="C842" s="29" t="s">
        <v>3096</v>
      </c>
      <c r="D842" s="29" t="s">
        <v>41</v>
      </c>
      <c r="E842" s="31">
        <v>3</v>
      </c>
      <c r="F842" s="31">
        <v>411.95</v>
      </c>
      <c r="G842" s="29" t="s">
        <v>1815</v>
      </c>
      <c r="H842" s="29" t="s">
        <v>34</v>
      </c>
      <c r="I842" s="29" t="s">
        <v>50</v>
      </c>
      <c r="J842" s="29" t="s">
        <v>3097</v>
      </c>
      <c r="K842" s="31">
        <v>7</v>
      </c>
      <c r="L842" s="29" t="s">
        <v>37</v>
      </c>
      <c r="M842" s="29" t="s">
        <v>29</v>
      </c>
      <c r="N842" s="31">
        <v>1235.85</v>
      </c>
    </row>
    <row r="843" ht="29.75" spans="1:14">
      <c r="A843" s="29" t="s">
        <v>3098</v>
      </c>
      <c r="B843" s="30">
        <v>45554</v>
      </c>
      <c r="C843" s="29" t="s">
        <v>3099</v>
      </c>
      <c r="D843" s="29" t="s">
        <v>48</v>
      </c>
      <c r="E843" s="31">
        <v>2</v>
      </c>
      <c r="F843" s="31">
        <v>443.22</v>
      </c>
      <c r="G843" s="29" t="s">
        <v>3100</v>
      </c>
      <c r="H843" s="29" t="s">
        <v>34</v>
      </c>
      <c r="I843" s="29" t="s">
        <v>50</v>
      </c>
      <c r="J843" s="29" t="s">
        <v>3101</v>
      </c>
      <c r="K843" s="31">
        <v>5</v>
      </c>
      <c r="L843" s="29"/>
      <c r="M843" s="29" t="s">
        <v>45</v>
      </c>
      <c r="N843" s="31">
        <v>886.44</v>
      </c>
    </row>
    <row r="844" ht="29.75" spans="1:14">
      <c r="A844" s="29" t="s">
        <v>3102</v>
      </c>
      <c r="B844" s="30">
        <v>45784</v>
      </c>
      <c r="C844" s="29" t="s">
        <v>3103</v>
      </c>
      <c r="D844" s="29" t="s">
        <v>58</v>
      </c>
      <c r="E844" s="31">
        <v>3</v>
      </c>
      <c r="F844" s="31">
        <v>364.14</v>
      </c>
      <c r="G844" s="29" t="s">
        <v>2579</v>
      </c>
      <c r="H844" s="29" t="s">
        <v>27</v>
      </c>
      <c r="I844" s="29" t="s">
        <v>89</v>
      </c>
      <c r="J844" s="29" t="s">
        <v>3104</v>
      </c>
      <c r="K844" s="31">
        <v>7</v>
      </c>
      <c r="L844" s="29" t="s">
        <v>81</v>
      </c>
      <c r="M844" s="29" t="s">
        <v>29</v>
      </c>
      <c r="N844" s="31">
        <v>1092.42</v>
      </c>
    </row>
    <row r="845" ht="29.75" spans="1:14">
      <c r="A845" s="29" t="s">
        <v>3105</v>
      </c>
      <c r="B845" s="30">
        <v>45790</v>
      </c>
      <c r="C845" s="29" t="s">
        <v>3106</v>
      </c>
      <c r="D845" s="29" t="s">
        <v>73</v>
      </c>
      <c r="E845" s="31">
        <v>3</v>
      </c>
      <c r="F845" s="31">
        <v>430.06</v>
      </c>
      <c r="G845" s="29" t="s">
        <v>3107</v>
      </c>
      <c r="H845" s="29" t="s">
        <v>60</v>
      </c>
      <c r="I845" s="29" t="s">
        <v>35</v>
      </c>
      <c r="J845" s="29" t="s">
        <v>3108</v>
      </c>
      <c r="K845" s="31">
        <v>8</v>
      </c>
      <c r="L845" s="29" t="s">
        <v>37</v>
      </c>
      <c r="M845" s="29" t="s">
        <v>22</v>
      </c>
      <c r="N845" s="31">
        <v>1290.18</v>
      </c>
    </row>
    <row r="846" ht="29.75" spans="1:14">
      <c r="A846" s="29" t="s">
        <v>3109</v>
      </c>
      <c r="B846" s="30">
        <v>45630</v>
      </c>
      <c r="C846" s="29" t="s">
        <v>3110</v>
      </c>
      <c r="D846" s="29" t="s">
        <v>41</v>
      </c>
      <c r="E846" s="31">
        <v>1</v>
      </c>
      <c r="F846" s="31">
        <v>320.92</v>
      </c>
      <c r="G846" s="29" t="s">
        <v>3111</v>
      </c>
      <c r="H846" s="29" t="s">
        <v>27</v>
      </c>
      <c r="I846" s="29" t="s">
        <v>43</v>
      </c>
      <c r="J846" s="29" t="s">
        <v>3112</v>
      </c>
      <c r="K846" s="31">
        <v>5</v>
      </c>
      <c r="L846" s="29" t="s">
        <v>37</v>
      </c>
      <c r="M846" s="29" t="s">
        <v>45</v>
      </c>
      <c r="N846" s="31">
        <v>320.92</v>
      </c>
    </row>
    <row r="847" ht="29.75" spans="1:14">
      <c r="A847" s="29" t="s">
        <v>3113</v>
      </c>
      <c r="B847" s="30">
        <v>45207</v>
      </c>
      <c r="C847" s="29" t="s">
        <v>3114</v>
      </c>
      <c r="D847" s="29" t="s">
        <v>25</v>
      </c>
      <c r="E847" s="31">
        <v>3</v>
      </c>
      <c r="F847" s="31">
        <v>107.36</v>
      </c>
      <c r="G847" s="29" t="s">
        <v>3115</v>
      </c>
      <c r="H847" s="29" t="s">
        <v>60</v>
      </c>
      <c r="I847" s="29" t="s">
        <v>50</v>
      </c>
      <c r="J847" s="29" t="s">
        <v>3116</v>
      </c>
      <c r="K847" s="31">
        <v>5</v>
      </c>
      <c r="L847" s="29" t="s">
        <v>37</v>
      </c>
      <c r="M847" s="29" t="s">
        <v>76</v>
      </c>
      <c r="N847" s="31">
        <v>322.08</v>
      </c>
    </row>
    <row r="848" ht="29.75" spans="1:14">
      <c r="A848" s="29" t="s">
        <v>3117</v>
      </c>
      <c r="B848" s="30">
        <v>45477</v>
      </c>
      <c r="C848" s="29" t="s">
        <v>3118</v>
      </c>
      <c r="D848" s="29" t="s">
        <v>73</v>
      </c>
      <c r="E848" s="31">
        <v>2</v>
      </c>
      <c r="F848" s="31">
        <v>359.86</v>
      </c>
      <c r="G848" s="29" t="s">
        <v>3119</v>
      </c>
      <c r="H848" s="29" t="s">
        <v>18</v>
      </c>
      <c r="I848" s="29" t="s">
        <v>35</v>
      </c>
      <c r="J848" s="29" t="s">
        <v>3120</v>
      </c>
      <c r="K848" s="31">
        <v>4</v>
      </c>
      <c r="L848" s="29"/>
      <c r="M848" s="29" t="s">
        <v>29</v>
      </c>
      <c r="N848" s="31">
        <v>719.72</v>
      </c>
    </row>
    <row r="849" ht="29.75" spans="1:14">
      <c r="A849" s="29" t="s">
        <v>3121</v>
      </c>
      <c r="B849" s="30">
        <v>45614</v>
      </c>
      <c r="C849" s="29" t="s">
        <v>3122</v>
      </c>
      <c r="D849" s="29" t="s">
        <v>48</v>
      </c>
      <c r="E849" s="31">
        <v>4</v>
      </c>
      <c r="F849" s="31">
        <v>434.23</v>
      </c>
      <c r="G849" s="29" t="s">
        <v>1161</v>
      </c>
      <c r="H849" s="29" t="s">
        <v>27</v>
      </c>
      <c r="I849" s="29" t="s">
        <v>19</v>
      </c>
      <c r="J849" s="29" t="s">
        <v>3123</v>
      </c>
      <c r="K849" s="31">
        <v>8</v>
      </c>
      <c r="L849" s="29" t="s">
        <v>37</v>
      </c>
      <c r="M849" s="29" t="s">
        <v>38</v>
      </c>
      <c r="N849" s="31">
        <v>1736.92</v>
      </c>
    </row>
    <row r="850" ht="29.75" spans="1:14">
      <c r="A850" s="29" t="s">
        <v>3124</v>
      </c>
      <c r="B850" s="30">
        <v>44927</v>
      </c>
      <c r="C850" s="29" t="s">
        <v>3125</v>
      </c>
      <c r="D850" s="29" t="s">
        <v>41</v>
      </c>
      <c r="E850" s="31">
        <v>2</v>
      </c>
      <c r="F850" s="31">
        <v>645.85</v>
      </c>
      <c r="G850" s="29" t="s">
        <v>277</v>
      </c>
      <c r="H850" s="29" t="s">
        <v>27</v>
      </c>
      <c r="I850" s="29" t="s">
        <v>19</v>
      </c>
      <c r="J850" s="29" t="s">
        <v>3126</v>
      </c>
      <c r="K850" s="31">
        <v>5</v>
      </c>
      <c r="L850" s="29"/>
      <c r="M850" s="29" t="s">
        <v>29</v>
      </c>
      <c r="N850" s="31">
        <v>1291.7</v>
      </c>
    </row>
    <row r="851" ht="29.75" spans="1:14">
      <c r="A851" s="29" t="s">
        <v>3127</v>
      </c>
      <c r="B851" s="30">
        <v>45817</v>
      </c>
      <c r="C851" s="29" t="s">
        <v>3128</v>
      </c>
      <c r="D851" s="29" t="s">
        <v>48</v>
      </c>
      <c r="E851" s="31">
        <v>4</v>
      </c>
      <c r="F851" s="31">
        <v>214.35</v>
      </c>
      <c r="G851" s="29" t="s">
        <v>3042</v>
      </c>
      <c r="H851" s="29" t="s">
        <v>18</v>
      </c>
      <c r="I851" s="29" t="s">
        <v>35</v>
      </c>
      <c r="J851" s="29" t="s">
        <v>3129</v>
      </c>
      <c r="K851" s="31">
        <v>7</v>
      </c>
      <c r="L851" s="29" t="s">
        <v>81</v>
      </c>
      <c r="M851" s="29" t="s">
        <v>29</v>
      </c>
      <c r="N851" s="31">
        <v>857.4</v>
      </c>
    </row>
    <row r="852" ht="29.75" spans="1:14">
      <c r="A852" s="29" t="s">
        <v>3130</v>
      </c>
      <c r="B852" s="30">
        <v>45774</v>
      </c>
      <c r="C852" s="29" t="s">
        <v>3131</v>
      </c>
      <c r="D852" s="29" t="s">
        <v>16</v>
      </c>
      <c r="E852" s="31">
        <v>3</v>
      </c>
      <c r="F852" s="31">
        <v>638.5</v>
      </c>
      <c r="G852" s="29" t="s">
        <v>2684</v>
      </c>
      <c r="H852" s="29" t="s">
        <v>18</v>
      </c>
      <c r="I852" s="29" t="s">
        <v>35</v>
      </c>
      <c r="J852" s="29" t="s">
        <v>3132</v>
      </c>
      <c r="K852" s="31">
        <v>4</v>
      </c>
      <c r="L852" s="29" t="s">
        <v>37</v>
      </c>
      <c r="M852" s="29" t="s">
        <v>22</v>
      </c>
      <c r="N852" s="31">
        <v>1915.5</v>
      </c>
    </row>
    <row r="853" ht="29.75" spans="1:14">
      <c r="A853" s="29" t="s">
        <v>3133</v>
      </c>
      <c r="B853" s="30">
        <v>45272</v>
      </c>
      <c r="C853" s="29" t="s">
        <v>3134</v>
      </c>
      <c r="D853" s="29" t="s">
        <v>58</v>
      </c>
      <c r="E853" s="31">
        <v>1</v>
      </c>
      <c r="F853" s="31">
        <v>365.57</v>
      </c>
      <c r="G853" s="29" t="s">
        <v>347</v>
      </c>
      <c r="H853" s="29" t="s">
        <v>27</v>
      </c>
      <c r="I853" s="29" t="s">
        <v>35</v>
      </c>
      <c r="J853" s="29" t="s">
        <v>3135</v>
      </c>
      <c r="K853" s="31">
        <v>5</v>
      </c>
      <c r="L853" s="29" t="s">
        <v>21</v>
      </c>
      <c r="M853" s="29" t="s">
        <v>38</v>
      </c>
      <c r="N853" s="31">
        <v>365.57</v>
      </c>
    </row>
    <row r="854" ht="29.75" spans="1:14">
      <c r="A854" s="29" t="s">
        <v>3136</v>
      </c>
      <c r="B854" s="30">
        <v>45589</v>
      </c>
      <c r="C854" s="29" t="s">
        <v>3137</v>
      </c>
      <c r="D854" s="29" t="s">
        <v>73</v>
      </c>
      <c r="E854" s="31">
        <v>3</v>
      </c>
      <c r="F854" s="31">
        <v>568.05</v>
      </c>
      <c r="G854" s="29" t="s">
        <v>3138</v>
      </c>
      <c r="H854" s="29" t="s">
        <v>60</v>
      </c>
      <c r="I854" s="29" t="s">
        <v>89</v>
      </c>
      <c r="J854" s="29" t="s">
        <v>3139</v>
      </c>
      <c r="K854" s="31">
        <v>6</v>
      </c>
      <c r="L854" s="29" t="s">
        <v>21</v>
      </c>
      <c r="M854" s="29" t="s">
        <v>76</v>
      </c>
      <c r="N854" s="31">
        <v>1704.15</v>
      </c>
    </row>
    <row r="855" ht="29.75" spans="1:14">
      <c r="A855" s="29" t="s">
        <v>3140</v>
      </c>
      <c r="B855" s="30">
        <v>45215</v>
      </c>
      <c r="C855" s="29" t="s">
        <v>3141</v>
      </c>
      <c r="D855" s="29" t="s">
        <v>48</v>
      </c>
      <c r="E855" s="31">
        <v>3</v>
      </c>
      <c r="F855" s="31">
        <v>490.01</v>
      </c>
      <c r="G855" s="29" t="s">
        <v>1194</v>
      </c>
      <c r="H855" s="29" t="s">
        <v>65</v>
      </c>
      <c r="I855" s="29" t="s">
        <v>43</v>
      </c>
      <c r="J855" s="29" t="s">
        <v>3142</v>
      </c>
      <c r="K855" s="31">
        <v>4</v>
      </c>
      <c r="L855" s="29" t="s">
        <v>21</v>
      </c>
      <c r="M855" s="29" t="s">
        <v>45</v>
      </c>
      <c r="N855" s="31">
        <v>1470.03</v>
      </c>
    </row>
    <row r="856" ht="29.75" spans="1:14">
      <c r="A856" s="29" t="s">
        <v>3143</v>
      </c>
      <c r="B856" s="30">
        <v>45821</v>
      </c>
      <c r="C856" s="29" t="s">
        <v>3144</v>
      </c>
      <c r="D856" s="29" t="s">
        <v>58</v>
      </c>
      <c r="E856" s="31">
        <v>3</v>
      </c>
      <c r="F856" s="31">
        <v>372.6</v>
      </c>
      <c r="G856" s="29" t="s">
        <v>1731</v>
      </c>
      <c r="H856" s="29" t="s">
        <v>34</v>
      </c>
      <c r="I856" s="29" t="s">
        <v>50</v>
      </c>
      <c r="J856" s="29" t="s">
        <v>3145</v>
      </c>
      <c r="K856" s="31">
        <v>7</v>
      </c>
      <c r="L856" s="29" t="s">
        <v>81</v>
      </c>
      <c r="M856" s="29" t="s">
        <v>29</v>
      </c>
      <c r="N856" s="31">
        <v>1117.8</v>
      </c>
    </row>
    <row r="857" ht="29.75" spans="1:14">
      <c r="A857" s="29" t="s">
        <v>3146</v>
      </c>
      <c r="B857" s="30">
        <v>45071</v>
      </c>
      <c r="C857" s="29" t="s">
        <v>3147</v>
      </c>
      <c r="D857" s="29" t="s">
        <v>16</v>
      </c>
      <c r="E857" s="31">
        <v>5</v>
      </c>
      <c r="F857" s="31">
        <v>240.61</v>
      </c>
      <c r="G857" s="29" t="s">
        <v>996</v>
      </c>
      <c r="H857" s="29" t="s">
        <v>34</v>
      </c>
      <c r="I857" s="29" t="s">
        <v>19</v>
      </c>
      <c r="J857" s="29" t="s">
        <v>3148</v>
      </c>
      <c r="K857" s="31">
        <v>10</v>
      </c>
      <c r="L857" s="29" t="s">
        <v>37</v>
      </c>
      <c r="M857" s="29" t="s">
        <v>38</v>
      </c>
      <c r="N857" s="31">
        <v>1203.05</v>
      </c>
    </row>
    <row r="858" ht="29.75" spans="1:14">
      <c r="A858" s="29" t="s">
        <v>3149</v>
      </c>
      <c r="B858" s="30">
        <v>45446</v>
      </c>
      <c r="C858" s="29" t="s">
        <v>3150</v>
      </c>
      <c r="D858" s="29" t="s">
        <v>25</v>
      </c>
      <c r="E858" s="31">
        <v>1</v>
      </c>
      <c r="F858" s="31">
        <v>586.62</v>
      </c>
      <c r="G858" s="29" t="s">
        <v>212</v>
      </c>
      <c r="H858" s="29" t="s">
        <v>18</v>
      </c>
      <c r="I858" s="29" t="s">
        <v>19</v>
      </c>
      <c r="J858" s="29" t="s">
        <v>3151</v>
      </c>
      <c r="K858" s="31">
        <v>5</v>
      </c>
      <c r="L858" s="29"/>
      <c r="M858" s="29" t="s">
        <v>45</v>
      </c>
      <c r="N858" s="31">
        <v>586.62</v>
      </c>
    </row>
    <row r="859" ht="29.75" spans="1:14">
      <c r="A859" s="29" t="s">
        <v>3152</v>
      </c>
      <c r="B859" s="30">
        <v>45361</v>
      </c>
      <c r="C859" s="29" t="s">
        <v>3153</v>
      </c>
      <c r="D859" s="29" t="s">
        <v>25</v>
      </c>
      <c r="E859" s="31">
        <v>3</v>
      </c>
      <c r="F859" s="31">
        <v>257.84</v>
      </c>
      <c r="G859" s="29" t="s">
        <v>858</v>
      </c>
      <c r="H859" s="29" t="s">
        <v>27</v>
      </c>
      <c r="I859" s="29" t="s">
        <v>50</v>
      </c>
      <c r="J859" s="29" t="s">
        <v>3154</v>
      </c>
      <c r="K859" s="31">
        <v>4</v>
      </c>
      <c r="L859" s="29"/>
      <c r="M859" s="29" t="s">
        <v>22</v>
      </c>
      <c r="N859" s="31">
        <v>773.52</v>
      </c>
    </row>
    <row r="860" ht="29.75" spans="1:14">
      <c r="A860" s="29" t="s">
        <v>3155</v>
      </c>
      <c r="B860" s="30">
        <v>45158</v>
      </c>
      <c r="C860" s="29" t="s">
        <v>3156</v>
      </c>
      <c r="D860" s="29" t="s">
        <v>32</v>
      </c>
      <c r="E860" s="31">
        <v>5</v>
      </c>
      <c r="F860" s="31">
        <v>435.66</v>
      </c>
      <c r="G860" s="29" t="s">
        <v>113</v>
      </c>
      <c r="H860" s="29" t="s">
        <v>27</v>
      </c>
      <c r="I860" s="29" t="s">
        <v>89</v>
      </c>
      <c r="J860" s="29" t="s">
        <v>3157</v>
      </c>
      <c r="K860" s="31">
        <v>9</v>
      </c>
      <c r="L860" s="29"/>
      <c r="M860" s="29" t="s">
        <v>45</v>
      </c>
      <c r="N860" s="31">
        <v>2178.3</v>
      </c>
    </row>
    <row r="861" ht="29.75" spans="1:14">
      <c r="A861" s="29" t="s">
        <v>3158</v>
      </c>
      <c r="B861" s="30">
        <v>45532</v>
      </c>
      <c r="C861" s="29" t="s">
        <v>3159</v>
      </c>
      <c r="D861" s="29" t="s">
        <v>41</v>
      </c>
      <c r="E861" s="31">
        <v>5</v>
      </c>
      <c r="F861" s="31">
        <v>261.33</v>
      </c>
      <c r="G861" s="29" t="s">
        <v>2311</v>
      </c>
      <c r="H861" s="29" t="s">
        <v>34</v>
      </c>
      <c r="I861" s="29" t="s">
        <v>43</v>
      </c>
      <c r="J861" s="29" t="s">
        <v>3160</v>
      </c>
      <c r="K861" s="31">
        <v>5</v>
      </c>
      <c r="L861" s="29" t="s">
        <v>21</v>
      </c>
      <c r="M861" s="29" t="s">
        <v>29</v>
      </c>
      <c r="N861" s="31">
        <v>1306.65</v>
      </c>
    </row>
    <row r="862" ht="29.75" spans="1:14">
      <c r="A862" s="29" t="s">
        <v>3161</v>
      </c>
      <c r="B862" s="30">
        <v>45314</v>
      </c>
      <c r="C862" s="29" t="s">
        <v>3162</v>
      </c>
      <c r="D862" s="29" t="s">
        <v>48</v>
      </c>
      <c r="E862" s="31">
        <v>1</v>
      </c>
      <c r="F862" s="31">
        <v>422.54</v>
      </c>
      <c r="G862" s="29" t="s">
        <v>1368</v>
      </c>
      <c r="H862" s="29" t="s">
        <v>65</v>
      </c>
      <c r="I862" s="29" t="s">
        <v>50</v>
      </c>
      <c r="J862" s="29" t="s">
        <v>3163</v>
      </c>
      <c r="K862" s="31">
        <v>1</v>
      </c>
      <c r="L862" s="29" t="s">
        <v>21</v>
      </c>
      <c r="M862" s="29" t="s">
        <v>76</v>
      </c>
      <c r="N862" s="31">
        <v>422.54</v>
      </c>
    </row>
    <row r="863" ht="29.75" spans="1:14">
      <c r="A863" s="29" t="s">
        <v>3164</v>
      </c>
      <c r="B863" s="30">
        <v>45004</v>
      </c>
      <c r="C863" s="29" t="s">
        <v>3165</v>
      </c>
      <c r="D863" s="29" t="s">
        <v>73</v>
      </c>
      <c r="E863" s="31">
        <v>5</v>
      </c>
      <c r="F863" s="31">
        <v>330.45</v>
      </c>
      <c r="G863" s="29" t="s">
        <v>3166</v>
      </c>
      <c r="H863" s="29" t="s">
        <v>60</v>
      </c>
      <c r="I863" s="29" t="s">
        <v>19</v>
      </c>
      <c r="J863" s="29" t="s">
        <v>3167</v>
      </c>
      <c r="K863" s="31">
        <v>10</v>
      </c>
      <c r="L863" s="29" t="s">
        <v>37</v>
      </c>
      <c r="M863" s="29" t="s">
        <v>76</v>
      </c>
      <c r="N863" s="31">
        <v>1652.25</v>
      </c>
    </row>
    <row r="864" ht="29.75" spans="1:14">
      <c r="A864" s="29" t="s">
        <v>3168</v>
      </c>
      <c r="B864" s="30">
        <v>45262</v>
      </c>
      <c r="C864" s="29" t="s">
        <v>3169</v>
      </c>
      <c r="D864" s="29" t="s">
        <v>73</v>
      </c>
      <c r="E864" s="31">
        <v>3</v>
      </c>
      <c r="F864" s="31">
        <v>120.82</v>
      </c>
      <c r="G864" s="29" t="s">
        <v>2620</v>
      </c>
      <c r="H864" s="29" t="s">
        <v>34</v>
      </c>
      <c r="I864" s="29" t="s">
        <v>19</v>
      </c>
      <c r="J864" s="29" t="s">
        <v>3170</v>
      </c>
      <c r="K864" s="31">
        <v>5</v>
      </c>
      <c r="L864" s="29" t="s">
        <v>21</v>
      </c>
      <c r="M864" s="29" t="s">
        <v>29</v>
      </c>
      <c r="N864" s="31">
        <v>362.46</v>
      </c>
    </row>
    <row r="865" ht="29.75" spans="1:14">
      <c r="A865" s="29" t="s">
        <v>3171</v>
      </c>
      <c r="B865" s="30">
        <v>45432</v>
      </c>
      <c r="C865" s="29" t="s">
        <v>3172</v>
      </c>
      <c r="D865" s="29" t="s">
        <v>25</v>
      </c>
      <c r="E865" s="31">
        <v>1</v>
      </c>
      <c r="F865" s="31">
        <v>14.06</v>
      </c>
      <c r="G865" s="29" t="s">
        <v>1000</v>
      </c>
      <c r="H865" s="29" t="s">
        <v>34</v>
      </c>
      <c r="I865" s="29" t="s">
        <v>89</v>
      </c>
      <c r="J865" s="29" t="s">
        <v>3173</v>
      </c>
      <c r="K865" s="31">
        <v>5</v>
      </c>
      <c r="L865" s="29" t="s">
        <v>21</v>
      </c>
      <c r="M865" s="29" t="s">
        <v>29</v>
      </c>
      <c r="N865" s="31">
        <v>14.06</v>
      </c>
    </row>
    <row r="866" ht="29.75" spans="1:14">
      <c r="A866" s="29" t="s">
        <v>3174</v>
      </c>
      <c r="B866" s="30">
        <v>45049</v>
      </c>
      <c r="C866" s="29" t="s">
        <v>3175</v>
      </c>
      <c r="D866" s="29" t="s">
        <v>73</v>
      </c>
      <c r="E866" s="31">
        <v>1</v>
      </c>
      <c r="F866" s="31">
        <v>491.11</v>
      </c>
      <c r="G866" s="29" t="s">
        <v>3176</v>
      </c>
      <c r="H866" s="29" t="s">
        <v>34</v>
      </c>
      <c r="I866" s="29" t="s">
        <v>50</v>
      </c>
      <c r="J866" s="29" t="s">
        <v>3177</v>
      </c>
      <c r="K866" s="31">
        <v>4</v>
      </c>
      <c r="L866" s="29" t="s">
        <v>21</v>
      </c>
      <c r="M866" s="29" t="s">
        <v>45</v>
      </c>
      <c r="N866" s="31">
        <v>491.11</v>
      </c>
    </row>
    <row r="867" ht="29.75" spans="1:14">
      <c r="A867" s="29" t="s">
        <v>3178</v>
      </c>
      <c r="B867" s="30">
        <v>45046</v>
      </c>
      <c r="C867" s="29" t="s">
        <v>3179</v>
      </c>
      <c r="D867" s="29" t="s">
        <v>16</v>
      </c>
      <c r="E867" s="31">
        <v>4</v>
      </c>
      <c r="F867" s="31">
        <v>677.37</v>
      </c>
      <c r="G867" s="29" t="s">
        <v>3180</v>
      </c>
      <c r="H867" s="29" t="s">
        <v>65</v>
      </c>
      <c r="I867" s="29" t="s">
        <v>89</v>
      </c>
      <c r="J867" s="29" t="s">
        <v>3181</v>
      </c>
      <c r="K867" s="31">
        <v>8</v>
      </c>
      <c r="L867" s="29" t="s">
        <v>21</v>
      </c>
      <c r="M867" s="29" t="s">
        <v>76</v>
      </c>
      <c r="N867" s="31">
        <v>2709.48</v>
      </c>
    </row>
    <row r="868" ht="29.75" spans="1:14">
      <c r="A868" s="29" t="s">
        <v>3182</v>
      </c>
      <c r="B868" s="30">
        <v>45499</v>
      </c>
      <c r="C868" s="29" t="s">
        <v>3183</v>
      </c>
      <c r="D868" s="29" t="s">
        <v>73</v>
      </c>
      <c r="E868" s="31">
        <v>5</v>
      </c>
      <c r="F868" s="31">
        <v>189.25</v>
      </c>
      <c r="G868" s="29" t="s">
        <v>3184</v>
      </c>
      <c r="H868" s="29" t="s">
        <v>18</v>
      </c>
      <c r="I868" s="29" t="s">
        <v>35</v>
      </c>
      <c r="J868" s="29" t="s">
        <v>3185</v>
      </c>
      <c r="K868" s="31">
        <v>10</v>
      </c>
      <c r="L868" s="29" t="s">
        <v>81</v>
      </c>
      <c r="M868" s="29" t="s">
        <v>38</v>
      </c>
      <c r="N868" s="31">
        <v>946.25</v>
      </c>
    </row>
    <row r="869" ht="29.75" spans="1:14">
      <c r="A869" s="29" t="s">
        <v>3186</v>
      </c>
      <c r="B869" s="30">
        <v>45438</v>
      </c>
      <c r="C869" s="29" t="s">
        <v>3187</v>
      </c>
      <c r="D869" s="29" t="s">
        <v>48</v>
      </c>
      <c r="E869" s="31">
        <v>4</v>
      </c>
      <c r="F869" s="31">
        <v>142.58</v>
      </c>
      <c r="G869" s="29" t="s">
        <v>3188</v>
      </c>
      <c r="H869" s="29" t="s">
        <v>65</v>
      </c>
      <c r="I869" s="29" t="s">
        <v>50</v>
      </c>
      <c r="J869" s="29" t="s">
        <v>3189</v>
      </c>
      <c r="K869" s="31">
        <v>4</v>
      </c>
      <c r="L869" s="29" t="s">
        <v>37</v>
      </c>
      <c r="M869" s="29" t="s">
        <v>45</v>
      </c>
      <c r="N869" s="31">
        <v>570.32</v>
      </c>
    </row>
    <row r="870" ht="29.75" spans="1:14">
      <c r="A870" s="29" t="s">
        <v>3190</v>
      </c>
      <c r="B870" s="30">
        <v>45472</v>
      </c>
      <c r="C870" s="29" t="s">
        <v>3191</v>
      </c>
      <c r="D870" s="29" t="s">
        <v>16</v>
      </c>
      <c r="E870" s="31">
        <v>4</v>
      </c>
      <c r="F870" s="31">
        <v>316.32</v>
      </c>
      <c r="G870" s="29" t="s">
        <v>3192</v>
      </c>
      <c r="H870" s="29" t="s">
        <v>18</v>
      </c>
      <c r="I870" s="29" t="s">
        <v>50</v>
      </c>
      <c r="J870" s="29" t="s">
        <v>3193</v>
      </c>
      <c r="K870" s="31">
        <v>7</v>
      </c>
      <c r="L870" s="29"/>
      <c r="M870" s="29" t="s">
        <v>45</v>
      </c>
      <c r="N870" s="31">
        <v>1265.28</v>
      </c>
    </row>
    <row r="871" ht="29.75" spans="1:14">
      <c r="A871" s="29" t="s">
        <v>3194</v>
      </c>
      <c r="B871" s="30">
        <v>45368</v>
      </c>
      <c r="C871" s="29" t="s">
        <v>3195</v>
      </c>
      <c r="D871" s="29" t="s">
        <v>73</v>
      </c>
      <c r="E871" s="31">
        <v>2</v>
      </c>
      <c r="F871" s="31">
        <v>533.95</v>
      </c>
      <c r="G871" s="29" t="s">
        <v>719</v>
      </c>
      <c r="H871" s="29" t="s">
        <v>27</v>
      </c>
      <c r="I871" s="29" t="s">
        <v>50</v>
      </c>
      <c r="J871" s="29" t="s">
        <v>3196</v>
      </c>
      <c r="K871" s="31">
        <v>5</v>
      </c>
      <c r="L871" s="29" t="s">
        <v>81</v>
      </c>
      <c r="M871" s="29" t="s">
        <v>76</v>
      </c>
      <c r="N871" s="31">
        <v>1067.9</v>
      </c>
    </row>
    <row r="872" ht="29.75" spans="1:14">
      <c r="A872" s="29" t="s">
        <v>3197</v>
      </c>
      <c r="B872" s="30">
        <v>45809</v>
      </c>
      <c r="C872" s="29" t="s">
        <v>3198</v>
      </c>
      <c r="D872" s="29" t="s">
        <v>25</v>
      </c>
      <c r="E872" s="31">
        <v>4</v>
      </c>
      <c r="F872" s="31">
        <v>470.09</v>
      </c>
      <c r="G872" s="29" t="s">
        <v>3199</v>
      </c>
      <c r="H872" s="29" t="s">
        <v>18</v>
      </c>
      <c r="I872" s="29" t="s">
        <v>50</v>
      </c>
      <c r="J872" s="29" t="s">
        <v>3200</v>
      </c>
      <c r="K872" s="31">
        <v>4</v>
      </c>
      <c r="L872" s="29" t="s">
        <v>37</v>
      </c>
      <c r="M872" s="29" t="s">
        <v>76</v>
      </c>
      <c r="N872" s="31">
        <v>1880.36</v>
      </c>
    </row>
    <row r="873" ht="29.75" spans="1:14">
      <c r="A873" s="29" t="s">
        <v>3201</v>
      </c>
      <c r="B873" s="30">
        <v>45428</v>
      </c>
      <c r="C873" s="29" t="s">
        <v>3202</v>
      </c>
      <c r="D873" s="29" t="s">
        <v>32</v>
      </c>
      <c r="E873" s="31">
        <v>3</v>
      </c>
      <c r="F873" s="31">
        <v>324.3</v>
      </c>
      <c r="G873" s="29" t="s">
        <v>3203</v>
      </c>
      <c r="H873" s="29" t="s">
        <v>18</v>
      </c>
      <c r="I873" s="29" t="s">
        <v>89</v>
      </c>
      <c r="J873" s="29" t="s">
        <v>3204</v>
      </c>
      <c r="K873" s="31">
        <v>8</v>
      </c>
      <c r="L873" s="29" t="s">
        <v>37</v>
      </c>
      <c r="M873" s="29" t="s">
        <v>38</v>
      </c>
      <c r="N873" s="31">
        <v>972.9</v>
      </c>
    </row>
    <row r="874" ht="29.75" spans="1:14">
      <c r="A874" s="29" t="s">
        <v>3205</v>
      </c>
      <c r="B874" s="30">
        <v>45117</v>
      </c>
      <c r="C874" s="29" t="s">
        <v>3206</v>
      </c>
      <c r="D874" s="29" t="s">
        <v>41</v>
      </c>
      <c r="E874" s="31">
        <v>4</v>
      </c>
      <c r="F874" s="31">
        <v>629.34</v>
      </c>
      <c r="G874" s="29" t="s">
        <v>830</v>
      </c>
      <c r="H874" s="29" t="s">
        <v>65</v>
      </c>
      <c r="I874" s="29" t="s">
        <v>19</v>
      </c>
      <c r="J874" s="29" t="s">
        <v>3207</v>
      </c>
      <c r="K874" s="31">
        <v>7</v>
      </c>
      <c r="L874" s="29"/>
      <c r="M874" s="29" t="s">
        <v>38</v>
      </c>
      <c r="N874" s="31">
        <v>2517.36</v>
      </c>
    </row>
    <row r="875" ht="29.75" spans="1:14">
      <c r="A875" s="29" t="s">
        <v>3208</v>
      </c>
      <c r="B875" s="30">
        <v>45424</v>
      </c>
      <c r="C875" s="29" t="s">
        <v>3209</v>
      </c>
      <c r="D875" s="29" t="s">
        <v>73</v>
      </c>
      <c r="E875" s="31">
        <v>3</v>
      </c>
      <c r="F875" s="31">
        <v>136.84</v>
      </c>
      <c r="G875" s="29" t="s">
        <v>3210</v>
      </c>
      <c r="H875" s="29" t="s">
        <v>65</v>
      </c>
      <c r="I875" s="29" t="s">
        <v>50</v>
      </c>
      <c r="J875" s="29" t="s">
        <v>3211</v>
      </c>
      <c r="K875" s="31">
        <v>3</v>
      </c>
      <c r="L875" s="29" t="s">
        <v>21</v>
      </c>
      <c r="M875" s="29" t="s">
        <v>45</v>
      </c>
      <c r="N875" s="31">
        <v>410.52</v>
      </c>
    </row>
    <row r="876" ht="29.75" spans="1:14">
      <c r="A876" s="29" t="s">
        <v>3212</v>
      </c>
      <c r="B876" s="30">
        <v>45230</v>
      </c>
      <c r="C876" s="29" t="s">
        <v>3213</v>
      </c>
      <c r="D876" s="29" t="s">
        <v>41</v>
      </c>
      <c r="E876" s="31">
        <v>2</v>
      </c>
      <c r="F876" s="31">
        <v>488.9</v>
      </c>
      <c r="G876" s="29" t="s">
        <v>2648</v>
      </c>
      <c r="H876" s="29" t="s">
        <v>65</v>
      </c>
      <c r="I876" s="29" t="s">
        <v>50</v>
      </c>
      <c r="J876" s="29" t="s">
        <v>3214</v>
      </c>
      <c r="K876" s="31">
        <v>7</v>
      </c>
      <c r="L876" s="29" t="s">
        <v>37</v>
      </c>
      <c r="M876" s="29" t="s">
        <v>45</v>
      </c>
      <c r="N876" s="31">
        <v>977.8</v>
      </c>
    </row>
    <row r="877" ht="29.75" spans="1:14">
      <c r="A877" s="29" t="s">
        <v>3215</v>
      </c>
      <c r="B877" s="30">
        <v>45141</v>
      </c>
      <c r="C877" s="29" t="s">
        <v>3216</v>
      </c>
      <c r="D877" s="29" t="s">
        <v>58</v>
      </c>
      <c r="E877" s="31">
        <v>5</v>
      </c>
      <c r="F877" s="31">
        <v>133.39</v>
      </c>
      <c r="G877" s="29" t="s">
        <v>403</v>
      </c>
      <c r="H877" s="29" t="s">
        <v>34</v>
      </c>
      <c r="I877" s="29" t="s">
        <v>50</v>
      </c>
      <c r="J877" s="29" t="s">
        <v>3217</v>
      </c>
      <c r="K877" s="31">
        <v>6</v>
      </c>
      <c r="L877" s="29" t="s">
        <v>37</v>
      </c>
      <c r="M877" s="29" t="s">
        <v>29</v>
      </c>
      <c r="N877" s="31">
        <v>666.95</v>
      </c>
    </row>
    <row r="878" ht="29.75" spans="1:14">
      <c r="A878" s="29" t="s">
        <v>3218</v>
      </c>
      <c r="B878" s="30">
        <v>45452</v>
      </c>
      <c r="C878" s="29" t="s">
        <v>3219</v>
      </c>
      <c r="D878" s="29" t="s">
        <v>41</v>
      </c>
      <c r="E878" s="31">
        <v>5</v>
      </c>
      <c r="F878" s="31">
        <v>608.91</v>
      </c>
      <c r="G878" s="29" t="s">
        <v>2760</v>
      </c>
      <c r="H878" s="29" t="s">
        <v>60</v>
      </c>
      <c r="I878" s="29" t="s">
        <v>89</v>
      </c>
      <c r="J878" s="29" t="s">
        <v>3220</v>
      </c>
      <c r="K878" s="31">
        <v>6</v>
      </c>
      <c r="L878" s="29" t="s">
        <v>21</v>
      </c>
      <c r="M878" s="29" t="s">
        <v>76</v>
      </c>
      <c r="N878" s="31">
        <v>3044.55</v>
      </c>
    </row>
    <row r="879" ht="29.75" spans="1:14">
      <c r="A879" s="29" t="s">
        <v>3221</v>
      </c>
      <c r="B879" s="30">
        <v>45498</v>
      </c>
      <c r="C879" s="29" t="s">
        <v>3222</v>
      </c>
      <c r="D879" s="29" t="s">
        <v>32</v>
      </c>
      <c r="E879" s="31">
        <v>1</v>
      </c>
      <c r="F879" s="31">
        <v>524.06</v>
      </c>
      <c r="G879" s="29" t="s">
        <v>2346</v>
      </c>
      <c r="H879" s="29" t="s">
        <v>18</v>
      </c>
      <c r="I879" s="29" t="s">
        <v>89</v>
      </c>
      <c r="J879" s="29" t="s">
        <v>3223</v>
      </c>
      <c r="K879" s="31">
        <v>3</v>
      </c>
      <c r="L879" s="29" t="s">
        <v>37</v>
      </c>
      <c r="M879" s="29" t="s">
        <v>38</v>
      </c>
      <c r="N879" s="31">
        <v>524.06</v>
      </c>
    </row>
    <row r="880" ht="29.75" spans="1:14">
      <c r="A880" s="29" t="s">
        <v>3224</v>
      </c>
      <c r="B880" s="30">
        <v>45078</v>
      </c>
      <c r="C880" s="29" t="s">
        <v>3225</v>
      </c>
      <c r="D880" s="29" t="s">
        <v>73</v>
      </c>
      <c r="E880" s="31">
        <v>2</v>
      </c>
      <c r="F880" s="31">
        <v>330.69</v>
      </c>
      <c r="G880" s="29" t="s">
        <v>3226</v>
      </c>
      <c r="H880" s="29" t="s">
        <v>27</v>
      </c>
      <c r="I880" s="29" t="s">
        <v>35</v>
      </c>
      <c r="J880" s="29" t="s">
        <v>3227</v>
      </c>
      <c r="K880" s="31">
        <v>5</v>
      </c>
      <c r="L880" s="29" t="s">
        <v>21</v>
      </c>
      <c r="M880" s="29" t="s">
        <v>76</v>
      </c>
      <c r="N880" s="31">
        <v>661.38</v>
      </c>
    </row>
    <row r="881" ht="29.75" spans="1:14">
      <c r="A881" s="29" t="s">
        <v>3228</v>
      </c>
      <c r="B881" s="30">
        <v>45755</v>
      </c>
      <c r="C881" s="29" t="s">
        <v>3229</v>
      </c>
      <c r="D881" s="29" t="s">
        <v>25</v>
      </c>
      <c r="E881" s="31">
        <v>2</v>
      </c>
      <c r="F881" s="31">
        <v>547.67</v>
      </c>
      <c r="G881" s="29" t="s">
        <v>2116</v>
      </c>
      <c r="H881" s="29" t="s">
        <v>60</v>
      </c>
      <c r="I881" s="29" t="s">
        <v>19</v>
      </c>
      <c r="J881" s="29" t="s">
        <v>3230</v>
      </c>
      <c r="K881" s="31">
        <v>3</v>
      </c>
      <c r="L881" s="29"/>
      <c r="M881" s="29" t="s">
        <v>22</v>
      </c>
      <c r="N881" s="31">
        <v>1095.34</v>
      </c>
    </row>
    <row r="882" ht="29.75" spans="1:14">
      <c r="A882" s="29" t="s">
        <v>3231</v>
      </c>
      <c r="B882" s="30">
        <v>45728</v>
      </c>
      <c r="C882" s="29" t="s">
        <v>3232</v>
      </c>
      <c r="D882" s="29" t="s">
        <v>58</v>
      </c>
      <c r="E882" s="31">
        <v>4</v>
      </c>
      <c r="F882" s="31">
        <v>233.7</v>
      </c>
      <c r="G882" s="29" t="s">
        <v>980</v>
      </c>
      <c r="H882" s="29" t="s">
        <v>27</v>
      </c>
      <c r="I882" s="29" t="s">
        <v>19</v>
      </c>
      <c r="J882" s="29" t="s">
        <v>3233</v>
      </c>
      <c r="K882" s="31">
        <v>8</v>
      </c>
      <c r="L882" s="29" t="s">
        <v>21</v>
      </c>
      <c r="M882" s="29" t="s">
        <v>45</v>
      </c>
      <c r="N882" s="31">
        <v>934.8</v>
      </c>
    </row>
    <row r="883" ht="29.75" spans="1:14">
      <c r="A883" s="29" t="s">
        <v>3234</v>
      </c>
      <c r="B883" s="30">
        <v>44929</v>
      </c>
      <c r="C883" s="29" t="s">
        <v>3235</v>
      </c>
      <c r="D883" s="29" t="s">
        <v>32</v>
      </c>
      <c r="E883" s="31">
        <v>2</v>
      </c>
      <c r="F883" s="31">
        <v>448.85</v>
      </c>
      <c r="G883" s="29" t="s">
        <v>3236</v>
      </c>
      <c r="H883" s="29" t="s">
        <v>34</v>
      </c>
      <c r="I883" s="29" t="s">
        <v>89</v>
      </c>
      <c r="J883" s="29" t="s">
        <v>3237</v>
      </c>
      <c r="K883" s="31">
        <v>6</v>
      </c>
      <c r="L883" s="29"/>
      <c r="M883" s="29" t="s">
        <v>22</v>
      </c>
      <c r="N883" s="31">
        <v>897.7</v>
      </c>
    </row>
    <row r="884" ht="29.75" spans="1:14">
      <c r="A884" s="29" t="s">
        <v>3238</v>
      </c>
      <c r="B884" s="30">
        <v>45836</v>
      </c>
      <c r="C884" s="29" t="s">
        <v>3239</v>
      </c>
      <c r="D884" s="29" t="s">
        <v>25</v>
      </c>
      <c r="E884" s="31">
        <v>2</v>
      </c>
      <c r="F884" s="31">
        <v>274.12</v>
      </c>
      <c r="G884" s="29" t="s">
        <v>426</v>
      </c>
      <c r="H884" s="29" t="s">
        <v>65</v>
      </c>
      <c r="I884" s="29" t="s">
        <v>50</v>
      </c>
      <c r="J884" s="29" t="s">
        <v>3240</v>
      </c>
      <c r="K884" s="31">
        <v>6</v>
      </c>
      <c r="L884" s="29" t="s">
        <v>37</v>
      </c>
      <c r="M884" s="29" t="s">
        <v>29</v>
      </c>
      <c r="N884" s="31">
        <v>548.24</v>
      </c>
    </row>
    <row r="885" ht="29.75" spans="1:14">
      <c r="A885" s="29" t="s">
        <v>3241</v>
      </c>
      <c r="B885" s="30">
        <v>45790</v>
      </c>
      <c r="C885" s="29" t="s">
        <v>3242</v>
      </c>
      <c r="D885" s="29" t="s">
        <v>48</v>
      </c>
      <c r="E885" s="31">
        <v>5</v>
      </c>
      <c r="F885" s="31">
        <v>561.48</v>
      </c>
      <c r="G885" s="29" t="s">
        <v>3243</v>
      </c>
      <c r="H885" s="29" t="s">
        <v>27</v>
      </c>
      <c r="I885" s="29" t="s">
        <v>50</v>
      </c>
      <c r="J885" s="29" t="s">
        <v>3244</v>
      </c>
      <c r="K885" s="31">
        <v>9</v>
      </c>
      <c r="L885" s="29" t="s">
        <v>37</v>
      </c>
      <c r="M885" s="29" t="s">
        <v>45</v>
      </c>
      <c r="N885" s="31">
        <v>2807.4</v>
      </c>
    </row>
    <row r="886" ht="29.75" spans="1:14">
      <c r="A886" s="29" t="s">
        <v>3245</v>
      </c>
      <c r="B886" s="30">
        <v>45427</v>
      </c>
      <c r="C886" s="29" t="s">
        <v>3246</v>
      </c>
      <c r="D886" s="29" t="s">
        <v>41</v>
      </c>
      <c r="E886" s="31">
        <v>1</v>
      </c>
      <c r="F886" s="31">
        <v>595.54</v>
      </c>
      <c r="G886" s="29" t="s">
        <v>3247</v>
      </c>
      <c r="H886" s="29" t="s">
        <v>60</v>
      </c>
      <c r="I886" s="29" t="s">
        <v>19</v>
      </c>
      <c r="J886" s="29" t="s">
        <v>3248</v>
      </c>
      <c r="K886" s="31">
        <v>4</v>
      </c>
      <c r="L886" s="29"/>
      <c r="M886" s="29" t="s">
        <v>22</v>
      </c>
      <c r="N886" s="31">
        <v>595.54</v>
      </c>
    </row>
    <row r="887" ht="29.75" spans="1:14">
      <c r="A887" s="29" t="s">
        <v>3249</v>
      </c>
      <c r="B887" s="30">
        <v>45389</v>
      </c>
      <c r="C887" s="29" t="s">
        <v>3250</v>
      </c>
      <c r="D887" s="29" t="s">
        <v>58</v>
      </c>
      <c r="E887" s="31">
        <v>4</v>
      </c>
      <c r="F887" s="31">
        <v>515.59</v>
      </c>
      <c r="G887" s="29" t="s">
        <v>3251</v>
      </c>
      <c r="H887" s="29" t="s">
        <v>34</v>
      </c>
      <c r="I887" s="29" t="s">
        <v>19</v>
      </c>
      <c r="J887" s="29" t="s">
        <v>3252</v>
      </c>
      <c r="K887" s="31">
        <v>7</v>
      </c>
      <c r="L887" s="29" t="s">
        <v>37</v>
      </c>
      <c r="M887" s="29" t="s">
        <v>76</v>
      </c>
      <c r="N887" s="31">
        <v>2062.36</v>
      </c>
    </row>
    <row r="888" ht="29.75" spans="1:14">
      <c r="A888" s="29" t="s">
        <v>3253</v>
      </c>
      <c r="B888" s="30">
        <v>45224</v>
      </c>
      <c r="C888" s="29" t="s">
        <v>3254</v>
      </c>
      <c r="D888" s="29" t="s">
        <v>25</v>
      </c>
      <c r="E888" s="31">
        <v>1</v>
      </c>
      <c r="F888" s="31">
        <v>460.13</v>
      </c>
      <c r="G888" s="29" t="s">
        <v>3255</v>
      </c>
      <c r="H888" s="29" t="s">
        <v>34</v>
      </c>
      <c r="I888" s="29" t="s">
        <v>43</v>
      </c>
      <c r="J888" s="29" t="s">
        <v>3256</v>
      </c>
      <c r="K888" s="31">
        <v>1</v>
      </c>
      <c r="L888" s="29"/>
      <c r="M888" s="29" t="s">
        <v>76</v>
      </c>
      <c r="N888" s="31">
        <v>460.13</v>
      </c>
    </row>
    <row r="889" ht="29.75" spans="1:14">
      <c r="A889" s="29" t="s">
        <v>3257</v>
      </c>
      <c r="B889" s="30">
        <v>45645</v>
      </c>
      <c r="C889" s="29" t="s">
        <v>3258</v>
      </c>
      <c r="D889" s="29" t="s">
        <v>41</v>
      </c>
      <c r="E889" s="31">
        <v>3</v>
      </c>
      <c r="F889" s="31">
        <v>171.66</v>
      </c>
      <c r="G889" s="29" t="s">
        <v>3259</v>
      </c>
      <c r="H889" s="29" t="s">
        <v>18</v>
      </c>
      <c r="I889" s="29" t="s">
        <v>50</v>
      </c>
      <c r="J889" s="29" t="s">
        <v>3260</v>
      </c>
      <c r="K889" s="31">
        <v>7</v>
      </c>
      <c r="L889" s="29"/>
      <c r="M889" s="29" t="s">
        <v>76</v>
      </c>
      <c r="N889" s="31">
        <v>514.98</v>
      </c>
    </row>
    <row r="890" ht="29.75" spans="1:14">
      <c r="A890" s="29" t="s">
        <v>3261</v>
      </c>
      <c r="B890" s="30">
        <v>45496</v>
      </c>
      <c r="C890" s="29" t="s">
        <v>3262</v>
      </c>
      <c r="D890" s="29" t="s">
        <v>58</v>
      </c>
      <c r="E890" s="31">
        <v>2</v>
      </c>
      <c r="F890" s="31">
        <v>266.95</v>
      </c>
      <c r="G890" s="29" t="s">
        <v>3263</v>
      </c>
      <c r="H890" s="29" t="s">
        <v>34</v>
      </c>
      <c r="I890" s="29" t="s">
        <v>89</v>
      </c>
      <c r="J890" s="29" t="s">
        <v>3264</v>
      </c>
      <c r="K890" s="31">
        <v>3</v>
      </c>
      <c r="L890" s="29"/>
      <c r="M890" s="29" t="s">
        <v>22</v>
      </c>
      <c r="N890" s="31">
        <v>533.9</v>
      </c>
    </row>
    <row r="891" ht="29.75" spans="1:14">
      <c r="A891" s="29" t="s">
        <v>3265</v>
      </c>
      <c r="B891" s="30">
        <v>45592</v>
      </c>
      <c r="C891" s="29" t="s">
        <v>3266</v>
      </c>
      <c r="D891" s="29" t="s">
        <v>16</v>
      </c>
      <c r="E891" s="31">
        <v>5</v>
      </c>
      <c r="F891" s="31">
        <v>650.72</v>
      </c>
      <c r="G891" s="29" t="s">
        <v>3267</v>
      </c>
      <c r="H891" s="29" t="s">
        <v>34</v>
      </c>
      <c r="I891" s="29" t="s">
        <v>35</v>
      </c>
      <c r="J891" s="29" t="s">
        <v>3268</v>
      </c>
      <c r="K891" s="31">
        <v>8</v>
      </c>
      <c r="L891" s="29" t="s">
        <v>81</v>
      </c>
      <c r="M891" s="29" t="s">
        <v>38</v>
      </c>
      <c r="N891" s="31">
        <v>3253.6</v>
      </c>
    </row>
    <row r="892" ht="29.75" spans="1:14">
      <c r="A892" s="29" t="s">
        <v>3269</v>
      </c>
      <c r="B892" s="30">
        <v>45149</v>
      </c>
      <c r="C892" s="29" t="s">
        <v>3270</v>
      </c>
      <c r="D892" s="29" t="s">
        <v>58</v>
      </c>
      <c r="E892" s="31">
        <v>3</v>
      </c>
      <c r="F892" s="31">
        <v>439.53</v>
      </c>
      <c r="G892" s="29" t="s">
        <v>1849</v>
      </c>
      <c r="H892" s="29" t="s">
        <v>18</v>
      </c>
      <c r="I892" s="29" t="s">
        <v>89</v>
      </c>
      <c r="J892" s="29" t="s">
        <v>3271</v>
      </c>
      <c r="K892" s="31">
        <v>5</v>
      </c>
      <c r="L892" s="29"/>
      <c r="M892" s="29" t="s">
        <v>76</v>
      </c>
      <c r="N892" s="31">
        <v>1318.59</v>
      </c>
    </row>
    <row r="893" ht="29.75" spans="1:14">
      <c r="A893" s="29" t="s">
        <v>3272</v>
      </c>
      <c r="B893" s="30">
        <v>45241</v>
      </c>
      <c r="C893" s="29" t="s">
        <v>3273</v>
      </c>
      <c r="D893" s="29" t="s">
        <v>16</v>
      </c>
      <c r="E893" s="31">
        <v>3</v>
      </c>
      <c r="F893" s="31">
        <v>654.54</v>
      </c>
      <c r="G893" s="29" t="s">
        <v>3274</v>
      </c>
      <c r="H893" s="29" t="s">
        <v>65</v>
      </c>
      <c r="I893" s="29" t="s">
        <v>43</v>
      </c>
      <c r="J893" s="29" t="s">
        <v>3275</v>
      </c>
      <c r="K893" s="31">
        <v>7</v>
      </c>
      <c r="L893" s="29" t="s">
        <v>21</v>
      </c>
      <c r="M893" s="29" t="s">
        <v>29</v>
      </c>
      <c r="N893" s="31">
        <v>1963.62</v>
      </c>
    </row>
    <row r="894" ht="29.75" spans="1:14">
      <c r="A894" s="29" t="s">
        <v>3276</v>
      </c>
      <c r="B894" s="30">
        <v>45447</v>
      </c>
      <c r="C894" s="29" t="s">
        <v>3277</v>
      </c>
      <c r="D894" s="29" t="s">
        <v>73</v>
      </c>
      <c r="E894" s="31">
        <v>1</v>
      </c>
      <c r="F894" s="31">
        <v>394.53</v>
      </c>
      <c r="G894" s="29" t="s">
        <v>3278</v>
      </c>
      <c r="H894" s="29" t="s">
        <v>65</v>
      </c>
      <c r="I894" s="29" t="s">
        <v>19</v>
      </c>
      <c r="J894" s="29" t="s">
        <v>3279</v>
      </c>
      <c r="K894" s="31">
        <v>2</v>
      </c>
      <c r="L894" s="29" t="s">
        <v>37</v>
      </c>
      <c r="M894" s="29" t="s">
        <v>29</v>
      </c>
      <c r="N894" s="31">
        <v>394.53</v>
      </c>
    </row>
    <row r="895" ht="29.75" spans="1:14">
      <c r="A895" s="29" t="s">
        <v>3280</v>
      </c>
      <c r="B895" s="30">
        <v>45006</v>
      </c>
      <c r="C895" s="29" t="s">
        <v>3281</v>
      </c>
      <c r="D895" s="29" t="s">
        <v>16</v>
      </c>
      <c r="E895" s="31">
        <v>1</v>
      </c>
      <c r="F895" s="31">
        <v>678.01</v>
      </c>
      <c r="G895" s="29" t="s">
        <v>1945</v>
      </c>
      <c r="H895" s="29" t="s">
        <v>65</v>
      </c>
      <c r="I895" s="29" t="s">
        <v>89</v>
      </c>
      <c r="J895" s="29" t="s">
        <v>3282</v>
      </c>
      <c r="K895" s="31">
        <v>4</v>
      </c>
      <c r="L895" s="29" t="s">
        <v>37</v>
      </c>
      <c r="M895" s="29" t="s">
        <v>29</v>
      </c>
      <c r="N895" s="31">
        <v>678.01</v>
      </c>
    </row>
    <row r="896" ht="29.75" spans="1:14">
      <c r="A896" s="29" t="s">
        <v>3283</v>
      </c>
      <c r="B896" s="30">
        <v>45069</v>
      </c>
      <c r="C896" s="29" t="s">
        <v>3284</v>
      </c>
      <c r="D896" s="29" t="s">
        <v>32</v>
      </c>
      <c r="E896" s="31">
        <v>3</v>
      </c>
      <c r="F896" s="31">
        <v>575.01</v>
      </c>
      <c r="G896" s="29" t="s">
        <v>2062</v>
      </c>
      <c r="H896" s="29" t="s">
        <v>27</v>
      </c>
      <c r="I896" s="29" t="s">
        <v>35</v>
      </c>
      <c r="J896" s="29" t="s">
        <v>3285</v>
      </c>
      <c r="K896" s="31">
        <v>8</v>
      </c>
      <c r="L896" s="29" t="s">
        <v>81</v>
      </c>
      <c r="M896" s="29" t="s">
        <v>22</v>
      </c>
      <c r="N896" s="31">
        <v>1725.03</v>
      </c>
    </row>
    <row r="897" ht="29.75" spans="1:14">
      <c r="A897" s="29" t="s">
        <v>3286</v>
      </c>
      <c r="B897" s="30">
        <v>45239</v>
      </c>
      <c r="C897" s="29" t="s">
        <v>3287</v>
      </c>
      <c r="D897" s="29" t="s">
        <v>41</v>
      </c>
      <c r="E897" s="31">
        <v>3</v>
      </c>
      <c r="F897" s="31">
        <v>154.64</v>
      </c>
      <c r="G897" s="29" t="s">
        <v>3288</v>
      </c>
      <c r="H897" s="29" t="s">
        <v>18</v>
      </c>
      <c r="I897" s="29" t="s">
        <v>89</v>
      </c>
      <c r="J897" s="29" t="s">
        <v>3289</v>
      </c>
      <c r="K897" s="31">
        <v>6</v>
      </c>
      <c r="L897" s="29" t="s">
        <v>81</v>
      </c>
      <c r="M897" s="29" t="s">
        <v>45</v>
      </c>
      <c r="N897" s="31">
        <v>463.92</v>
      </c>
    </row>
    <row r="898" ht="29.75" spans="1:14">
      <c r="A898" s="29" t="s">
        <v>3290</v>
      </c>
      <c r="B898" s="30">
        <v>45583</v>
      </c>
      <c r="C898" s="29" t="s">
        <v>3291</v>
      </c>
      <c r="D898" s="29" t="s">
        <v>73</v>
      </c>
      <c r="E898" s="31">
        <v>3</v>
      </c>
      <c r="F898" s="31">
        <v>147.29</v>
      </c>
      <c r="G898" s="29" t="s">
        <v>74</v>
      </c>
      <c r="H898" s="29" t="s">
        <v>60</v>
      </c>
      <c r="I898" s="29" t="s">
        <v>19</v>
      </c>
      <c r="J898" s="29" t="s">
        <v>3292</v>
      </c>
      <c r="K898" s="31">
        <v>3</v>
      </c>
      <c r="L898" s="29" t="s">
        <v>37</v>
      </c>
      <c r="M898" s="29" t="s">
        <v>76</v>
      </c>
      <c r="N898" s="31">
        <v>441.87</v>
      </c>
    </row>
    <row r="899" ht="29.75" spans="1:14">
      <c r="A899" s="29" t="s">
        <v>3293</v>
      </c>
      <c r="B899" s="30">
        <v>45538</v>
      </c>
      <c r="C899" s="29" t="s">
        <v>3294</v>
      </c>
      <c r="D899" s="29" t="s">
        <v>58</v>
      </c>
      <c r="E899" s="31">
        <v>4</v>
      </c>
      <c r="F899" s="31">
        <v>481.48</v>
      </c>
      <c r="G899" s="29" t="s">
        <v>817</v>
      </c>
      <c r="H899" s="29" t="s">
        <v>60</v>
      </c>
      <c r="I899" s="29" t="s">
        <v>50</v>
      </c>
      <c r="J899" s="29" t="s">
        <v>3295</v>
      </c>
      <c r="K899" s="31">
        <v>5</v>
      </c>
      <c r="L899" s="29" t="s">
        <v>21</v>
      </c>
      <c r="M899" s="29" t="s">
        <v>22</v>
      </c>
      <c r="N899" s="31">
        <v>1925.92</v>
      </c>
    </row>
    <row r="900" ht="29.75" spans="1:14">
      <c r="A900" s="29" t="s">
        <v>3296</v>
      </c>
      <c r="B900" s="30">
        <v>45721</v>
      </c>
      <c r="C900" s="29" t="s">
        <v>3297</v>
      </c>
      <c r="D900" s="29" t="s">
        <v>16</v>
      </c>
      <c r="E900" s="31">
        <v>3</v>
      </c>
      <c r="F900" s="31">
        <v>158.37</v>
      </c>
      <c r="G900" s="29" t="s">
        <v>3100</v>
      </c>
      <c r="H900" s="29" t="s">
        <v>65</v>
      </c>
      <c r="I900" s="29" t="s">
        <v>19</v>
      </c>
      <c r="J900" s="29" t="s">
        <v>3298</v>
      </c>
      <c r="K900" s="31">
        <v>6</v>
      </c>
      <c r="L900" s="29"/>
      <c r="M900" s="29" t="s">
        <v>29</v>
      </c>
      <c r="N900" s="31">
        <v>475.11</v>
      </c>
    </row>
    <row r="901" ht="29.75" spans="1:14">
      <c r="A901" s="29" t="s">
        <v>3299</v>
      </c>
      <c r="B901" s="30">
        <v>45770</v>
      </c>
      <c r="C901" s="29" t="s">
        <v>3300</v>
      </c>
      <c r="D901" s="29" t="s">
        <v>48</v>
      </c>
      <c r="E901" s="31">
        <v>2</v>
      </c>
      <c r="F901" s="31">
        <v>323.37</v>
      </c>
      <c r="G901" s="29" t="s">
        <v>312</v>
      </c>
      <c r="H901" s="29" t="s">
        <v>27</v>
      </c>
      <c r="I901" s="29" t="s">
        <v>89</v>
      </c>
      <c r="J901" s="29" t="s">
        <v>3301</v>
      </c>
      <c r="K901" s="31">
        <v>3</v>
      </c>
      <c r="L901" s="29" t="s">
        <v>21</v>
      </c>
      <c r="M901" s="29" t="s">
        <v>22</v>
      </c>
      <c r="N901" s="31">
        <v>646.74</v>
      </c>
    </row>
    <row r="902" ht="29.75" spans="1:14">
      <c r="A902" s="29" t="s">
        <v>3302</v>
      </c>
      <c r="B902" s="30">
        <v>45695</v>
      </c>
      <c r="C902" s="29" t="s">
        <v>3303</v>
      </c>
      <c r="D902" s="29" t="s">
        <v>58</v>
      </c>
      <c r="E902" s="31">
        <v>5</v>
      </c>
      <c r="F902" s="31">
        <v>73.83</v>
      </c>
      <c r="G902" s="29" t="s">
        <v>1996</v>
      </c>
      <c r="H902" s="29" t="s">
        <v>18</v>
      </c>
      <c r="I902" s="29" t="s">
        <v>89</v>
      </c>
      <c r="J902" s="29" t="s">
        <v>3304</v>
      </c>
      <c r="K902" s="31">
        <v>9</v>
      </c>
      <c r="L902" s="29"/>
      <c r="M902" s="29" t="s">
        <v>22</v>
      </c>
      <c r="N902" s="31">
        <v>369.15</v>
      </c>
    </row>
    <row r="903" ht="29.75" spans="1:14">
      <c r="A903" s="29" t="s">
        <v>3305</v>
      </c>
      <c r="B903" s="30">
        <v>45410</v>
      </c>
      <c r="C903" s="29" t="s">
        <v>3306</v>
      </c>
      <c r="D903" s="29" t="s">
        <v>32</v>
      </c>
      <c r="E903" s="31">
        <v>1</v>
      </c>
      <c r="F903" s="31">
        <v>458.63</v>
      </c>
      <c r="G903" s="29" t="s">
        <v>415</v>
      </c>
      <c r="H903" s="29" t="s">
        <v>18</v>
      </c>
      <c r="I903" s="29" t="s">
        <v>43</v>
      </c>
      <c r="J903" s="29" t="s">
        <v>3307</v>
      </c>
      <c r="K903" s="31">
        <v>4</v>
      </c>
      <c r="L903" s="29" t="s">
        <v>81</v>
      </c>
      <c r="M903" s="29" t="s">
        <v>29</v>
      </c>
      <c r="N903" s="31">
        <v>458.63</v>
      </c>
    </row>
    <row r="904" ht="29.75" spans="1:14">
      <c r="A904" s="29" t="s">
        <v>3308</v>
      </c>
      <c r="B904" s="30">
        <v>45486</v>
      </c>
      <c r="C904" s="29" t="s">
        <v>3309</v>
      </c>
      <c r="D904" s="29" t="s">
        <v>16</v>
      </c>
      <c r="E904" s="31">
        <v>4</v>
      </c>
      <c r="F904" s="31">
        <v>180.25</v>
      </c>
      <c r="G904" s="29" t="s">
        <v>289</v>
      </c>
      <c r="H904" s="29" t="s">
        <v>18</v>
      </c>
      <c r="I904" s="29" t="s">
        <v>35</v>
      </c>
      <c r="J904" s="29" t="s">
        <v>3310</v>
      </c>
      <c r="K904" s="31">
        <v>7</v>
      </c>
      <c r="L904" s="29"/>
      <c r="M904" s="29" t="s">
        <v>45</v>
      </c>
      <c r="N904" s="31">
        <v>721</v>
      </c>
    </row>
    <row r="905" ht="29.75" spans="1:14">
      <c r="A905" s="29" t="s">
        <v>3311</v>
      </c>
      <c r="B905" s="30">
        <v>45063</v>
      </c>
      <c r="C905" s="29" t="s">
        <v>3312</v>
      </c>
      <c r="D905" s="29" t="s">
        <v>16</v>
      </c>
      <c r="E905" s="31">
        <v>3</v>
      </c>
      <c r="F905" s="31">
        <v>473.49</v>
      </c>
      <c r="G905" s="29" t="s">
        <v>2965</v>
      </c>
      <c r="H905" s="29" t="s">
        <v>34</v>
      </c>
      <c r="I905" s="29" t="s">
        <v>89</v>
      </c>
      <c r="J905" s="29" t="s">
        <v>3313</v>
      </c>
      <c r="K905" s="31">
        <v>7</v>
      </c>
      <c r="L905" s="29"/>
      <c r="M905" s="29" t="s">
        <v>38</v>
      </c>
      <c r="N905" s="31">
        <v>1420.47</v>
      </c>
    </row>
    <row r="906" ht="29.75" spans="1:14">
      <c r="A906" s="29" t="s">
        <v>3314</v>
      </c>
      <c r="B906" s="30">
        <v>45693</v>
      </c>
      <c r="C906" s="29" t="s">
        <v>3315</v>
      </c>
      <c r="D906" s="29" t="s">
        <v>16</v>
      </c>
      <c r="E906" s="31">
        <v>4</v>
      </c>
      <c r="F906" s="31">
        <v>237.43</v>
      </c>
      <c r="G906" s="29" t="s">
        <v>1727</v>
      </c>
      <c r="H906" s="29" t="s">
        <v>65</v>
      </c>
      <c r="I906" s="29" t="s">
        <v>35</v>
      </c>
      <c r="J906" s="29" t="s">
        <v>3316</v>
      </c>
      <c r="K906" s="31">
        <v>8</v>
      </c>
      <c r="L906" s="29" t="s">
        <v>81</v>
      </c>
      <c r="M906" s="29" t="s">
        <v>29</v>
      </c>
      <c r="N906" s="31">
        <v>949.72</v>
      </c>
    </row>
    <row r="907" ht="29.75" spans="1:14">
      <c r="A907" s="29" t="s">
        <v>3317</v>
      </c>
      <c r="B907" s="30">
        <v>45253</v>
      </c>
      <c r="C907" s="29" t="s">
        <v>3318</v>
      </c>
      <c r="D907" s="29" t="s">
        <v>58</v>
      </c>
      <c r="E907" s="31">
        <v>1</v>
      </c>
      <c r="F907" s="31">
        <v>442.39</v>
      </c>
      <c r="G907" s="29" t="s">
        <v>1256</v>
      </c>
      <c r="H907" s="29" t="s">
        <v>60</v>
      </c>
      <c r="I907" s="29" t="s">
        <v>89</v>
      </c>
      <c r="J907" s="29" t="s">
        <v>3319</v>
      </c>
      <c r="K907" s="31">
        <v>6</v>
      </c>
      <c r="L907" s="29" t="s">
        <v>37</v>
      </c>
      <c r="M907" s="29" t="s">
        <v>45</v>
      </c>
      <c r="N907" s="31">
        <v>442.39</v>
      </c>
    </row>
    <row r="908" ht="29.75" spans="1:14">
      <c r="A908" s="29" t="s">
        <v>3320</v>
      </c>
      <c r="B908" s="30">
        <v>45538</v>
      </c>
      <c r="C908" s="29" t="s">
        <v>3321</v>
      </c>
      <c r="D908" s="29" t="s">
        <v>16</v>
      </c>
      <c r="E908" s="31">
        <v>1</v>
      </c>
      <c r="F908" s="31">
        <v>62.12</v>
      </c>
      <c r="G908" s="29" t="s">
        <v>3322</v>
      </c>
      <c r="H908" s="29" t="s">
        <v>65</v>
      </c>
      <c r="I908" s="29" t="s">
        <v>43</v>
      </c>
      <c r="J908" s="29" t="s">
        <v>3323</v>
      </c>
      <c r="K908" s="31">
        <v>2</v>
      </c>
      <c r="L908" s="29"/>
      <c r="M908" s="29" t="s">
        <v>38</v>
      </c>
      <c r="N908" s="31">
        <v>62.12</v>
      </c>
    </row>
    <row r="909" ht="29.75" spans="1:14">
      <c r="A909" s="29" t="s">
        <v>3324</v>
      </c>
      <c r="B909" s="30">
        <v>45508</v>
      </c>
      <c r="C909" s="29" t="s">
        <v>3325</v>
      </c>
      <c r="D909" s="29" t="s">
        <v>73</v>
      </c>
      <c r="E909" s="31">
        <v>5</v>
      </c>
      <c r="F909" s="31">
        <v>298.39</v>
      </c>
      <c r="G909" s="29" t="s">
        <v>561</v>
      </c>
      <c r="H909" s="29" t="s">
        <v>60</v>
      </c>
      <c r="I909" s="29" t="s">
        <v>35</v>
      </c>
      <c r="J909" s="29" t="s">
        <v>3326</v>
      </c>
      <c r="K909" s="31">
        <v>7</v>
      </c>
      <c r="L909" s="29" t="s">
        <v>81</v>
      </c>
      <c r="M909" s="29" t="s">
        <v>29</v>
      </c>
      <c r="N909" s="31">
        <v>1491.95</v>
      </c>
    </row>
    <row r="910" ht="29.75" spans="1:14">
      <c r="A910" s="29" t="s">
        <v>3327</v>
      </c>
      <c r="B910" s="30">
        <v>45783</v>
      </c>
      <c r="C910" s="29" t="s">
        <v>3328</v>
      </c>
      <c r="D910" s="29" t="s">
        <v>73</v>
      </c>
      <c r="E910" s="31">
        <v>2</v>
      </c>
      <c r="F910" s="31">
        <v>697.93</v>
      </c>
      <c r="G910" s="29" t="s">
        <v>723</v>
      </c>
      <c r="H910" s="29" t="s">
        <v>34</v>
      </c>
      <c r="I910" s="29" t="s">
        <v>35</v>
      </c>
      <c r="J910" s="29" t="s">
        <v>3329</v>
      </c>
      <c r="K910" s="31">
        <v>2</v>
      </c>
      <c r="L910" s="29" t="s">
        <v>21</v>
      </c>
      <c r="M910" s="29" t="s">
        <v>76</v>
      </c>
      <c r="N910" s="31">
        <v>1395.86</v>
      </c>
    </row>
    <row r="911" ht="29.75" spans="1:14">
      <c r="A911" s="29" t="s">
        <v>3330</v>
      </c>
      <c r="B911" s="30">
        <v>45439</v>
      </c>
      <c r="C911" s="29" t="s">
        <v>3331</v>
      </c>
      <c r="D911" s="29" t="s">
        <v>32</v>
      </c>
      <c r="E911" s="31">
        <v>2</v>
      </c>
      <c r="F911" s="31">
        <v>291.85</v>
      </c>
      <c r="G911" s="29" t="s">
        <v>125</v>
      </c>
      <c r="H911" s="29" t="s">
        <v>65</v>
      </c>
      <c r="I911" s="29" t="s">
        <v>19</v>
      </c>
      <c r="J911" s="29" t="s">
        <v>3332</v>
      </c>
      <c r="K911" s="31">
        <v>5</v>
      </c>
      <c r="L911" s="29" t="s">
        <v>37</v>
      </c>
      <c r="M911" s="29" t="s">
        <v>22</v>
      </c>
      <c r="N911" s="31">
        <v>583.7</v>
      </c>
    </row>
    <row r="912" ht="29.75" spans="1:14">
      <c r="A912" s="29" t="s">
        <v>3333</v>
      </c>
      <c r="B912" s="30">
        <v>45443</v>
      </c>
      <c r="C912" s="29" t="s">
        <v>3334</v>
      </c>
      <c r="D912" s="29" t="s">
        <v>48</v>
      </c>
      <c r="E912" s="31">
        <v>3</v>
      </c>
      <c r="F912" s="31">
        <v>308.98</v>
      </c>
      <c r="G912" s="29" t="s">
        <v>343</v>
      </c>
      <c r="H912" s="29" t="s">
        <v>65</v>
      </c>
      <c r="I912" s="29" t="s">
        <v>50</v>
      </c>
      <c r="J912" s="29" t="s">
        <v>3335</v>
      </c>
      <c r="K912" s="31">
        <v>3</v>
      </c>
      <c r="L912" s="29" t="s">
        <v>21</v>
      </c>
      <c r="M912" s="29" t="s">
        <v>22</v>
      </c>
      <c r="N912" s="31">
        <v>926.94</v>
      </c>
    </row>
    <row r="913" ht="29.75" spans="1:14">
      <c r="A913" s="29" t="s">
        <v>3336</v>
      </c>
      <c r="B913" s="30">
        <v>45517</v>
      </c>
      <c r="C913" s="29" t="s">
        <v>3337</v>
      </c>
      <c r="D913" s="29" t="s">
        <v>73</v>
      </c>
      <c r="E913" s="31">
        <v>5</v>
      </c>
      <c r="F913" s="31">
        <v>396.86</v>
      </c>
      <c r="G913" s="29" t="s">
        <v>502</v>
      </c>
      <c r="H913" s="29" t="s">
        <v>65</v>
      </c>
      <c r="I913" s="29" t="s">
        <v>35</v>
      </c>
      <c r="J913" s="29" t="s">
        <v>3338</v>
      </c>
      <c r="K913" s="31">
        <v>9</v>
      </c>
      <c r="L913" s="29" t="s">
        <v>21</v>
      </c>
      <c r="M913" s="29" t="s">
        <v>22</v>
      </c>
      <c r="N913" s="31">
        <v>1984.3</v>
      </c>
    </row>
    <row r="914" ht="29.75" spans="1:14">
      <c r="A914" s="29" t="s">
        <v>3339</v>
      </c>
      <c r="B914" s="30">
        <v>45313</v>
      </c>
      <c r="C914" s="29" t="s">
        <v>3340</v>
      </c>
      <c r="D914" s="29" t="s">
        <v>73</v>
      </c>
      <c r="E914" s="31">
        <v>2</v>
      </c>
      <c r="F914" s="31">
        <v>139.69</v>
      </c>
      <c r="G914" s="29" t="s">
        <v>387</v>
      </c>
      <c r="H914" s="29" t="s">
        <v>27</v>
      </c>
      <c r="I914" s="29" t="s">
        <v>43</v>
      </c>
      <c r="J914" s="29" t="s">
        <v>3341</v>
      </c>
      <c r="K914" s="31">
        <v>7</v>
      </c>
      <c r="L914" s="29" t="s">
        <v>37</v>
      </c>
      <c r="M914" s="29" t="s">
        <v>38</v>
      </c>
      <c r="N914" s="31">
        <v>279.38</v>
      </c>
    </row>
    <row r="915" ht="29.75" spans="1:14">
      <c r="A915" s="29" t="s">
        <v>3342</v>
      </c>
      <c r="B915" s="30">
        <v>44973</v>
      </c>
      <c r="C915" s="29" t="s">
        <v>3343</v>
      </c>
      <c r="D915" s="29" t="s">
        <v>48</v>
      </c>
      <c r="E915" s="31">
        <v>5</v>
      </c>
      <c r="F915" s="31">
        <v>475.95</v>
      </c>
      <c r="G915" s="29" t="s">
        <v>787</v>
      </c>
      <c r="H915" s="29" t="s">
        <v>34</v>
      </c>
      <c r="I915" s="29" t="s">
        <v>43</v>
      </c>
      <c r="J915" s="29" t="s">
        <v>3344</v>
      </c>
      <c r="K915" s="31">
        <v>8</v>
      </c>
      <c r="L915" s="29" t="s">
        <v>81</v>
      </c>
      <c r="M915" s="29" t="s">
        <v>45</v>
      </c>
      <c r="N915" s="31">
        <v>2379.75</v>
      </c>
    </row>
    <row r="916" ht="29.75" spans="1:14">
      <c r="A916" s="29" t="s">
        <v>3345</v>
      </c>
      <c r="B916" s="30">
        <v>45698</v>
      </c>
      <c r="C916" s="29" t="s">
        <v>3346</v>
      </c>
      <c r="D916" s="29" t="s">
        <v>73</v>
      </c>
      <c r="E916" s="31">
        <v>1</v>
      </c>
      <c r="F916" s="31">
        <v>626.6</v>
      </c>
      <c r="G916" s="29" t="s">
        <v>1693</v>
      </c>
      <c r="H916" s="29" t="s">
        <v>60</v>
      </c>
      <c r="I916" s="29" t="s">
        <v>43</v>
      </c>
      <c r="J916" s="29" t="s">
        <v>3347</v>
      </c>
      <c r="K916" s="31">
        <v>4</v>
      </c>
      <c r="L916" s="29" t="s">
        <v>81</v>
      </c>
      <c r="M916" s="29" t="s">
        <v>45</v>
      </c>
      <c r="N916" s="31">
        <v>626.6</v>
      </c>
    </row>
    <row r="917" ht="29.75" spans="1:14">
      <c r="A917" s="29" t="s">
        <v>3348</v>
      </c>
      <c r="B917" s="30">
        <v>45338</v>
      </c>
      <c r="C917" s="29" t="s">
        <v>3349</v>
      </c>
      <c r="D917" s="29" t="s">
        <v>58</v>
      </c>
      <c r="E917" s="31">
        <v>4</v>
      </c>
      <c r="F917" s="31">
        <v>502.99</v>
      </c>
      <c r="G917" s="29" t="s">
        <v>3350</v>
      </c>
      <c r="H917" s="29" t="s">
        <v>18</v>
      </c>
      <c r="I917" s="29" t="s">
        <v>19</v>
      </c>
      <c r="J917" s="29" t="s">
        <v>3351</v>
      </c>
      <c r="K917" s="31">
        <v>4</v>
      </c>
      <c r="L917" s="29" t="s">
        <v>81</v>
      </c>
      <c r="M917" s="29" t="s">
        <v>29</v>
      </c>
      <c r="N917" s="31">
        <v>2011.96</v>
      </c>
    </row>
    <row r="918" ht="29.75" spans="1:14">
      <c r="A918" s="29" t="s">
        <v>3352</v>
      </c>
      <c r="B918" s="30">
        <v>45464</v>
      </c>
      <c r="C918" s="29" t="s">
        <v>3353</v>
      </c>
      <c r="D918" s="29" t="s">
        <v>48</v>
      </c>
      <c r="E918" s="31">
        <v>5</v>
      </c>
      <c r="F918" s="31">
        <v>578.83</v>
      </c>
      <c r="G918" s="29" t="s">
        <v>2845</v>
      </c>
      <c r="H918" s="29" t="s">
        <v>65</v>
      </c>
      <c r="I918" s="29" t="s">
        <v>43</v>
      </c>
      <c r="J918" s="29" t="s">
        <v>3354</v>
      </c>
      <c r="K918" s="31">
        <v>6</v>
      </c>
      <c r="L918" s="29"/>
      <c r="M918" s="29" t="s">
        <v>29</v>
      </c>
      <c r="N918" s="31">
        <v>2894.15</v>
      </c>
    </row>
    <row r="919" ht="29.75" spans="1:14">
      <c r="A919" s="29" t="s">
        <v>3355</v>
      </c>
      <c r="B919" s="30">
        <v>45677</v>
      </c>
      <c r="C919" s="29" t="s">
        <v>3356</v>
      </c>
      <c r="D919" s="29" t="s">
        <v>58</v>
      </c>
      <c r="E919" s="31">
        <v>5</v>
      </c>
      <c r="F919" s="31">
        <v>383.82</v>
      </c>
      <c r="G919" s="29" t="s">
        <v>3357</v>
      </c>
      <c r="H919" s="29" t="s">
        <v>34</v>
      </c>
      <c r="I919" s="29" t="s">
        <v>43</v>
      </c>
      <c r="J919" s="29" t="s">
        <v>3358</v>
      </c>
      <c r="K919" s="31">
        <v>7</v>
      </c>
      <c r="L919" s="29" t="s">
        <v>37</v>
      </c>
      <c r="M919" s="29" t="s">
        <v>76</v>
      </c>
      <c r="N919" s="31">
        <v>1919.1</v>
      </c>
    </row>
    <row r="920" ht="29.75" spans="1:14">
      <c r="A920" s="29" t="s">
        <v>3359</v>
      </c>
      <c r="B920" s="30">
        <v>45832</v>
      </c>
      <c r="C920" s="29" t="s">
        <v>3360</v>
      </c>
      <c r="D920" s="29" t="s">
        <v>58</v>
      </c>
      <c r="E920" s="31">
        <v>5</v>
      </c>
      <c r="F920" s="31">
        <v>368.25</v>
      </c>
      <c r="G920" s="29" t="s">
        <v>64</v>
      </c>
      <c r="H920" s="29" t="s">
        <v>27</v>
      </c>
      <c r="I920" s="29" t="s">
        <v>50</v>
      </c>
      <c r="J920" s="29" t="s">
        <v>3361</v>
      </c>
      <c r="K920" s="31">
        <v>5</v>
      </c>
      <c r="L920" s="29"/>
      <c r="M920" s="29" t="s">
        <v>22</v>
      </c>
      <c r="N920" s="31">
        <v>1841.25</v>
      </c>
    </row>
    <row r="921" ht="29.75" spans="1:14">
      <c r="A921" s="29" t="s">
        <v>3362</v>
      </c>
      <c r="B921" s="30">
        <v>45695</v>
      </c>
      <c r="C921" s="29" t="s">
        <v>3363</v>
      </c>
      <c r="D921" s="29" t="s">
        <v>48</v>
      </c>
      <c r="E921" s="31">
        <v>2</v>
      </c>
      <c r="F921" s="31">
        <v>374.6</v>
      </c>
      <c r="G921" s="29" t="s">
        <v>510</v>
      </c>
      <c r="H921" s="29" t="s">
        <v>27</v>
      </c>
      <c r="I921" s="29" t="s">
        <v>19</v>
      </c>
      <c r="J921" s="29" t="s">
        <v>3364</v>
      </c>
      <c r="K921" s="31">
        <v>3</v>
      </c>
      <c r="L921" s="29" t="s">
        <v>37</v>
      </c>
      <c r="M921" s="29" t="s">
        <v>29</v>
      </c>
      <c r="N921" s="31">
        <v>749.2</v>
      </c>
    </row>
    <row r="922" ht="29.75" spans="1:14">
      <c r="A922" s="29" t="s">
        <v>3365</v>
      </c>
      <c r="B922" s="30">
        <v>45728</v>
      </c>
      <c r="C922" s="29" t="s">
        <v>3366</v>
      </c>
      <c r="D922" s="29" t="s">
        <v>32</v>
      </c>
      <c r="E922" s="31">
        <v>2</v>
      </c>
      <c r="F922" s="31">
        <v>428.09</v>
      </c>
      <c r="G922" s="29" t="s">
        <v>1244</v>
      </c>
      <c r="H922" s="29" t="s">
        <v>34</v>
      </c>
      <c r="I922" s="29" t="s">
        <v>43</v>
      </c>
      <c r="J922" s="29" t="s">
        <v>3367</v>
      </c>
      <c r="K922" s="31">
        <v>6</v>
      </c>
      <c r="L922" s="29"/>
      <c r="M922" s="29" t="s">
        <v>22</v>
      </c>
      <c r="N922" s="31">
        <v>856.18</v>
      </c>
    </row>
    <row r="923" ht="29.75" spans="1:14">
      <c r="A923" s="29" t="s">
        <v>3368</v>
      </c>
      <c r="B923" s="30">
        <v>45131</v>
      </c>
      <c r="C923" s="29" t="s">
        <v>3369</v>
      </c>
      <c r="D923" s="29" t="s">
        <v>32</v>
      </c>
      <c r="E923" s="31">
        <v>1</v>
      </c>
      <c r="F923" s="31">
        <v>438.93</v>
      </c>
      <c r="G923" s="29" t="s">
        <v>3370</v>
      </c>
      <c r="H923" s="29" t="s">
        <v>60</v>
      </c>
      <c r="I923" s="29" t="s">
        <v>35</v>
      </c>
      <c r="J923" s="29" t="s">
        <v>3371</v>
      </c>
      <c r="K923" s="31">
        <v>3</v>
      </c>
      <c r="L923" s="29" t="s">
        <v>21</v>
      </c>
      <c r="M923" s="29" t="s">
        <v>29</v>
      </c>
      <c r="N923" s="31">
        <v>438.93</v>
      </c>
    </row>
    <row r="924" ht="29.75" spans="1:14">
      <c r="A924" s="29" t="s">
        <v>3372</v>
      </c>
      <c r="B924" s="30">
        <v>45460</v>
      </c>
      <c r="C924" s="29" t="s">
        <v>3373</v>
      </c>
      <c r="D924" s="29" t="s">
        <v>73</v>
      </c>
      <c r="E924" s="31">
        <v>2</v>
      </c>
      <c r="F924" s="31">
        <v>563.82</v>
      </c>
      <c r="G924" s="29" t="s">
        <v>3374</v>
      </c>
      <c r="H924" s="29" t="s">
        <v>34</v>
      </c>
      <c r="I924" s="29" t="s">
        <v>89</v>
      </c>
      <c r="J924" s="29" t="s">
        <v>3375</v>
      </c>
      <c r="K924" s="31">
        <v>3</v>
      </c>
      <c r="L924" s="29"/>
      <c r="M924" s="29" t="s">
        <v>22</v>
      </c>
      <c r="N924" s="31">
        <v>1127.64</v>
      </c>
    </row>
    <row r="925" ht="29.75" spans="1:14">
      <c r="A925" s="29" t="s">
        <v>3376</v>
      </c>
      <c r="B925" s="30">
        <v>44968</v>
      </c>
      <c r="C925" s="29" t="s">
        <v>3377</v>
      </c>
      <c r="D925" s="29" t="s">
        <v>48</v>
      </c>
      <c r="E925" s="31">
        <v>3</v>
      </c>
      <c r="F925" s="31">
        <v>649.93</v>
      </c>
      <c r="G925" s="29" t="s">
        <v>3357</v>
      </c>
      <c r="H925" s="29" t="s">
        <v>34</v>
      </c>
      <c r="I925" s="29" t="s">
        <v>89</v>
      </c>
      <c r="J925" s="29" t="s">
        <v>3378</v>
      </c>
      <c r="K925" s="31">
        <v>7</v>
      </c>
      <c r="L925" s="29" t="s">
        <v>81</v>
      </c>
      <c r="M925" s="29" t="s">
        <v>45</v>
      </c>
      <c r="N925" s="31">
        <v>1949.79</v>
      </c>
    </row>
    <row r="926" ht="29.75" spans="1:14">
      <c r="A926" s="29" t="s">
        <v>3379</v>
      </c>
      <c r="B926" s="30">
        <v>45738</v>
      </c>
      <c r="C926" s="29" t="s">
        <v>3380</v>
      </c>
      <c r="D926" s="29" t="s">
        <v>48</v>
      </c>
      <c r="E926" s="31">
        <v>5</v>
      </c>
      <c r="F926" s="31">
        <v>268.43</v>
      </c>
      <c r="G926" s="29" t="s">
        <v>1996</v>
      </c>
      <c r="H926" s="29" t="s">
        <v>65</v>
      </c>
      <c r="I926" s="29" t="s">
        <v>43</v>
      </c>
      <c r="J926" s="29" t="s">
        <v>3381</v>
      </c>
      <c r="K926" s="31">
        <v>5</v>
      </c>
      <c r="L926" s="29" t="s">
        <v>21</v>
      </c>
      <c r="M926" s="29" t="s">
        <v>38</v>
      </c>
      <c r="N926" s="31">
        <v>1342.15</v>
      </c>
    </row>
    <row r="927" ht="29.75" spans="1:14">
      <c r="A927" s="29" t="s">
        <v>3382</v>
      </c>
      <c r="B927" s="30">
        <v>45646</v>
      </c>
      <c r="C927" s="29" t="s">
        <v>3383</v>
      </c>
      <c r="D927" s="29" t="s">
        <v>16</v>
      </c>
      <c r="E927" s="31">
        <v>5</v>
      </c>
      <c r="F927" s="31">
        <v>502.47</v>
      </c>
      <c r="G927" s="29" t="s">
        <v>1564</v>
      </c>
      <c r="H927" s="29" t="s">
        <v>27</v>
      </c>
      <c r="I927" s="29" t="s">
        <v>19</v>
      </c>
      <c r="J927" s="29" t="s">
        <v>3384</v>
      </c>
      <c r="K927" s="31">
        <v>10</v>
      </c>
      <c r="L927" s="29" t="s">
        <v>81</v>
      </c>
      <c r="M927" s="29" t="s">
        <v>38</v>
      </c>
      <c r="N927" s="31">
        <v>2512.35</v>
      </c>
    </row>
    <row r="928" ht="29.75" spans="1:14">
      <c r="A928" s="29" t="s">
        <v>3385</v>
      </c>
      <c r="B928" s="30">
        <v>45371</v>
      </c>
      <c r="C928" s="29" t="s">
        <v>3386</v>
      </c>
      <c r="D928" s="29" t="s">
        <v>73</v>
      </c>
      <c r="E928" s="31">
        <v>1</v>
      </c>
      <c r="F928" s="31">
        <v>26.95</v>
      </c>
      <c r="G928" s="29" t="s">
        <v>1815</v>
      </c>
      <c r="H928" s="29" t="s">
        <v>65</v>
      </c>
      <c r="I928" s="29" t="s">
        <v>50</v>
      </c>
      <c r="J928" s="29" t="s">
        <v>3387</v>
      </c>
      <c r="K928" s="31">
        <v>1</v>
      </c>
      <c r="L928" s="29" t="s">
        <v>81</v>
      </c>
      <c r="M928" s="29" t="s">
        <v>38</v>
      </c>
      <c r="N928" s="31">
        <v>26.95</v>
      </c>
    </row>
    <row r="929" ht="29.75" spans="1:14">
      <c r="A929" s="29" t="s">
        <v>3388</v>
      </c>
      <c r="B929" s="30">
        <v>44971</v>
      </c>
      <c r="C929" s="29" t="s">
        <v>3389</v>
      </c>
      <c r="D929" s="29" t="s">
        <v>58</v>
      </c>
      <c r="E929" s="31">
        <v>4</v>
      </c>
      <c r="F929" s="31">
        <v>64.69</v>
      </c>
      <c r="G929" s="29" t="s">
        <v>2557</v>
      </c>
      <c r="H929" s="29" t="s">
        <v>18</v>
      </c>
      <c r="I929" s="29" t="s">
        <v>19</v>
      </c>
      <c r="J929" s="29" t="s">
        <v>3390</v>
      </c>
      <c r="K929" s="31">
        <v>7</v>
      </c>
      <c r="L929" s="29" t="s">
        <v>81</v>
      </c>
      <c r="M929" s="29" t="s">
        <v>76</v>
      </c>
      <c r="N929" s="31">
        <v>258.76</v>
      </c>
    </row>
    <row r="930" ht="29.75" spans="1:14">
      <c r="A930" s="29" t="s">
        <v>3391</v>
      </c>
      <c r="B930" s="30">
        <v>45421</v>
      </c>
      <c r="C930" s="29" t="s">
        <v>3392</v>
      </c>
      <c r="D930" s="29" t="s">
        <v>58</v>
      </c>
      <c r="E930" s="31">
        <v>3</v>
      </c>
      <c r="F930" s="31">
        <v>247.11</v>
      </c>
      <c r="G930" s="29" t="s">
        <v>1015</v>
      </c>
      <c r="H930" s="29" t="s">
        <v>18</v>
      </c>
      <c r="I930" s="29" t="s">
        <v>43</v>
      </c>
      <c r="J930" s="29" t="s">
        <v>3393</v>
      </c>
      <c r="K930" s="31">
        <v>3</v>
      </c>
      <c r="L930" s="29" t="s">
        <v>81</v>
      </c>
      <c r="M930" s="29" t="s">
        <v>29</v>
      </c>
      <c r="N930" s="31">
        <v>741.33</v>
      </c>
    </row>
    <row r="931" ht="29.75" spans="1:14">
      <c r="A931" s="29" t="s">
        <v>3394</v>
      </c>
      <c r="B931" s="30">
        <v>45581</v>
      </c>
      <c r="C931" s="29" t="s">
        <v>3395</v>
      </c>
      <c r="D931" s="29" t="s">
        <v>32</v>
      </c>
      <c r="E931" s="31">
        <v>2</v>
      </c>
      <c r="F931" s="31">
        <v>536.25</v>
      </c>
      <c r="G931" s="29" t="s">
        <v>727</v>
      </c>
      <c r="H931" s="29" t="s">
        <v>18</v>
      </c>
      <c r="I931" s="29" t="s">
        <v>89</v>
      </c>
      <c r="J931" s="29" t="s">
        <v>3396</v>
      </c>
      <c r="K931" s="31">
        <v>3</v>
      </c>
      <c r="L931" s="29"/>
      <c r="M931" s="29" t="s">
        <v>38</v>
      </c>
      <c r="N931" s="31">
        <v>1072.5</v>
      </c>
    </row>
    <row r="932" ht="29.75" spans="1:14">
      <c r="A932" s="29" t="s">
        <v>3397</v>
      </c>
      <c r="B932" s="30">
        <v>45642</v>
      </c>
      <c r="C932" s="29" t="s">
        <v>3398</v>
      </c>
      <c r="D932" s="29" t="s">
        <v>25</v>
      </c>
      <c r="E932" s="31">
        <v>2</v>
      </c>
      <c r="F932" s="31">
        <v>456.04</v>
      </c>
      <c r="G932" s="29" t="s">
        <v>109</v>
      </c>
      <c r="H932" s="29" t="s">
        <v>18</v>
      </c>
      <c r="I932" s="29" t="s">
        <v>43</v>
      </c>
      <c r="J932" s="29" t="s">
        <v>3399</v>
      </c>
      <c r="K932" s="31">
        <v>4</v>
      </c>
      <c r="L932" s="29" t="s">
        <v>37</v>
      </c>
      <c r="M932" s="29" t="s">
        <v>38</v>
      </c>
      <c r="N932" s="31">
        <v>912.08</v>
      </c>
    </row>
    <row r="933" ht="29.75" spans="1:14">
      <c r="A933" s="29" t="s">
        <v>3400</v>
      </c>
      <c r="B933" s="30">
        <v>45292</v>
      </c>
      <c r="C933" s="29" t="s">
        <v>3401</v>
      </c>
      <c r="D933" s="29" t="s">
        <v>48</v>
      </c>
      <c r="E933" s="31">
        <v>2</v>
      </c>
      <c r="F933" s="31">
        <v>40.23</v>
      </c>
      <c r="G933" s="29" t="s">
        <v>253</v>
      </c>
      <c r="H933" s="29" t="s">
        <v>34</v>
      </c>
      <c r="I933" s="29" t="s">
        <v>35</v>
      </c>
      <c r="J933" s="29" t="s">
        <v>3402</v>
      </c>
      <c r="K933" s="31">
        <v>4</v>
      </c>
      <c r="L933" s="29" t="s">
        <v>21</v>
      </c>
      <c r="M933" s="29" t="s">
        <v>76</v>
      </c>
      <c r="N933" s="31">
        <v>80.46</v>
      </c>
    </row>
    <row r="934" ht="29.75" spans="1:14">
      <c r="A934" s="29" t="s">
        <v>3403</v>
      </c>
      <c r="B934" s="30">
        <v>45011</v>
      </c>
      <c r="C934" s="29" t="s">
        <v>3404</v>
      </c>
      <c r="D934" s="29" t="s">
        <v>58</v>
      </c>
      <c r="E934" s="31">
        <v>2</v>
      </c>
      <c r="F934" s="31">
        <v>72.39</v>
      </c>
      <c r="G934" s="29" t="s">
        <v>3405</v>
      </c>
      <c r="H934" s="29" t="s">
        <v>27</v>
      </c>
      <c r="I934" s="29" t="s">
        <v>50</v>
      </c>
      <c r="J934" s="29" t="s">
        <v>3406</v>
      </c>
      <c r="K934" s="31">
        <v>7</v>
      </c>
      <c r="L934" s="29" t="s">
        <v>81</v>
      </c>
      <c r="M934" s="29" t="s">
        <v>22</v>
      </c>
      <c r="N934" s="31">
        <v>144.78</v>
      </c>
    </row>
    <row r="935" ht="29.75" spans="1:14">
      <c r="A935" s="29" t="s">
        <v>3407</v>
      </c>
      <c r="B935" s="30">
        <v>44952</v>
      </c>
      <c r="C935" s="29" t="s">
        <v>3408</v>
      </c>
      <c r="D935" s="29" t="s">
        <v>16</v>
      </c>
      <c r="E935" s="31">
        <v>2</v>
      </c>
      <c r="F935" s="31">
        <v>394.16</v>
      </c>
      <c r="G935" s="29" t="s">
        <v>968</v>
      </c>
      <c r="H935" s="29" t="s">
        <v>27</v>
      </c>
      <c r="I935" s="29" t="s">
        <v>19</v>
      </c>
      <c r="J935" s="29" t="s">
        <v>3409</v>
      </c>
      <c r="K935" s="31">
        <v>2</v>
      </c>
      <c r="L935" s="29"/>
      <c r="M935" s="29" t="s">
        <v>29</v>
      </c>
      <c r="N935" s="31">
        <v>788.32</v>
      </c>
    </row>
    <row r="936" ht="29.75" spans="1:14">
      <c r="A936" s="29" t="s">
        <v>3410</v>
      </c>
      <c r="B936" s="30">
        <v>45809</v>
      </c>
      <c r="C936" s="29" t="s">
        <v>3411</v>
      </c>
      <c r="D936" s="29" t="s">
        <v>58</v>
      </c>
      <c r="E936" s="31">
        <v>4</v>
      </c>
      <c r="F936" s="31">
        <v>119.84</v>
      </c>
      <c r="G936" s="29" t="s">
        <v>910</v>
      </c>
      <c r="H936" s="29" t="s">
        <v>60</v>
      </c>
      <c r="I936" s="29" t="s">
        <v>19</v>
      </c>
      <c r="J936" s="29" t="s">
        <v>3412</v>
      </c>
      <c r="K936" s="31">
        <v>8</v>
      </c>
      <c r="L936" s="29" t="s">
        <v>37</v>
      </c>
      <c r="M936" s="29" t="s">
        <v>29</v>
      </c>
      <c r="N936" s="31">
        <v>479.36</v>
      </c>
    </row>
    <row r="937" ht="29.75" spans="1:14">
      <c r="A937" s="29" t="s">
        <v>3413</v>
      </c>
      <c r="B937" s="30">
        <v>45254</v>
      </c>
      <c r="C937" s="29" t="s">
        <v>3414</v>
      </c>
      <c r="D937" s="29" t="s">
        <v>25</v>
      </c>
      <c r="E937" s="31">
        <v>3</v>
      </c>
      <c r="F937" s="31">
        <v>692.71</v>
      </c>
      <c r="G937" s="29" t="s">
        <v>1340</v>
      </c>
      <c r="H937" s="29" t="s">
        <v>34</v>
      </c>
      <c r="I937" s="29" t="s">
        <v>50</v>
      </c>
      <c r="J937" s="29" t="s">
        <v>3415</v>
      </c>
      <c r="K937" s="31">
        <v>3</v>
      </c>
      <c r="L937" s="29" t="s">
        <v>37</v>
      </c>
      <c r="M937" s="29" t="s">
        <v>22</v>
      </c>
      <c r="N937" s="31">
        <v>2078.13</v>
      </c>
    </row>
    <row r="938" ht="29.75" spans="1:14">
      <c r="A938" s="29" t="s">
        <v>3416</v>
      </c>
      <c r="B938" s="30">
        <v>45303</v>
      </c>
      <c r="C938" s="29" t="s">
        <v>3417</v>
      </c>
      <c r="D938" s="29" t="s">
        <v>41</v>
      </c>
      <c r="E938" s="31">
        <v>4</v>
      </c>
      <c r="F938" s="31">
        <v>56.66</v>
      </c>
      <c r="G938" s="29" t="s">
        <v>659</v>
      </c>
      <c r="H938" s="29" t="s">
        <v>27</v>
      </c>
      <c r="I938" s="29" t="s">
        <v>50</v>
      </c>
      <c r="J938" s="29" t="s">
        <v>3418</v>
      </c>
      <c r="K938" s="31">
        <v>4</v>
      </c>
      <c r="L938" s="29" t="s">
        <v>21</v>
      </c>
      <c r="M938" s="29" t="s">
        <v>22</v>
      </c>
      <c r="N938" s="31">
        <v>226.64</v>
      </c>
    </row>
    <row r="939" ht="29.75" spans="1:14">
      <c r="A939" s="29" t="s">
        <v>3419</v>
      </c>
      <c r="B939" s="30">
        <v>45307</v>
      </c>
      <c r="C939" s="29" t="s">
        <v>3420</v>
      </c>
      <c r="D939" s="29" t="s">
        <v>41</v>
      </c>
      <c r="E939" s="31">
        <v>2</v>
      </c>
      <c r="F939" s="31">
        <v>298.53</v>
      </c>
      <c r="G939" s="29" t="s">
        <v>1590</v>
      </c>
      <c r="H939" s="29" t="s">
        <v>18</v>
      </c>
      <c r="I939" s="29" t="s">
        <v>35</v>
      </c>
      <c r="J939" s="29" t="s">
        <v>3421</v>
      </c>
      <c r="K939" s="31">
        <v>5</v>
      </c>
      <c r="L939" s="29" t="s">
        <v>81</v>
      </c>
      <c r="M939" s="29" t="s">
        <v>38</v>
      </c>
      <c r="N939" s="31">
        <v>597.06</v>
      </c>
    </row>
    <row r="940" ht="29.75" spans="1:14">
      <c r="A940" s="29" t="s">
        <v>3422</v>
      </c>
      <c r="B940" s="30">
        <v>45119</v>
      </c>
      <c r="C940" s="29" t="s">
        <v>3423</v>
      </c>
      <c r="D940" s="29" t="s">
        <v>41</v>
      </c>
      <c r="E940" s="31">
        <v>3</v>
      </c>
      <c r="F940" s="31">
        <v>331.46</v>
      </c>
      <c r="G940" s="29" t="s">
        <v>1945</v>
      </c>
      <c r="H940" s="29" t="s">
        <v>34</v>
      </c>
      <c r="I940" s="29" t="s">
        <v>35</v>
      </c>
      <c r="J940" s="29" t="s">
        <v>3424</v>
      </c>
      <c r="K940" s="31">
        <v>6</v>
      </c>
      <c r="L940" s="29" t="s">
        <v>81</v>
      </c>
      <c r="M940" s="29" t="s">
        <v>29</v>
      </c>
      <c r="N940" s="31">
        <v>994.38</v>
      </c>
    </row>
    <row r="941" ht="29.75" spans="1:14">
      <c r="A941" s="29" t="s">
        <v>3425</v>
      </c>
      <c r="B941" s="30">
        <v>45763</v>
      </c>
      <c r="C941" s="29" t="s">
        <v>3426</v>
      </c>
      <c r="D941" s="29" t="s">
        <v>58</v>
      </c>
      <c r="E941" s="31">
        <v>2</v>
      </c>
      <c r="F941" s="31">
        <v>521.4</v>
      </c>
      <c r="G941" s="29" t="s">
        <v>3427</v>
      </c>
      <c r="H941" s="29" t="s">
        <v>65</v>
      </c>
      <c r="I941" s="29" t="s">
        <v>50</v>
      </c>
      <c r="J941" s="29" t="s">
        <v>3428</v>
      </c>
      <c r="K941" s="31">
        <v>7</v>
      </c>
      <c r="L941" s="29" t="s">
        <v>21</v>
      </c>
      <c r="M941" s="29" t="s">
        <v>22</v>
      </c>
      <c r="N941" s="31">
        <v>1042.8</v>
      </c>
    </row>
    <row r="942" ht="29.75" spans="1:14">
      <c r="A942" s="29" t="s">
        <v>3429</v>
      </c>
      <c r="B942" s="30">
        <v>45012</v>
      </c>
      <c r="C942" s="29" t="s">
        <v>3430</v>
      </c>
      <c r="D942" s="29" t="s">
        <v>48</v>
      </c>
      <c r="E942" s="31">
        <v>4</v>
      </c>
      <c r="F942" s="31">
        <v>305.32</v>
      </c>
      <c r="G942" s="29" t="s">
        <v>3431</v>
      </c>
      <c r="H942" s="29" t="s">
        <v>27</v>
      </c>
      <c r="I942" s="29" t="s">
        <v>35</v>
      </c>
      <c r="J942" s="29" t="s">
        <v>3432</v>
      </c>
      <c r="K942" s="31">
        <v>4</v>
      </c>
      <c r="L942" s="29" t="s">
        <v>21</v>
      </c>
      <c r="M942" s="29" t="s">
        <v>76</v>
      </c>
      <c r="N942" s="31">
        <v>1221.28</v>
      </c>
    </row>
    <row r="943" ht="29.75" spans="1:14">
      <c r="A943" s="29" t="s">
        <v>3433</v>
      </c>
      <c r="B943" s="30">
        <v>45124</v>
      </c>
      <c r="C943" s="29" t="s">
        <v>1700</v>
      </c>
      <c r="D943" s="29" t="s">
        <v>48</v>
      </c>
      <c r="E943" s="31">
        <v>5</v>
      </c>
      <c r="F943" s="31">
        <v>111.7</v>
      </c>
      <c r="G943" s="29" t="s">
        <v>1332</v>
      </c>
      <c r="H943" s="29" t="s">
        <v>34</v>
      </c>
      <c r="I943" s="29" t="s">
        <v>35</v>
      </c>
      <c r="J943" s="29" t="s">
        <v>3434</v>
      </c>
      <c r="K943" s="31">
        <v>9</v>
      </c>
      <c r="L943" s="29" t="s">
        <v>37</v>
      </c>
      <c r="M943" s="29" t="s">
        <v>38</v>
      </c>
      <c r="N943" s="31">
        <v>558.5</v>
      </c>
    </row>
    <row r="944" ht="29.75" spans="1:14">
      <c r="A944" s="29" t="s">
        <v>3435</v>
      </c>
      <c r="B944" s="30">
        <v>45198</v>
      </c>
      <c r="C944" s="29" t="s">
        <v>3436</v>
      </c>
      <c r="D944" s="29" t="s">
        <v>32</v>
      </c>
      <c r="E944" s="31">
        <v>1</v>
      </c>
      <c r="F944" s="31">
        <v>479.76</v>
      </c>
      <c r="G944" s="29" t="s">
        <v>884</v>
      </c>
      <c r="H944" s="29" t="s">
        <v>34</v>
      </c>
      <c r="I944" s="29" t="s">
        <v>89</v>
      </c>
      <c r="J944" s="29" t="s">
        <v>3437</v>
      </c>
      <c r="K944" s="31">
        <v>1</v>
      </c>
      <c r="L944" s="29"/>
      <c r="M944" s="29" t="s">
        <v>38</v>
      </c>
      <c r="N944" s="31">
        <v>479.76</v>
      </c>
    </row>
    <row r="945" ht="29.75" spans="1:14">
      <c r="A945" s="29" t="s">
        <v>3438</v>
      </c>
      <c r="B945" s="30">
        <v>45287</v>
      </c>
      <c r="C945" s="29" t="s">
        <v>3439</v>
      </c>
      <c r="D945" s="29" t="s">
        <v>16</v>
      </c>
      <c r="E945" s="31">
        <v>3</v>
      </c>
      <c r="F945" s="31">
        <v>193.49</v>
      </c>
      <c r="G945" s="29" t="s">
        <v>3440</v>
      </c>
      <c r="H945" s="29" t="s">
        <v>60</v>
      </c>
      <c r="I945" s="29" t="s">
        <v>43</v>
      </c>
      <c r="J945" s="29" t="s">
        <v>3441</v>
      </c>
      <c r="K945" s="31">
        <v>6</v>
      </c>
      <c r="L945" s="29" t="s">
        <v>37</v>
      </c>
      <c r="M945" s="29" t="s">
        <v>45</v>
      </c>
      <c r="N945" s="31">
        <v>580.47</v>
      </c>
    </row>
    <row r="946" ht="29.75" spans="1:14">
      <c r="A946" s="29" t="s">
        <v>3442</v>
      </c>
      <c r="B946" s="30">
        <v>45642</v>
      </c>
      <c r="C946" s="29" t="s">
        <v>3443</v>
      </c>
      <c r="D946" s="29" t="s">
        <v>58</v>
      </c>
      <c r="E946" s="31">
        <v>2</v>
      </c>
      <c r="F946" s="31">
        <v>426.22</v>
      </c>
      <c r="G946" s="29" t="s">
        <v>3210</v>
      </c>
      <c r="H946" s="29" t="s">
        <v>27</v>
      </c>
      <c r="I946" s="29" t="s">
        <v>50</v>
      </c>
      <c r="J946" s="29" t="s">
        <v>3444</v>
      </c>
      <c r="K946" s="31">
        <v>7</v>
      </c>
      <c r="L946" s="29" t="s">
        <v>81</v>
      </c>
      <c r="M946" s="29" t="s">
        <v>76</v>
      </c>
      <c r="N946" s="31">
        <v>852.44</v>
      </c>
    </row>
    <row r="947" ht="29.75" spans="1:14">
      <c r="A947" s="29" t="s">
        <v>3445</v>
      </c>
      <c r="B947" s="30">
        <v>45158</v>
      </c>
      <c r="C947" s="29" t="s">
        <v>3446</v>
      </c>
      <c r="D947" s="29" t="s">
        <v>32</v>
      </c>
      <c r="E947" s="31">
        <v>5</v>
      </c>
      <c r="F947" s="31">
        <v>276.44</v>
      </c>
      <c r="G947" s="29" t="s">
        <v>1352</v>
      </c>
      <c r="H947" s="29" t="s">
        <v>60</v>
      </c>
      <c r="I947" s="29" t="s">
        <v>19</v>
      </c>
      <c r="J947" s="29" t="s">
        <v>3447</v>
      </c>
      <c r="K947" s="31">
        <v>10</v>
      </c>
      <c r="L947" s="29" t="s">
        <v>37</v>
      </c>
      <c r="M947" s="29" t="s">
        <v>29</v>
      </c>
      <c r="N947" s="31">
        <v>1382.2</v>
      </c>
    </row>
    <row r="948" ht="29.75" spans="1:14">
      <c r="A948" s="29" t="s">
        <v>3448</v>
      </c>
      <c r="B948" s="30">
        <v>45416</v>
      </c>
      <c r="C948" s="29" t="s">
        <v>3449</v>
      </c>
      <c r="D948" s="29" t="s">
        <v>25</v>
      </c>
      <c r="E948" s="31">
        <v>2</v>
      </c>
      <c r="F948" s="31">
        <v>404.96</v>
      </c>
      <c r="G948" s="29" t="s">
        <v>1299</v>
      </c>
      <c r="H948" s="29" t="s">
        <v>65</v>
      </c>
      <c r="I948" s="29" t="s">
        <v>19</v>
      </c>
      <c r="J948" s="29" t="s">
        <v>3450</v>
      </c>
      <c r="K948" s="31">
        <v>4</v>
      </c>
      <c r="L948" s="29" t="s">
        <v>21</v>
      </c>
      <c r="M948" s="29" t="s">
        <v>38</v>
      </c>
      <c r="N948" s="31">
        <v>809.92</v>
      </c>
    </row>
    <row r="949" ht="29.75" spans="1:14">
      <c r="A949" s="29" t="s">
        <v>3451</v>
      </c>
      <c r="B949" s="30">
        <v>45176</v>
      </c>
      <c r="C949" s="29" t="s">
        <v>3452</v>
      </c>
      <c r="D949" s="29" t="s">
        <v>25</v>
      </c>
      <c r="E949" s="31">
        <v>4</v>
      </c>
      <c r="F949" s="31">
        <v>465.66</v>
      </c>
      <c r="G949" s="29" t="s">
        <v>1089</v>
      </c>
      <c r="H949" s="29" t="s">
        <v>27</v>
      </c>
      <c r="I949" s="29" t="s">
        <v>43</v>
      </c>
      <c r="J949" s="29" t="s">
        <v>3453</v>
      </c>
      <c r="K949" s="31">
        <v>9</v>
      </c>
      <c r="L949" s="29" t="s">
        <v>37</v>
      </c>
      <c r="M949" s="29" t="s">
        <v>38</v>
      </c>
      <c r="N949" s="31">
        <v>1862.64</v>
      </c>
    </row>
    <row r="950" ht="29.75" spans="1:14">
      <c r="A950" s="29" t="s">
        <v>3454</v>
      </c>
      <c r="B950" s="30">
        <v>45464</v>
      </c>
      <c r="C950" s="29" t="s">
        <v>1722</v>
      </c>
      <c r="D950" s="29" t="s">
        <v>25</v>
      </c>
      <c r="E950" s="31">
        <v>2</v>
      </c>
      <c r="F950" s="31">
        <v>594.07</v>
      </c>
      <c r="G950" s="29" t="s">
        <v>1794</v>
      </c>
      <c r="H950" s="29" t="s">
        <v>60</v>
      </c>
      <c r="I950" s="29" t="s">
        <v>35</v>
      </c>
      <c r="J950" s="29" t="s">
        <v>3455</v>
      </c>
      <c r="K950" s="31">
        <v>2</v>
      </c>
      <c r="L950" s="29"/>
      <c r="M950" s="29" t="s">
        <v>76</v>
      </c>
      <c r="N950" s="31">
        <v>1188.14</v>
      </c>
    </row>
    <row r="951" ht="29.75" spans="1:14">
      <c r="A951" s="29" t="s">
        <v>3456</v>
      </c>
      <c r="B951" s="30">
        <v>45239</v>
      </c>
      <c r="C951" s="29" t="s">
        <v>3457</v>
      </c>
      <c r="D951" s="29" t="s">
        <v>73</v>
      </c>
      <c r="E951" s="31">
        <v>5</v>
      </c>
      <c r="F951" s="31">
        <v>110.38</v>
      </c>
      <c r="G951" s="29" t="s">
        <v>1560</v>
      </c>
      <c r="H951" s="29" t="s">
        <v>65</v>
      </c>
      <c r="I951" s="29" t="s">
        <v>89</v>
      </c>
      <c r="J951" s="29" t="s">
        <v>3458</v>
      </c>
      <c r="K951" s="31">
        <v>10</v>
      </c>
      <c r="L951" s="29"/>
      <c r="M951" s="29" t="s">
        <v>29</v>
      </c>
      <c r="N951" s="31">
        <v>551.9</v>
      </c>
    </row>
    <row r="952" ht="29.75" spans="1:14">
      <c r="A952" s="29" t="s">
        <v>3459</v>
      </c>
      <c r="B952" s="30">
        <v>45443</v>
      </c>
      <c r="C952" s="29" t="s">
        <v>3460</v>
      </c>
      <c r="D952" s="29" t="s">
        <v>58</v>
      </c>
      <c r="E952" s="31">
        <v>1</v>
      </c>
      <c r="F952" s="31">
        <v>596.24</v>
      </c>
      <c r="G952" s="29" t="s">
        <v>113</v>
      </c>
      <c r="H952" s="29" t="s">
        <v>34</v>
      </c>
      <c r="I952" s="29" t="s">
        <v>43</v>
      </c>
      <c r="J952" s="29" t="s">
        <v>3461</v>
      </c>
      <c r="K952" s="31">
        <v>4</v>
      </c>
      <c r="L952" s="29" t="s">
        <v>37</v>
      </c>
      <c r="M952" s="29" t="s">
        <v>22</v>
      </c>
      <c r="N952" s="31">
        <v>596.24</v>
      </c>
    </row>
    <row r="953" ht="29.75" spans="1:14">
      <c r="A953" s="29" t="s">
        <v>3462</v>
      </c>
      <c r="B953" s="30">
        <v>45495</v>
      </c>
      <c r="C953" s="29" t="s">
        <v>3463</v>
      </c>
      <c r="D953" s="29" t="s">
        <v>48</v>
      </c>
      <c r="E953" s="31">
        <v>2</v>
      </c>
      <c r="F953" s="31">
        <v>306.24</v>
      </c>
      <c r="G953" s="29" t="s">
        <v>1066</v>
      </c>
      <c r="H953" s="29" t="s">
        <v>27</v>
      </c>
      <c r="I953" s="29" t="s">
        <v>43</v>
      </c>
      <c r="J953" s="29" t="s">
        <v>3464</v>
      </c>
      <c r="K953" s="31">
        <v>4</v>
      </c>
      <c r="L953" s="29" t="s">
        <v>37</v>
      </c>
      <c r="M953" s="29" t="s">
        <v>38</v>
      </c>
      <c r="N953" s="31">
        <v>612.48</v>
      </c>
    </row>
    <row r="954" ht="29.75" spans="1:14">
      <c r="A954" s="29" t="s">
        <v>3465</v>
      </c>
      <c r="B954" s="30">
        <v>45715</v>
      </c>
      <c r="C954" s="29" t="s">
        <v>3466</v>
      </c>
      <c r="D954" s="29" t="s">
        <v>16</v>
      </c>
      <c r="E954" s="31">
        <v>3</v>
      </c>
      <c r="F954" s="31">
        <v>503.39</v>
      </c>
      <c r="G954" s="29" t="s">
        <v>3467</v>
      </c>
      <c r="H954" s="29" t="s">
        <v>27</v>
      </c>
      <c r="I954" s="29" t="s">
        <v>89</v>
      </c>
      <c r="J954" s="29" t="s">
        <v>3468</v>
      </c>
      <c r="K954" s="31">
        <v>5</v>
      </c>
      <c r="L954" s="29"/>
      <c r="M954" s="29" t="s">
        <v>45</v>
      </c>
      <c r="N954" s="31">
        <v>1510.17</v>
      </c>
    </row>
    <row r="955" ht="29.75" spans="1:14">
      <c r="A955" s="29" t="s">
        <v>3469</v>
      </c>
      <c r="B955" s="30">
        <v>44963</v>
      </c>
      <c r="C955" s="29" t="s">
        <v>3470</v>
      </c>
      <c r="D955" s="29" t="s">
        <v>25</v>
      </c>
      <c r="E955" s="31">
        <v>1</v>
      </c>
      <c r="F955" s="31">
        <v>131.61</v>
      </c>
      <c r="G955" s="29" t="s">
        <v>363</v>
      </c>
      <c r="H955" s="29" t="s">
        <v>65</v>
      </c>
      <c r="I955" s="29" t="s">
        <v>19</v>
      </c>
      <c r="J955" s="29" t="s">
        <v>3471</v>
      </c>
      <c r="K955" s="31">
        <v>2</v>
      </c>
      <c r="L955" s="29" t="s">
        <v>37</v>
      </c>
      <c r="M955" s="29" t="s">
        <v>45</v>
      </c>
      <c r="N955" s="31">
        <v>131.61</v>
      </c>
    </row>
    <row r="956" ht="29.75" spans="1:14">
      <c r="A956" s="29" t="s">
        <v>3472</v>
      </c>
      <c r="B956" s="30">
        <v>45587</v>
      </c>
      <c r="C956" s="29" t="s">
        <v>3473</v>
      </c>
      <c r="D956" s="29" t="s">
        <v>41</v>
      </c>
      <c r="E956" s="31">
        <v>3</v>
      </c>
      <c r="F956" s="31">
        <v>443.44</v>
      </c>
      <c r="G956" s="29" t="s">
        <v>667</v>
      </c>
      <c r="H956" s="29" t="s">
        <v>60</v>
      </c>
      <c r="I956" s="29" t="s">
        <v>19</v>
      </c>
      <c r="J956" s="29" t="s">
        <v>3474</v>
      </c>
      <c r="K956" s="31">
        <v>3</v>
      </c>
      <c r="L956" s="29" t="s">
        <v>37</v>
      </c>
      <c r="M956" s="29" t="s">
        <v>76</v>
      </c>
      <c r="N956" s="31">
        <v>1330.32</v>
      </c>
    </row>
    <row r="957" ht="29.75" spans="1:14">
      <c r="A957" s="29" t="s">
        <v>3475</v>
      </c>
      <c r="B957" s="30">
        <v>44949</v>
      </c>
      <c r="C957" s="29" t="s">
        <v>3476</v>
      </c>
      <c r="D957" s="29" t="s">
        <v>41</v>
      </c>
      <c r="E957" s="31">
        <v>1</v>
      </c>
      <c r="F957" s="31">
        <v>408.13</v>
      </c>
      <c r="G957" s="29" t="s">
        <v>992</v>
      </c>
      <c r="H957" s="29" t="s">
        <v>60</v>
      </c>
      <c r="I957" s="29" t="s">
        <v>19</v>
      </c>
      <c r="J957" s="29" t="s">
        <v>3477</v>
      </c>
      <c r="K957" s="31">
        <v>3</v>
      </c>
      <c r="L957" s="29" t="s">
        <v>81</v>
      </c>
      <c r="M957" s="29" t="s">
        <v>22</v>
      </c>
      <c r="N957" s="31">
        <v>408.13</v>
      </c>
    </row>
    <row r="958" ht="29.75" spans="1:14">
      <c r="A958" s="29" t="s">
        <v>3478</v>
      </c>
      <c r="B958" s="30">
        <v>45393</v>
      </c>
      <c r="C958" s="29" t="s">
        <v>2899</v>
      </c>
      <c r="D958" s="29" t="s">
        <v>25</v>
      </c>
      <c r="E958" s="31">
        <v>2</v>
      </c>
      <c r="F958" s="31">
        <v>160.98</v>
      </c>
      <c r="G958" s="29" t="s">
        <v>3479</v>
      </c>
      <c r="H958" s="29" t="s">
        <v>18</v>
      </c>
      <c r="I958" s="29" t="s">
        <v>50</v>
      </c>
      <c r="J958" s="29" t="s">
        <v>3480</v>
      </c>
      <c r="K958" s="31">
        <v>3</v>
      </c>
      <c r="L958" s="29" t="s">
        <v>21</v>
      </c>
      <c r="M958" s="29" t="s">
        <v>29</v>
      </c>
      <c r="N958" s="31">
        <v>321.96</v>
      </c>
    </row>
    <row r="959" ht="29.75" spans="1:14">
      <c r="A959" s="29" t="s">
        <v>3481</v>
      </c>
      <c r="B959" s="30">
        <v>44938</v>
      </c>
      <c r="C959" s="29" t="s">
        <v>3482</v>
      </c>
      <c r="D959" s="29" t="s">
        <v>16</v>
      </c>
      <c r="E959" s="31">
        <v>5</v>
      </c>
      <c r="F959" s="31">
        <v>643.89</v>
      </c>
      <c r="G959" s="29" t="s">
        <v>3483</v>
      </c>
      <c r="H959" s="29" t="s">
        <v>65</v>
      </c>
      <c r="I959" s="29" t="s">
        <v>43</v>
      </c>
      <c r="J959" s="29" t="s">
        <v>3484</v>
      </c>
      <c r="K959" s="31">
        <v>8</v>
      </c>
      <c r="L959" s="29" t="s">
        <v>81</v>
      </c>
      <c r="M959" s="29" t="s">
        <v>45</v>
      </c>
      <c r="N959" s="31">
        <v>3219.45</v>
      </c>
    </row>
    <row r="960" ht="29.75" spans="1:14">
      <c r="A960" s="29" t="s">
        <v>3485</v>
      </c>
      <c r="B960" s="30">
        <v>45059</v>
      </c>
      <c r="C960" s="29" t="s">
        <v>3486</v>
      </c>
      <c r="D960" s="29" t="s">
        <v>73</v>
      </c>
      <c r="E960" s="31">
        <v>3</v>
      </c>
      <c r="F960" s="31">
        <v>158.66</v>
      </c>
      <c r="G960" s="29" t="s">
        <v>1151</v>
      </c>
      <c r="H960" s="29" t="s">
        <v>60</v>
      </c>
      <c r="I960" s="29" t="s">
        <v>50</v>
      </c>
      <c r="J960" s="29" t="s">
        <v>3487</v>
      </c>
      <c r="K960" s="31">
        <v>7</v>
      </c>
      <c r="L960" s="29" t="s">
        <v>81</v>
      </c>
      <c r="M960" s="29" t="s">
        <v>38</v>
      </c>
      <c r="N960" s="31">
        <v>475.98</v>
      </c>
    </row>
    <row r="961" ht="29.75" spans="1:14">
      <c r="A961" s="29" t="s">
        <v>3488</v>
      </c>
      <c r="B961" s="30">
        <v>45395</v>
      </c>
      <c r="C961" s="29" t="s">
        <v>3489</v>
      </c>
      <c r="D961" s="29" t="s">
        <v>32</v>
      </c>
      <c r="E961" s="31">
        <v>2</v>
      </c>
      <c r="F961" s="31">
        <v>143.82</v>
      </c>
      <c r="G961" s="29" t="s">
        <v>1190</v>
      </c>
      <c r="H961" s="29" t="s">
        <v>34</v>
      </c>
      <c r="I961" s="29" t="s">
        <v>43</v>
      </c>
      <c r="J961" s="29" t="s">
        <v>3490</v>
      </c>
      <c r="K961" s="31">
        <v>6</v>
      </c>
      <c r="L961" s="29" t="s">
        <v>21</v>
      </c>
      <c r="M961" s="29" t="s">
        <v>22</v>
      </c>
      <c r="N961" s="31">
        <v>287.64</v>
      </c>
    </row>
    <row r="962" ht="29.75" spans="1:14">
      <c r="A962" s="29" t="s">
        <v>3491</v>
      </c>
      <c r="B962" s="30">
        <v>45271</v>
      </c>
      <c r="C962" s="29" t="s">
        <v>3492</v>
      </c>
      <c r="D962" s="29" t="s">
        <v>58</v>
      </c>
      <c r="E962" s="31">
        <v>3</v>
      </c>
      <c r="F962" s="31">
        <v>379.07</v>
      </c>
      <c r="G962" s="29" t="s">
        <v>1431</v>
      </c>
      <c r="H962" s="29" t="s">
        <v>60</v>
      </c>
      <c r="I962" s="29" t="s">
        <v>89</v>
      </c>
      <c r="J962" s="29" t="s">
        <v>3493</v>
      </c>
      <c r="K962" s="31">
        <v>3</v>
      </c>
      <c r="L962" s="29" t="s">
        <v>81</v>
      </c>
      <c r="M962" s="29" t="s">
        <v>76</v>
      </c>
      <c r="N962" s="31">
        <v>1137.21</v>
      </c>
    </row>
    <row r="963" ht="29.75" spans="1:14">
      <c r="A963" s="29" t="s">
        <v>3494</v>
      </c>
      <c r="B963" s="30">
        <v>45607</v>
      </c>
      <c r="C963" s="29" t="s">
        <v>3495</v>
      </c>
      <c r="D963" s="29" t="s">
        <v>25</v>
      </c>
      <c r="E963" s="31">
        <v>1</v>
      </c>
      <c r="F963" s="31">
        <v>601.36</v>
      </c>
      <c r="G963" s="29" t="s">
        <v>1306</v>
      </c>
      <c r="H963" s="29" t="s">
        <v>27</v>
      </c>
      <c r="I963" s="29" t="s">
        <v>19</v>
      </c>
      <c r="J963" s="29" t="s">
        <v>3496</v>
      </c>
      <c r="K963" s="31">
        <v>1</v>
      </c>
      <c r="L963" s="29"/>
      <c r="M963" s="29" t="s">
        <v>45</v>
      </c>
      <c r="N963" s="31">
        <v>601.36</v>
      </c>
    </row>
    <row r="964" ht="29.75" spans="1:14">
      <c r="A964" s="29" t="s">
        <v>3497</v>
      </c>
      <c r="B964" s="30">
        <v>45541</v>
      </c>
      <c r="C964" s="29" t="s">
        <v>3498</v>
      </c>
      <c r="D964" s="29" t="s">
        <v>25</v>
      </c>
      <c r="E964" s="31">
        <v>2</v>
      </c>
      <c r="F964" s="31">
        <v>142.08</v>
      </c>
      <c r="G964" s="29" t="s">
        <v>984</v>
      </c>
      <c r="H964" s="29" t="s">
        <v>60</v>
      </c>
      <c r="I964" s="29" t="s">
        <v>50</v>
      </c>
      <c r="J964" s="29" t="s">
        <v>3499</v>
      </c>
      <c r="K964" s="31">
        <v>4</v>
      </c>
      <c r="L964" s="29" t="s">
        <v>21</v>
      </c>
      <c r="M964" s="29" t="s">
        <v>29</v>
      </c>
      <c r="N964" s="31">
        <v>284.16</v>
      </c>
    </row>
    <row r="965" ht="29.75" spans="1:14">
      <c r="A965" s="29" t="s">
        <v>3500</v>
      </c>
      <c r="B965" s="30">
        <v>45362</v>
      </c>
      <c r="C965" s="29" t="s">
        <v>3501</v>
      </c>
      <c r="D965" s="29" t="s">
        <v>41</v>
      </c>
      <c r="E965" s="31">
        <v>5</v>
      </c>
      <c r="F965" s="31">
        <v>530.34</v>
      </c>
      <c r="G965" s="29" t="s">
        <v>743</v>
      </c>
      <c r="H965" s="29" t="s">
        <v>27</v>
      </c>
      <c r="I965" s="29" t="s">
        <v>19</v>
      </c>
      <c r="J965" s="29" t="s">
        <v>3502</v>
      </c>
      <c r="K965" s="31">
        <v>9</v>
      </c>
      <c r="L965" s="29" t="s">
        <v>37</v>
      </c>
      <c r="M965" s="29" t="s">
        <v>76</v>
      </c>
      <c r="N965" s="31">
        <v>2651.7</v>
      </c>
    </row>
    <row r="966" ht="29.75" spans="1:14">
      <c r="A966" s="29" t="s">
        <v>3503</v>
      </c>
      <c r="B966" s="30">
        <v>45158</v>
      </c>
      <c r="C966" s="29" t="s">
        <v>3504</v>
      </c>
      <c r="D966" s="29" t="s">
        <v>25</v>
      </c>
      <c r="E966" s="31">
        <v>5</v>
      </c>
      <c r="F966" s="31">
        <v>364.42</v>
      </c>
      <c r="G966" s="29" t="s">
        <v>1549</v>
      </c>
      <c r="H966" s="29" t="s">
        <v>34</v>
      </c>
      <c r="I966" s="29" t="s">
        <v>35</v>
      </c>
      <c r="J966" s="29" t="s">
        <v>3505</v>
      </c>
      <c r="K966" s="31">
        <v>10</v>
      </c>
      <c r="L966" s="29" t="s">
        <v>21</v>
      </c>
      <c r="M966" s="29" t="s">
        <v>29</v>
      </c>
      <c r="N966" s="31">
        <v>1822.1</v>
      </c>
    </row>
    <row r="967" ht="29.75" spans="1:14">
      <c r="A967" s="29" t="s">
        <v>3506</v>
      </c>
      <c r="B967" s="30">
        <v>45826</v>
      </c>
      <c r="C967" s="29" t="s">
        <v>3507</v>
      </c>
      <c r="D967" s="29" t="s">
        <v>58</v>
      </c>
      <c r="E967" s="31">
        <v>4</v>
      </c>
      <c r="F967" s="31">
        <v>578.28</v>
      </c>
      <c r="G967" s="29" t="s">
        <v>1085</v>
      </c>
      <c r="H967" s="29" t="s">
        <v>60</v>
      </c>
      <c r="I967" s="29" t="s">
        <v>35</v>
      </c>
      <c r="J967" s="29" t="s">
        <v>3508</v>
      </c>
      <c r="K967" s="31">
        <v>5</v>
      </c>
      <c r="L967" s="29" t="s">
        <v>37</v>
      </c>
      <c r="M967" s="29" t="s">
        <v>38</v>
      </c>
      <c r="N967" s="31">
        <v>2313.12</v>
      </c>
    </row>
    <row r="968" ht="29.75" spans="1:14">
      <c r="A968" s="29" t="s">
        <v>3509</v>
      </c>
      <c r="B968" s="30">
        <v>45797</v>
      </c>
      <c r="C968" s="29" t="s">
        <v>3510</v>
      </c>
      <c r="D968" s="29" t="s">
        <v>16</v>
      </c>
      <c r="E968" s="31">
        <v>5</v>
      </c>
      <c r="F968" s="31">
        <v>280.52</v>
      </c>
      <c r="G968" s="29" t="s">
        <v>3511</v>
      </c>
      <c r="H968" s="29" t="s">
        <v>34</v>
      </c>
      <c r="I968" s="29" t="s">
        <v>35</v>
      </c>
      <c r="J968" s="29" t="s">
        <v>3512</v>
      </c>
      <c r="K968" s="31">
        <v>7</v>
      </c>
      <c r="L968" s="29" t="s">
        <v>81</v>
      </c>
      <c r="M968" s="29" t="s">
        <v>45</v>
      </c>
      <c r="N968" s="31">
        <v>1402.6</v>
      </c>
    </row>
    <row r="969" ht="29.75" spans="1:14">
      <c r="A969" s="29" t="s">
        <v>3513</v>
      </c>
      <c r="B969" s="30">
        <v>45783</v>
      </c>
      <c r="C969" s="29" t="s">
        <v>3514</v>
      </c>
      <c r="D969" s="29" t="s">
        <v>32</v>
      </c>
      <c r="E969" s="31">
        <v>5</v>
      </c>
      <c r="F969" s="31">
        <v>638.92</v>
      </c>
      <c r="G969" s="29" t="s">
        <v>3515</v>
      </c>
      <c r="H969" s="29" t="s">
        <v>34</v>
      </c>
      <c r="I969" s="29" t="s">
        <v>43</v>
      </c>
      <c r="J969" s="29" t="s">
        <v>3516</v>
      </c>
      <c r="K969" s="31">
        <v>5</v>
      </c>
      <c r="L969" s="29" t="s">
        <v>37</v>
      </c>
      <c r="M969" s="29" t="s">
        <v>76</v>
      </c>
      <c r="N969" s="31">
        <v>3194.6</v>
      </c>
    </row>
    <row r="970" ht="29.75" spans="1:14">
      <c r="A970" s="29" t="s">
        <v>3517</v>
      </c>
      <c r="B970" s="30">
        <v>45330</v>
      </c>
      <c r="C970" s="29" t="s">
        <v>3518</v>
      </c>
      <c r="D970" s="29" t="s">
        <v>16</v>
      </c>
      <c r="E970" s="31">
        <v>4</v>
      </c>
      <c r="F970" s="31">
        <v>412.2</v>
      </c>
      <c r="G970" s="29" t="s">
        <v>3042</v>
      </c>
      <c r="H970" s="29" t="s">
        <v>34</v>
      </c>
      <c r="I970" s="29" t="s">
        <v>19</v>
      </c>
      <c r="J970" s="29" t="s">
        <v>3519</v>
      </c>
      <c r="K970" s="31">
        <v>6</v>
      </c>
      <c r="L970" s="29" t="s">
        <v>81</v>
      </c>
      <c r="M970" s="29" t="s">
        <v>29</v>
      </c>
      <c r="N970" s="31">
        <v>1648.8</v>
      </c>
    </row>
    <row r="971" ht="29.75" spans="1:14">
      <c r="A971" s="29" t="s">
        <v>3520</v>
      </c>
      <c r="B971" s="30">
        <v>45813</v>
      </c>
      <c r="C971" s="29" t="s">
        <v>3521</v>
      </c>
      <c r="D971" s="29" t="s">
        <v>73</v>
      </c>
      <c r="E971" s="31">
        <v>1</v>
      </c>
      <c r="F971" s="31">
        <v>440.34</v>
      </c>
      <c r="G971" s="29" t="s">
        <v>3522</v>
      </c>
      <c r="H971" s="29" t="s">
        <v>60</v>
      </c>
      <c r="I971" s="29" t="s">
        <v>19</v>
      </c>
      <c r="J971" s="29" t="s">
        <v>3523</v>
      </c>
      <c r="K971" s="31">
        <v>2</v>
      </c>
      <c r="L971" s="29" t="s">
        <v>81</v>
      </c>
      <c r="M971" s="29" t="s">
        <v>45</v>
      </c>
      <c r="N971" s="31">
        <v>440.34</v>
      </c>
    </row>
    <row r="972" ht="29.75" spans="1:14">
      <c r="A972" s="29" t="s">
        <v>3524</v>
      </c>
      <c r="B972" s="30">
        <v>45542</v>
      </c>
      <c r="C972" s="29" t="s">
        <v>3525</v>
      </c>
      <c r="D972" s="29" t="s">
        <v>73</v>
      </c>
      <c r="E972" s="31">
        <v>1</v>
      </c>
      <c r="F972" s="31">
        <v>627.15</v>
      </c>
      <c r="G972" s="29" t="s">
        <v>3526</v>
      </c>
      <c r="H972" s="29" t="s">
        <v>65</v>
      </c>
      <c r="I972" s="29" t="s">
        <v>50</v>
      </c>
      <c r="J972" s="29" t="s">
        <v>3527</v>
      </c>
      <c r="K972" s="31">
        <v>5</v>
      </c>
      <c r="L972" s="29" t="s">
        <v>21</v>
      </c>
      <c r="M972" s="29" t="s">
        <v>22</v>
      </c>
      <c r="N972" s="31">
        <v>627.15</v>
      </c>
    </row>
    <row r="973" ht="29.75" spans="1:14">
      <c r="A973" s="29" t="s">
        <v>3528</v>
      </c>
      <c r="B973" s="30">
        <v>45439</v>
      </c>
      <c r="C973" s="29" t="s">
        <v>3529</v>
      </c>
      <c r="D973" s="29" t="s">
        <v>16</v>
      </c>
      <c r="E973" s="31">
        <v>2</v>
      </c>
      <c r="F973" s="31">
        <v>605.26</v>
      </c>
      <c r="G973" s="29" t="s">
        <v>54</v>
      </c>
      <c r="H973" s="29" t="s">
        <v>65</v>
      </c>
      <c r="I973" s="29" t="s">
        <v>35</v>
      </c>
      <c r="J973" s="29" t="s">
        <v>3530</v>
      </c>
      <c r="K973" s="31">
        <v>4</v>
      </c>
      <c r="L973" s="29" t="s">
        <v>81</v>
      </c>
      <c r="M973" s="29" t="s">
        <v>29</v>
      </c>
      <c r="N973" s="31">
        <v>1210.52</v>
      </c>
    </row>
    <row r="974" ht="29.75" spans="1:14">
      <c r="A974" s="29" t="s">
        <v>3531</v>
      </c>
      <c r="B974" s="30">
        <v>45452</v>
      </c>
      <c r="C974" s="29" t="s">
        <v>3532</v>
      </c>
      <c r="D974" s="29" t="s">
        <v>58</v>
      </c>
      <c r="E974" s="31">
        <v>1</v>
      </c>
      <c r="F974" s="31">
        <v>90.27</v>
      </c>
      <c r="G974" s="29" t="s">
        <v>3533</v>
      </c>
      <c r="H974" s="29" t="s">
        <v>65</v>
      </c>
      <c r="I974" s="29" t="s">
        <v>50</v>
      </c>
      <c r="J974" s="29" t="s">
        <v>3534</v>
      </c>
      <c r="K974" s="31">
        <v>5</v>
      </c>
      <c r="L974" s="29" t="s">
        <v>21</v>
      </c>
      <c r="M974" s="29" t="s">
        <v>45</v>
      </c>
      <c r="N974" s="31">
        <v>90.27</v>
      </c>
    </row>
    <row r="975" ht="29.75" spans="1:14">
      <c r="A975" s="29" t="s">
        <v>3535</v>
      </c>
      <c r="B975" s="30">
        <v>45817</v>
      </c>
      <c r="C975" s="29" t="s">
        <v>3536</v>
      </c>
      <c r="D975" s="29" t="s">
        <v>73</v>
      </c>
      <c r="E975" s="31">
        <v>5</v>
      </c>
      <c r="F975" s="31">
        <v>230.77</v>
      </c>
      <c r="G975" s="29" t="s">
        <v>3322</v>
      </c>
      <c r="H975" s="29" t="s">
        <v>27</v>
      </c>
      <c r="I975" s="29" t="s">
        <v>89</v>
      </c>
      <c r="J975" s="29" t="s">
        <v>3537</v>
      </c>
      <c r="K975" s="31">
        <v>10</v>
      </c>
      <c r="L975" s="29" t="s">
        <v>81</v>
      </c>
      <c r="M975" s="29" t="s">
        <v>29</v>
      </c>
      <c r="N975" s="31">
        <v>1153.85</v>
      </c>
    </row>
    <row r="976" ht="29.75" spans="1:14">
      <c r="A976" s="29" t="s">
        <v>3538</v>
      </c>
      <c r="B976" s="30">
        <v>45196</v>
      </c>
      <c r="C976" s="29" t="s">
        <v>3539</v>
      </c>
      <c r="D976" s="29" t="s">
        <v>73</v>
      </c>
      <c r="E976" s="31">
        <v>5</v>
      </c>
      <c r="F976" s="31">
        <v>266.78</v>
      </c>
      <c r="G976" s="29" t="s">
        <v>1237</v>
      </c>
      <c r="H976" s="29" t="s">
        <v>60</v>
      </c>
      <c r="I976" s="29" t="s">
        <v>35</v>
      </c>
      <c r="J976" s="29" t="s">
        <v>3540</v>
      </c>
      <c r="K976" s="31">
        <v>5</v>
      </c>
      <c r="L976" s="29"/>
      <c r="M976" s="29" t="s">
        <v>38</v>
      </c>
      <c r="N976" s="31">
        <v>1333.9</v>
      </c>
    </row>
    <row r="977" ht="29.75" spans="1:14">
      <c r="A977" s="29" t="s">
        <v>3541</v>
      </c>
      <c r="B977" s="30">
        <v>45064</v>
      </c>
      <c r="C977" s="29" t="s">
        <v>3542</v>
      </c>
      <c r="D977" s="29" t="s">
        <v>73</v>
      </c>
      <c r="E977" s="31">
        <v>1</v>
      </c>
      <c r="F977" s="31">
        <v>105.92</v>
      </c>
      <c r="G977" s="29" t="s">
        <v>1093</v>
      </c>
      <c r="H977" s="29" t="s">
        <v>60</v>
      </c>
      <c r="I977" s="29" t="s">
        <v>43</v>
      </c>
      <c r="J977" s="29" t="s">
        <v>3543</v>
      </c>
      <c r="K977" s="31">
        <v>6</v>
      </c>
      <c r="L977" s="29" t="s">
        <v>21</v>
      </c>
      <c r="M977" s="29" t="s">
        <v>38</v>
      </c>
      <c r="N977" s="31">
        <v>105.92</v>
      </c>
    </row>
    <row r="978" ht="29.75" spans="1:14">
      <c r="A978" s="29" t="s">
        <v>3544</v>
      </c>
      <c r="B978" s="30">
        <v>45386</v>
      </c>
      <c r="C978" s="29" t="s">
        <v>3545</v>
      </c>
      <c r="D978" s="29" t="s">
        <v>32</v>
      </c>
      <c r="E978" s="31">
        <v>3</v>
      </c>
      <c r="F978" s="31">
        <v>589.3</v>
      </c>
      <c r="G978" s="29" t="s">
        <v>3025</v>
      </c>
      <c r="H978" s="29" t="s">
        <v>34</v>
      </c>
      <c r="I978" s="29" t="s">
        <v>43</v>
      </c>
      <c r="J978" s="29" t="s">
        <v>3546</v>
      </c>
      <c r="K978" s="31">
        <v>6</v>
      </c>
      <c r="L978" s="29" t="s">
        <v>81</v>
      </c>
      <c r="M978" s="29" t="s">
        <v>29</v>
      </c>
      <c r="N978" s="31">
        <v>1767.9</v>
      </c>
    </row>
    <row r="979" ht="29.75" spans="1:14">
      <c r="A979" s="29" t="s">
        <v>3547</v>
      </c>
      <c r="B979" s="30">
        <v>44954</v>
      </c>
      <c r="C979" s="29" t="s">
        <v>3548</v>
      </c>
      <c r="D979" s="29" t="s">
        <v>41</v>
      </c>
      <c r="E979" s="31">
        <v>4</v>
      </c>
      <c r="F979" s="31">
        <v>649.47</v>
      </c>
      <c r="G979" s="29" t="s">
        <v>3549</v>
      </c>
      <c r="H979" s="29" t="s">
        <v>65</v>
      </c>
      <c r="I979" s="29" t="s">
        <v>89</v>
      </c>
      <c r="J979" s="29" t="s">
        <v>3550</v>
      </c>
      <c r="K979" s="31">
        <v>8</v>
      </c>
      <c r="L979" s="29" t="s">
        <v>21</v>
      </c>
      <c r="M979" s="29" t="s">
        <v>76</v>
      </c>
      <c r="N979" s="31">
        <v>2597.88</v>
      </c>
    </row>
    <row r="980" ht="29.75" spans="1:14">
      <c r="A980" s="29" t="s">
        <v>3551</v>
      </c>
      <c r="B980" s="30">
        <v>45468</v>
      </c>
      <c r="C980" s="29" t="s">
        <v>3552</v>
      </c>
      <c r="D980" s="29" t="s">
        <v>48</v>
      </c>
      <c r="E980" s="31">
        <v>4</v>
      </c>
      <c r="F980" s="31">
        <v>107.49</v>
      </c>
      <c r="G980" s="29" t="s">
        <v>2651</v>
      </c>
      <c r="H980" s="29" t="s">
        <v>65</v>
      </c>
      <c r="I980" s="29" t="s">
        <v>50</v>
      </c>
      <c r="J980" s="29" t="s">
        <v>3553</v>
      </c>
      <c r="K980" s="31">
        <v>5</v>
      </c>
      <c r="L980" s="29"/>
      <c r="M980" s="29" t="s">
        <v>76</v>
      </c>
      <c r="N980" s="31">
        <v>429.96</v>
      </c>
    </row>
    <row r="981" ht="29.75" spans="1:14">
      <c r="A981" s="29" t="s">
        <v>3554</v>
      </c>
      <c r="B981" s="30">
        <v>45077</v>
      </c>
      <c r="C981" s="29" t="s">
        <v>3555</v>
      </c>
      <c r="D981" s="29" t="s">
        <v>16</v>
      </c>
      <c r="E981" s="31">
        <v>3</v>
      </c>
      <c r="F981" s="31">
        <v>669.06</v>
      </c>
      <c r="G981" s="29" t="s">
        <v>1113</v>
      </c>
      <c r="H981" s="29" t="s">
        <v>65</v>
      </c>
      <c r="I981" s="29" t="s">
        <v>50</v>
      </c>
      <c r="J981" s="29" t="s">
        <v>3556</v>
      </c>
      <c r="K981" s="31">
        <v>7</v>
      </c>
      <c r="L981" s="29" t="s">
        <v>21</v>
      </c>
      <c r="M981" s="29" t="s">
        <v>45</v>
      </c>
      <c r="N981" s="31">
        <v>2007.18</v>
      </c>
    </row>
    <row r="982" ht="29.75" spans="1:14">
      <c r="A982" s="29" t="s">
        <v>3557</v>
      </c>
      <c r="B982" s="30">
        <v>45213</v>
      </c>
      <c r="C982" s="29" t="s">
        <v>3558</v>
      </c>
      <c r="D982" s="29" t="s">
        <v>41</v>
      </c>
      <c r="E982" s="31">
        <v>3</v>
      </c>
      <c r="F982" s="31">
        <v>69.65</v>
      </c>
      <c r="G982" s="29" t="s">
        <v>3559</v>
      </c>
      <c r="H982" s="29" t="s">
        <v>65</v>
      </c>
      <c r="I982" s="29" t="s">
        <v>50</v>
      </c>
      <c r="J982" s="29" t="s">
        <v>3560</v>
      </c>
      <c r="K982" s="31">
        <v>7</v>
      </c>
      <c r="L982" s="29" t="s">
        <v>81</v>
      </c>
      <c r="M982" s="29" t="s">
        <v>22</v>
      </c>
      <c r="N982" s="31">
        <v>208.95</v>
      </c>
    </row>
    <row r="983" ht="29.75" spans="1:14">
      <c r="A983" s="29" t="s">
        <v>3561</v>
      </c>
      <c r="B983" s="30">
        <v>45256</v>
      </c>
      <c r="C983" s="29" t="s">
        <v>3562</v>
      </c>
      <c r="D983" s="29" t="s">
        <v>25</v>
      </c>
      <c r="E983" s="31">
        <v>4</v>
      </c>
      <c r="F983" s="31">
        <v>136.83</v>
      </c>
      <c r="G983" s="29" t="s">
        <v>3563</v>
      </c>
      <c r="H983" s="29" t="s">
        <v>18</v>
      </c>
      <c r="I983" s="29" t="s">
        <v>89</v>
      </c>
      <c r="J983" s="29" t="s">
        <v>3564</v>
      </c>
      <c r="K983" s="31">
        <v>8</v>
      </c>
      <c r="L983" s="29" t="s">
        <v>21</v>
      </c>
      <c r="M983" s="29" t="s">
        <v>38</v>
      </c>
      <c r="N983" s="31">
        <v>547.32</v>
      </c>
    </row>
    <row r="984" ht="29.75" spans="1:14">
      <c r="A984" s="29" t="s">
        <v>3565</v>
      </c>
      <c r="B984" s="30">
        <v>45541</v>
      </c>
      <c r="C984" s="29" t="s">
        <v>3566</v>
      </c>
      <c r="D984" s="29" t="s">
        <v>16</v>
      </c>
      <c r="E984" s="31">
        <v>1</v>
      </c>
      <c r="F984" s="31">
        <v>304.11</v>
      </c>
      <c r="G984" s="29" t="s">
        <v>2668</v>
      </c>
      <c r="H984" s="29" t="s">
        <v>60</v>
      </c>
      <c r="I984" s="29" t="s">
        <v>19</v>
      </c>
      <c r="J984" s="29" t="s">
        <v>3567</v>
      </c>
      <c r="K984" s="31">
        <v>2</v>
      </c>
      <c r="L984" s="29" t="s">
        <v>21</v>
      </c>
      <c r="M984" s="29" t="s">
        <v>29</v>
      </c>
      <c r="N984" s="31">
        <v>304.11</v>
      </c>
    </row>
    <row r="985" ht="29.75" spans="1:14">
      <c r="A985" s="29" t="s">
        <v>3568</v>
      </c>
      <c r="B985" s="30">
        <v>45620</v>
      </c>
      <c r="C985" s="29" t="s">
        <v>3569</v>
      </c>
      <c r="D985" s="29" t="s">
        <v>16</v>
      </c>
      <c r="E985" s="31">
        <v>4</v>
      </c>
      <c r="F985" s="31">
        <v>296.28</v>
      </c>
      <c r="G985" s="29" t="s">
        <v>3570</v>
      </c>
      <c r="H985" s="29" t="s">
        <v>60</v>
      </c>
      <c r="I985" s="29" t="s">
        <v>19</v>
      </c>
      <c r="J985" s="29" t="s">
        <v>3571</v>
      </c>
      <c r="K985" s="31">
        <v>5</v>
      </c>
      <c r="L985" s="29" t="s">
        <v>21</v>
      </c>
      <c r="M985" s="29" t="s">
        <v>38</v>
      </c>
      <c r="N985" s="31">
        <v>1185.12</v>
      </c>
    </row>
    <row r="986" ht="29.75" spans="1:14">
      <c r="A986" s="29" t="s">
        <v>3572</v>
      </c>
      <c r="B986" s="30">
        <v>45716</v>
      </c>
      <c r="C986" s="29" t="s">
        <v>3573</v>
      </c>
      <c r="D986" s="29" t="s">
        <v>73</v>
      </c>
      <c r="E986" s="31">
        <v>1</v>
      </c>
      <c r="F986" s="31">
        <v>77.64</v>
      </c>
      <c r="G986" s="29" t="s">
        <v>64</v>
      </c>
      <c r="H986" s="29" t="s">
        <v>34</v>
      </c>
      <c r="I986" s="29" t="s">
        <v>19</v>
      </c>
      <c r="J986" s="29" t="s">
        <v>3574</v>
      </c>
      <c r="K986" s="31">
        <v>1</v>
      </c>
      <c r="L986" s="29" t="s">
        <v>37</v>
      </c>
      <c r="M986" s="29" t="s">
        <v>45</v>
      </c>
      <c r="N986" s="31">
        <v>77.64</v>
      </c>
    </row>
    <row r="987" ht="29.75" spans="1:14">
      <c r="A987" s="29" t="s">
        <v>3575</v>
      </c>
      <c r="B987" s="30">
        <v>45493</v>
      </c>
      <c r="C987" s="29" t="s">
        <v>3576</v>
      </c>
      <c r="D987" s="29" t="s">
        <v>73</v>
      </c>
      <c r="E987" s="31">
        <v>1</v>
      </c>
      <c r="F987" s="31">
        <v>243.71</v>
      </c>
      <c r="G987" s="29" t="s">
        <v>929</v>
      </c>
      <c r="H987" s="29" t="s">
        <v>60</v>
      </c>
      <c r="I987" s="29" t="s">
        <v>50</v>
      </c>
      <c r="J987" s="29" t="s">
        <v>3577</v>
      </c>
      <c r="K987" s="31">
        <v>6</v>
      </c>
      <c r="L987" s="29" t="s">
        <v>21</v>
      </c>
      <c r="M987" s="29" t="s">
        <v>76</v>
      </c>
      <c r="N987" s="31">
        <v>243.71</v>
      </c>
    </row>
    <row r="988" ht="29.75" spans="1:14">
      <c r="A988" s="29" t="s">
        <v>3578</v>
      </c>
      <c r="B988" s="30">
        <v>45542</v>
      </c>
      <c r="C988" s="29" t="s">
        <v>3579</v>
      </c>
      <c r="D988" s="29" t="s">
        <v>58</v>
      </c>
      <c r="E988" s="31">
        <v>4</v>
      </c>
      <c r="F988" s="31">
        <v>644.96</v>
      </c>
      <c r="G988" s="29" t="s">
        <v>426</v>
      </c>
      <c r="H988" s="29" t="s">
        <v>34</v>
      </c>
      <c r="I988" s="29" t="s">
        <v>89</v>
      </c>
      <c r="J988" s="29" t="s">
        <v>3580</v>
      </c>
      <c r="K988" s="31">
        <v>7</v>
      </c>
      <c r="L988" s="29" t="s">
        <v>37</v>
      </c>
      <c r="M988" s="29" t="s">
        <v>38</v>
      </c>
      <c r="N988" s="31">
        <v>2579.84</v>
      </c>
    </row>
    <row r="989" ht="29.75" spans="1:14">
      <c r="A989" s="29" t="s">
        <v>3581</v>
      </c>
      <c r="B989" s="30">
        <v>45813</v>
      </c>
      <c r="C989" s="29" t="s">
        <v>3582</v>
      </c>
      <c r="D989" s="29" t="s">
        <v>25</v>
      </c>
      <c r="E989" s="31">
        <v>5</v>
      </c>
      <c r="F989" s="31">
        <v>283.73</v>
      </c>
      <c r="G989" s="29" t="s">
        <v>1697</v>
      </c>
      <c r="H989" s="29" t="s">
        <v>60</v>
      </c>
      <c r="I989" s="29" t="s">
        <v>89</v>
      </c>
      <c r="J989" s="29" t="s">
        <v>3583</v>
      </c>
      <c r="K989" s="31">
        <v>8</v>
      </c>
      <c r="L989" s="29" t="s">
        <v>37</v>
      </c>
      <c r="M989" s="29" t="s">
        <v>22</v>
      </c>
      <c r="N989" s="31">
        <v>1418.65</v>
      </c>
    </row>
    <row r="990" ht="29.75" spans="1:14">
      <c r="A990" s="29" t="s">
        <v>3584</v>
      </c>
      <c r="B990" s="30">
        <v>45692</v>
      </c>
      <c r="C990" s="29" t="s">
        <v>3585</v>
      </c>
      <c r="D990" s="29" t="s">
        <v>73</v>
      </c>
      <c r="E990" s="31">
        <v>2</v>
      </c>
      <c r="F990" s="31">
        <v>629.56</v>
      </c>
      <c r="G990" s="29" t="s">
        <v>1317</v>
      </c>
      <c r="H990" s="29" t="s">
        <v>60</v>
      </c>
      <c r="I990" s="29" t="s">
        <v>35</v>
      </c>
      <c r="J990" s="29" t="s">
        <v>3586</v>
      </c>
      <c r="K990" s="31">
        <v>5</v>
      </c>
      <c r="L990" s="29" t="s">
        <v>81</v>
      </c>
      <c r="M990" s="29" t="s">
        <v>22</v>
      </c>
      <c r="N990" s="31">
        <v>1259.12</v>
      </c>
    </row>
    <row r="991" ht="29.75" spans="1:14">
      <c r="A991" s="29" t="s">
        <v>3587</v>
      </c>
      <c r="B991" s="30">
        <v>45008</v>
      </c>
      <c r="C991" s="29" t="s">
        <v>3588</v>
      </c>
      <c r="D991" s="29" t="s">
        <v>58</v>
      </c>
      <c r="E991" s="31">
        <v>4</v>
      </c>
      <c r="F991" s="31">
        <v>246.11</v>
      </c>
      <c r="G991" s="29" t="s">
        <v>3589</v>
      </c>
      <c r="H991" s="29" t="s">
        <v>34</v>
      </c>
      <c r="I991" s="29" t="s">
        <v>89</v>
      </c>
      <c r="J991" s="29" t="s">
        <v>3590</v>
      </c>
      <c r="K991" s="31">
        <v>4</v>
      </c>
      <c r="L991" s="29" t="s">
        <v>21</v>
      </c>
      <c r="M991" s="29" t="s">
        <v>22</v>
      </c>
      <c r="N991" s="31">
        <v>984.44</v>
      </c>
    </row>
    <row r="992" ht="29.75" spans="1:14">
      <c r="A992" s="29" t="s">
        <v>3591</v>
      </c>
      <c r="B992" s="30">
        <v>45249</v>
      </c>
      <c r="C992" s="29" t="s">
        <v>3592</v>
      </c>
      <c r="D992" s="29" t="s">
        <v>25</v>
      </c>
      <c r="E992" s="31">
        <v>2</v>
      </c>
      <c r="F992" s="31">
        <v>418.26</v>
      </c>
      <c r="G992" s="29" t="s">
        <v>3593</v>
      </c>
      <c r="H992" s="29" t="s">
        <v>18</v>
      </c>
      <c r="I992" s="29" t="s">
        <v>89</v>
      </c>
      <c r="J992" s="29" t="s">
        <v>3594</v>
      </c>
      <c r="K992" s="31">
        <v>2</v>
      </c>
      <c r="L992" s="29" t="s">
        <v>21</v>
      </c>
      <c r="M992" s="29" t="s">
        <v>76</v>
      </c>
      <c r="N992" s="31">
        <v>836.52</v>
      </c>
    </row>
    <row r="993" ht="29.75" spans="1:14">
      <c r="A993" s="29" t="s">
        <v>3595</v>
      </c>
      <c r="B993" s="30">
        <v>45421</v>
      </c>
      <c r="C993" s="29" t="s">
        <v>3596</v>
      </c>
      <c r="D993" s="29" t="s">
        <v>73</v>
      </c>
      <c r="E993" s="31">
        <v>5</v>
      </c>
      <c r="F993" s="31">
        <v>127.18</v>
      </c>
      <c r="G993" s="29" t="s">
        <v>580</v>
      </c>
      <c r="H993" s="29" t="s">
        <v>18</v>
      </c>
      <c r="I993" s="29" t="s">
        <v>35</v>
      </c>
      <c r="J993" s="29" t="s">
        <v>3597</v>
      </c>
      <c r="K993" s="31">
        <v>10</v>
      </c>
      <c r="L993" s="29" t="s">
        <v>37</v>
      </c>
      <c r="M993" s="29" t="s">
        <v>76</v>
      </c>
      <c r="N993" s="31">
        <v>635.9</v>
      </c>
    </row>
    <row r="994" ht="29.75" spans="1:14">
      <c r="A994" s="29" t="s">
        <v>3598</v>
      </c>
      <c r="B994" s="30">
        <v>45531</v>
      </c>
      <c r="C994" s="29" t="s">
        <v>3599</v>
      </c>
      <c r="D994" s="29" t="s">
        <v>48</v>
      </c>
      <c r="E994" s="31">
        <v>3</v>
      </c>
      <c r="F994" s="31">
        <v>586.21</v>
      </c>
      <c r="G994" s="29" t="s">
        <v>603</v>
      </c>
      <c r="H994" s="29" t="s">
        <v>60</v>
      </c>
      <c r="I994" s="29" t="s">
        <v>89</v>
      </c>
      <c r="J994" s="29" t="s">
        <v>3600</v>
      </c>
      <c r="K994" s="31">
        <v>4</v>
      </c>
      <c r="L994" s="29" t="s">
        <v>81</v>
      </c>
      <c r="M994" s="29" t="s">
        <v>29</v>
      </c>
      <c r="N994" s="31">
        <v>1758.63</v>
      </c>
    </row>
    <row r="995" ht="29.75" spans="1:14">
      <c r="A995" s="29" t="s">
        <v>3601</v>
      </c>
      <c r="B995" s="30">
        <v>45388</v>
      </c>
      <c r="C995" s="29" t="s">
        <v>3602</v>
      </c>
      <c r="D995" s="29" t="s">
        <v>16</v>
      </c>
      <c r="E995" s="31">
        <v>3</v>
      </c>
      <c r="F995" s="31">
        <v>267.45</v>
      </c>
      <c r="G995" s="29" t="s">
        <v>3603</v>
      </c>
      <c r="H995" s="29" t="s">
        <v>60</v>
      </c>
      <c r="I995" s="29" t="s">
        <v>50</v>
      </c>
      <c r="J995" s="29" t="s">
        <v>3604</v>
      </c>
      <c r="K995" s="31">
        <v>5</v>
      </c>
      <c r="L995" s="29" t="s">
        <v>81</v>
      </c>
      <c r="M995" s="29" t="s">
        <v>22</v>
      </c>
      <c r="N995" s="31">
        <v>802.35</v>
      </c>
    </row>
    <row r="996" ht="29.75" spans="1:14">
      <c r="A996" s="29" t="s">
        <v>3605</v>
      </c>
      <c r="B996" s="30">
        <v>45470</v>
      </c>
      <c r="C996" s="29" t="s">
        <v>3606</v>
      </c>
      <c r="D996" s="29" t="s">
        <v>32</v>
      </c>
      <c r="E996" s="31">
        <v>4</v>
      </c>
      <c r="F996" s="31">
        <v>615.65</v>
      </c>
      <c r="G996" s="29" t="s">
        <v>363</v>
      </c>
      <c r="H996" s="29" t="s">
        <v>18</v>
      </c>
      <c r="I996" s="29" t="s">
        <v>50</v>
      </c>
      <c r="J996" s="29" t="s">
        <v>3607</v>
      </c>
      <c r="K996" s="31">
        <v>9</v>
      </c>
      <c r="L996" s="29" t="s">
        <v>81</v>
      </c>
      <c r="M996" s="29" t="s">
        <v>76</v>
      </c>
      <c r="N996" s="31">
        <v>2462.6</v>
      </c>
    </row>
    <row r="997" ht="29.75" spans="1:14">
      <c r="A997" s="29" t="s">
        <v>3608</v>
      </c>
      <c r="B997" s="30">
        <v>45248</v>
      </c>
      <c r="C997" s="29" t="s">
        <v>3609</v>
      </c>
      <c r="D997" s="29" t="s">
        <v>16</v>
      </c>
      <c r="E997" s="31">
        <v>2</v>
      </c>
      <c r="F997" s="31">
        <v>113.29</v>
      </c>
      <c r="G997" s="29" t="s">
        <v>1992</v>
      </c>
      <c r="H997" s="29" t="s">
        <v>65</v>
      </c>
      <c r="I997" s="29" t="s">
        <v>89</v>
      </c>
      <c r="J997" s="29" t="s">
        <v>3610</v>
      </c>
      <c r="K997" s="31">
        <v>5</v>
      </c>
      <c r="L997" s="29" t="s">
        <v>21</v>
      </c>
      <c r="M997" s="29" t="s">
        <v>45</v>
      </c>
      <c r="N997" s="31">
        <v>226.58</v>
      </c>
    </row>
    <row r="998" ht="29.75" spans="1:14">
      <c r="A998" s="29" t="s">
        <v>3611</v>
      </c>
      <c r="B998" s="30">
        <v>45410</v>
      </c>
      <c r="C998" s="29" t="s">
        <v>3612</v>
      </c>
      <c r="D998" s="29" t="s">
        <v>16</v>
      </c>
      <c r="E998" s="31">
        <v>4</v>
      </c>
      <c r="F998" s="31">
        <v>473.86</v>
      </c>
      <c r="G998" s="29" t="s">
        <v>1256</v>
      </c>
      <c r="H998" s="29" t="s">
        <v>18</v>
      </c>
      <c r="I998" s="29" t="s">
        <v>50</v>
      </c>
      <c r="J998" s="29" t="s">
        <v>3613</v>
      </c>
      <c r="K998" s="31">
        <v>7</v>
      </c>
      <c r="L998" s="29" t="s">
        <v>21</v>
      </c>
      <c r="M998" s="29" t="s">
        <v>45</v>
      </c>
      <c r="N998" s="31">
        <v>1895.44</v>
      </c>
    </row>
    <row r="999" ht="29.75" spans="1:14">
      <c r="A999" s="29" t="s">
        <v>3614</v>
      </c>
      <c r="B999" s="30">
        <v>45257</v>
      </c>
      <c r="C999" s="29" t="s">
        <v>3615</v>
      </c>
      <c r="D999" s="29" t="s">
        <v>58</v>
      </c>
      <c r="E999" s="31">
        <v>3</v>
      </c>
      <c r="F999" s="31">
        <v>444.75</v>
      </c>
      <c r="G999" s="29" t="s">
        <v>1938</v>
      </c>
      <c r="H999" s="29" t="s">
        <v>65</v>
      </c>
      <c r="I999" s="29" t="s">
        <v>50</v>
      </c>
      <c r="J999" s="29" t="s">
        <v>3616</v>
      </c>
      <c r="K999" s="31">
        <v>6</v>
      </c>
      <c r="L999" s="29" t="s">
        <v>21</v>
      </c>
      <c r="M999" s="29" t="s">
        <v>45</v>
      </c>
      <c r="N999" s="31">
        <v>1334.25</v>
      </c>
    </row>
    <row r="1000" ht="29.75" spans="1:14">
      <c r="A1000" s="29" t="s">
        <v>3617</v>
      </c>
      <c r="B1000" s="30">
        <v>45065</v>
      </c>
      <c r="C1000" s="29" t="s">
        <v>3618</v>
      </c>
      <c r="D1000" s="29" t="s">
        <v>25</v>
      </c>
      <c r="E1000" s="31">
        <v>2</v>
      </c>
      <c r="F1000" s="31">
        <v>183.67</v>
      </c>
      <c r="G1000" s="29" t="s">
        <v>956</v>
      </c>
      <c r="H1000" s="29" t="s">
        <v>18</v>
      </c>
      <c r="I1000" s="29" t="s">
        <v>35</v>
      </c>
      <c r="J1000" s="29" t="s">
        <v>3619</v>
      </c>
      <c r="K1000" s="31">
        <v>6</v>
      </c>
      <c r="L1000" s="29" t="s">
        <v>21</v>
      </c>
      <c r="M1000" s="29" t="s">
        <v>76</v>
      </c>
      <c r="N1000" s="31">
        <v>367.34</v>
      </c>
    </row>
    <row r="1001" ht="29.75" spans="1:14">
      <c r="A1001" s="29" t="s">
        <v>3620</v>
      </c>
      <c r="B1001" s="30">
        <v>45284</v>
      </c>
      <c r="C1001" s="29" t="s">
        <v>3621</v>
      </c>
      <c r="D1001" s="29" t="s">
        <v>48</v>
      </c>
      <c r="E1001" s="31">
        <v>1</v>
      </c>
      <c r="F1001" s="31">
        <v>483.38</v>
      </c>
      <c r="G1001" s="29" t="s">
        <v>1620</v>
      </c>
      <c r="H1001" s="29" t="s">
        <v>65</v>
      </c>
      <c r="I1001" s="29" t="s">
        <v>89</v>
      </c>
      <c r="J1001" s="29" t="s">
        <v>3622</v>
      </c>
      <c r="K1001" s="31">
        <v>6</v>
      </c>
      <c r="L1001" s="29" t="s">
        <v>37</v>
      </c>
      <c r="M1001" s="29" t="s">
        <v>76</v>
      </c>
      <c r="N1001" s="31">
        <v>483.38</v>
      </c>
    </row>
    <row r="1002" ht="29.75" spans="1:14">
      <c r="A1002" s="29" t="s">
        <v>3623</v>
      </c>
      <c r="B1002" s="30">
        <v>45098</v>
      </c>
      <c r="C1002" s="29" t="s">
        <v>3624</v>
      </c>
      <c r="D1002" s="29" t="s">
        <v>48</v>
      </c>
      <c r="E1002" s="31">
        <v>5</v>
      </c>
      <c r="F1002" s="31">
        <v>260.93</v>
      </c>
      <c r="G1002" s="29" t="s">
        <v>3625</v>
      </c>
      <c r="H1002" s="29" t="s">
        <v>27</v>
      </c>
      <c r="I1002" s="29" t="s">
        <v>50</v>
      </c>
      <c r="J1002" s="29" t="s">
        <v>3626</v>
      </c>
      <c r="K1002" s="31">
        <v>9</v>
      </c>
      <c r="L1002" s="29" t="s">
        <v>21</v>
      </c>
      <c r="M1002" s="29" t="s">
        <v>38</v>
      </c>
      <c r="N1002" s="31">
        <v>1304.65</v>
      </c>
    </row>
    <row r="1003" ht="29.75" spans="1:14">
      <c r="A1003" s="29" t="s">
        <v>3627</v>
      </c>
      <c r="B1003" s="30">
        <v>45268</v>
      </c>
      <c r="C1003" s="29" t="s">
        <v>3628</v>
      </c>
      <c r="D1003" s="29" t="s">
        <v>48</v>
      </c>
      <c r="E1003" s="31">
        <v>2</v>
      </c>
      <c r="F1003" s="31">
        <v>253.68</v>
      </c>
      <c r="G1003" s="29" t="s">
        <v>494</v>
      </c>
      <c r="H1003" s="29" t="s">
        <v>60</v>
      </c>
      <c r="I1003" s="29" t="s">
        <v>19</v>
      </c>
      <c r="J1003" s="29" t="s">
        <v>3629</v>
      </c>
      <c r="K1003" s="31">
        <v>6</v>
      </c>
      <c r="L1003" s="29"/>
      <c r="M1003" s="29" t="s">
        <v>29</v>
      </c>
      <c r="N1003" s="31">
        <v>507.36</v>
      </c>
    </row>
    <row r="1004" ht="29.75" spans="1:14">
      <c r="A1004" s="29" t="s">
        <v>3630</v>
      </c>
      <c r="B1004" s="30">
        <v>45827</v>
      </c>
      <c r="C1004" s="29" t="s">
        <v>3631</v>
      </c>
      <c r="D1004" s="29" t="s">
        <v>32</v>
      </c>
      <c r="E1004" s="31">
        <v>4</v>
      </c>
      <c r="F1004" s="31">
        <v>699.88</v>
      </c>
      <c r="G1004" s="29" t="s">
        <v>442</v>
      </c>
      <c r="H1004" s="29" t="s">
        <v>65</v>
      </c>
      <c r="I1004" s="29" t="s">
        <v>89</v>
      </c>
      <c r="J1004" s="29" t="s">
        <v>3632</v>
      </c>
      <c r="K1004" s="31">
        <v>5</v>
      </c>
      <c r="L1004" s="29" t="s">
        <v>81</v>
      </c>
      <c r="M1004" s="29" t="s">
        <v>29</v>
      </c>
      <c r="N1004" s="31">
        <v>2799.52</v>
      </c>
    </row>
    <row r="1005" ht="29.75" spans="1:14">
      <c r="A1005" s="29" t="s">
        <v>3633</v>
      </c>
      <c r="B1005" s="30">
        <v>44937</v>
      </c>
      <c r="C1005" s="29" t="s">
        <v>3634</v>
      </c>
      <c r="D1005" s="29" t="s">
        <v>48</v>
      </c>
      <c r="E1005" s="31">
        <v>5</v>
      </c>
      <c r="F1005" s="31">
        <v>319.97</v>
      </c>
      <c r="G1005" s="29" t="s">
        <v>3625</v>
      </c>
      <c r="H1005" s="29" t="s">
        <v>65</v>
      </c>
      <c r="I1005" s="29" t="s">
        <v>19</v>
      </c>
      <c r="J1005" s="29" t="s">
        <v>3635</v>
      </c>
      <c r="K1005" s="31">
        <v>7</v>
      </c>
      <c r="L1005" s="29" t="s">
        <v>21</v>
      </c>
      <c r="M1005" s="29" t="s">
        <v>76</v>
      </c>
      <c r="N1005" s="31">
        <v>1599.85</v>
      </c>
    </row>
    <row r="1006" ht="29.75" spans="1:14">
      <c r="A1006" s="29" t="s">
        <v>3636</v>
      </c>
      <c r="B1006" s="30">
        <v>45817</v>
      </c>
      <c r="C1006" s="29" t="s">
        <v>3637</v>
      </c>
      <c r="D1006" s="29" t="s">
        <v>41</v>
      </c>
      <c r="E1006" s="31">
        <v>4</v>
      </c>
      <c r="F1006" s="31">
        <v>246.91</v>
      </c>
      <c r="G1006" s="29" t="s">
        <v>145</v>
      </c>
      <c r="H1006" s="29" t="s">
        <v>27</v>
      </c>
      <c r="I1006" s="29" t="s">
        <v>89</v>
      </c>
      <c r="J1006" s="29" t="s">
        <v>3638</v>
      </c>
      <c r="K1006" s="31">
        <v>8</v>
      </c>
      <c r="L1006" s="29" t="s">
        <v>21</v>
      </c>
      <c r="M1006" s="29" t="s">
        <v>29</v>
      </c>
      <c r="N1006" s="31">
        <v>987.64</v>
      </c>
    </row>
    <row r="1007" ht="29.75" spans="1:14">
      <c r="A1007" s="29" t="s">
        <v>3639</v>
      </c>
      <c r="B1007" s="30">
        <v>44987</v>
      </c>
      <c r="C1007" s="29" t="s">
        <v>3640</v>
      </c>
      <c r="D1007" s="29" t="s">
        <v>48</v>
      </c>
      <c r="E1007" s="31">
        <v>3</v>
      </c>
      <c r="F1007" s="31">
        <v>392.85</v>
      </c>
      <c r="G1007" s="29" t="s">
        <v>2948</v>
      </c>
      <c r="H1007" s="29" t="s">
        <v>34</v>
      </c>
      <c r="I1007" s="29" t="s">
        <v>43</v>
      </c>
      <c r="J1007" s="29" t="s">
        <v>3641</v>
      </c>
      <c r="K1007" s="31">
        <v>6</v>
      </c>
      <c r="L1007" s="29"/>
      <c r="M1007" s="29" t="s">
        <v>76</v>
      </c>
      <c r="N1007" s="31">
        <v>1178.55</v>
      </c>
    </row>
    <row r="1008" ht="29.75" spans="1:14">
      <c r="A1008" s="29" t="s">
        <v>3642</v>
      </c>
      <c r="B1008" s="30">
        <v>45439</v>
      </c>
      <c r="C1008" s="29" t="s">
        <v>3643</v>
      </c>
      <c r="D1008" s="29" t="s">
        <v>32</v>
      </c>
      <c r="E1008" s="31">
        <v>5</v>
      </c>
      <c r="F1008" s="31">
        <v>420.98</v>
      </c>
      <c r="G1008" s="29" t="s">
        <v>2519</v>
      </c>
      <c r="H1008" s="29" t="s">
        <v>65</v>
      </c>
      <c r="I1008" s="29" t="s">
        <v>50</v>
      </c>
      <c r="J1008" s="29" t="s">
        <v>3644</v>
      </c>
      <c r="K1008" s="31">
        <v>7</v>
      </c>
      <c r="L1008" s="29" t="s">
        <v>21</v>
      </c>
      <c r="M1008" s="29" t="s">
        <v>45</v>
      </c>
      <c r="N1008" s="31">
        <v>2104.9</v>
      </c>
    </row>
    <row r="1009" ht="29.75" spans="1:14">
      <c r="A1009" s="29" t="s">
        <v>3645</v>
      </c>
      <c r="B1009" s="30">
        <v>45371</v>
      </c>
      <c r="C1009" s="29" t="s">
        <v>1868</v>
      </c>
      <c r="D1009" s="29" t="s">
        <v>16</v>
      </c>
      <c r="E1009" s="31">
        <v>2</v>
      </c>
      <c r="F1009" s="31">
        <v>73.26</v>
      </c>
      <c r="G1009" s="29" t="s">
        <v>415</v>
      </c>
      <c r="H1009" s="29" t="s">
        <v>65</v>
      </c>
      <c r="I1009" s="29" t="s">
        <v>89</v>
      </c>
      <c r="J1009" s="29" t="s">
        <v>3646</v>
      </c>
      <c r="K1009" s="31">
        <v>4</v>
      </c>
      <c r="L1009" s="29" t="s">
        <v>81</v>
      </c>
      <c r="M1009" s="29" t="s">
        <v>45</v>
      </c>
      <c r="N1009" s="31">
        <v>146.52</v>
      </c>
    </row>
    <row r="1010" ht="29.75" spans="1:14">
      <c r="A1010" s="29" t="s">
        <v>3647</v>
      </c>
      <c r="B1010" s="30">
        <v>44939</v>
      </c>
      <c r="C1010" s="29" t="s">
        <v>3648</v>
      </c>
      <c r="D1010" s="29" t="s">
        <v>16</v>
      </c>
      <c r="E1010" s="31">
        <v>3</v>
      </c>
      <c r="F1010" s="31">
        <v>410.88</v>
      </c>
      <c r="G1010" s="29" t="s">
        <v>2866</v>
      </c>
      <c r="H1010" s="29" t="s">
        <v>65</v>
      </c>
      <c r="I1010" s="29" t="s">
        <v>50</v>
      </c>
      <c r="J1010" s="29" t="s">
        <v>3649</v>
      </c>
      <c r="K1010" s="31">
        <v>8</v>
      </c>
      <c r="L1010" s="29" t="s">
        <v>37</v>
      </c>
      <c r="M1010" s="29" t="s">
        <v>22</v>
      </c>
      <c r="N1010" s="31">
        <v>1232.64</v>
      </c>
    </row>
    <row r="1011" ht="29.75" spans="1:14">
      <c r="A1011" s="29" t="s">
        <v>3650</v>
      </c>
      <c r="B1011" s="30">
        <v>45171</v>
      </c>
      <c r="C1011" s="29" t="s">
        <v>3651</v>
      </c>
      <c r="D1011" s="29" t="s">
        <v>32</v>
      </c>
      <c r="E1011" s="31">
        <v>2</v>
      </c>
      <c r="F1011" s="31">
        <v>176.46</v>
      </c>
      <c r="G1011" s="29" t="s">
        <v>1945</v>
      </c>
      <c r="H1011" s="29" t="s">
        <v>34</v>
      </c>
      <c r="I1011" s="29" t="s">
        <v>50</v>
      </c>
      <c r="J1011" s="29" t="s">
        <v>3652</v>
      </c>
      <c r="K1011" s="31">
        <v>2</v>
      </c>
      <c r="L1011" s="29" t="s">
        <v>37</v>
      </c>
      <c r="M1011" s="29" t="s">
        <v>38</v>
      </c>
      <c r="N1011" s="31">
        <v>352.92</v>
      </c>
    </row>
    <row r="1012" ht="29.75" spans="1:14">
      <c r="A1012" s="29" t="s">
        <v>3653</v>
      </c>
      <c r="B1012" s="30">
        <v>45016</v>
      </c>
      <c r="C1012" s="29" t="s">
        <v>3654</v>
      </c>
      <c r="D1012" s="29" t="s">
        <v>16</v>
      </c>
      <c r="E1012" s="31">
        <v>3</v>
      </c>
      <c r="F1012" s="31">
        <v>659.57</v>
      </c>
      <c r="G1012" s="29" t="s">
        <v>426</v>
      </c>
      <c r="H1012" s="29" t="s">
        <v>34</v>
      </c>
      <c r="I1012" s="29" t="s">
        <v>35</v>
      </c>
      <c r="J1012" s="29" t="s">
        <v>3655</v>
      </c>
      <c r="K1012" s="31">
        <v>6</v>
      </c>
      <c r="L1012" s="29" t="s">
        <v>21</v>
      </c>
      <c r="M1012" s="29" t="s">
        <v>38</v>
      </c>
      <c r="N1012" s="31">
        <v>1978.71</v>
      </c>
    </row>
    <row r="1013" ht="29.75" spans="1:14">
      <c r="A1013" s="29" t="s">
        <v>3656</v>
      </c>
      <c r="B1013" s="30">
        <v>45629</v>
      </c>
      <c r="C1013" s="29" t="s">
        <v>3657</v>
      </c>
      <c r="D1013" s="29" t="s">
        <v>25</v>
      </c>
      <c r="E1013" s="31">
        <v>2</v>
      </c>
      <c r="F1013" s="31">
        <v>478.36</v>
      </c>
      <c r="G1013" s="29" t="s">
        <v>1105</v>
      </c>
      <c r="H1013" s="29" t="s">
        <v>27</v>
      </c>
      <c r="I1013" s="29" t="s">
        <v>19</v>
      </c>
      <c r="J1013" s="29" t="s">
        <v>3658</v>
      </c>
      <c r="K1013" s="31">
        <v>3</v>
      </c>
      <c r="L1013" s="29"/>
      <c r="M1013" s="29" t="s">
        <v>76</v>
      </c>
      <c r="N1013" s="31">
        <v>956.72</v>
      </c>
    </row>
    <row r="1014" ht="29.75" spans="1:14">
      <c r="A1014" s="29" t="s">
        <v>3659</v>
      </c>
      <c r="B1014" s="30">
        <v>45629</v>
      </c>
      <c r="C1014" s="29" t="s">
        <v>3660</v>
      </c>
      <c r="D1014" s="29" t="s">
        <v>48</v>
      </c>
      <c r="E1014" s="31">
        <v>4</v>
      </c>
      <c r="F1014" s="31">
        <v>30.05</v>
      </c>
      <c r="G1014" s="29" t="s">
        <v>1252</v>
      </c>
      <c r="H1014" s="29" t="s">
        <v>27</v>
      </c>
      <c r="I1014" s="29" t="s">
        <v>43</v>
      </c>
      <c r="J1014" s="29" t="s">
        <v>3661</v>
      </c>
      <c r="K1014" s="31">
        <v>6</v>
      </c>
      <c r="L1014" s="29"/>
      <c r="M1014" s="29" t="s">
        <v>45</v>
      </c>
      <c r="N1014" s="31">
        <v>120.2</v>
      </c>
    </row>
    <row r="1015" ht="29.75" spans="1:14">
      <c r="A1015" s="29" t="s">
        <v>3662</v>
      </c>
      <c r="B1015" s="30">
        <v>45773</v>
      </c>
      <c r="C1015" s="29" t="s">
        <v>3663</v>
      </c>
      <c r="D1015" s="29" t="s">
        <v>58</v>
      </c>
      <c r="E1015" s="31">
        <v>4</v>
      </c>
      <c r="F1015" s="31">
        <v>300.56</v>
      </c>
      <c r="G1015" s="29" t="s">
        <v>265</v>
      </c>
      <c r="H1015" s="29" t="s">
        <v>65</v>
      </c>
      <c r="I1015" s="29" t="s">
        <v>35</v>
      </c>
      <c r="J1015" s="29" t="s">
        <v>3664</v>
      </c>
      <c r="K1015" s="31">
        <v>9</v>
      </c>
      <c r="L1015" s="29" t="s">
        <v>37</v>
      </c>
      <c r="M1015" s="29" t="s">
        <v>45</v>
      </c>
      <c r="N1015" s="31">
        <v>1202.24</v>
      </c>
    </row>
    <row r="1016" ht="29.75" spans="1:14">
      <c r="A1016" s="29" t="s">
        <v>3665</v>
      </c>
      <c r="B1016" s="30">
        <v>45326</v>
      </c>
      <c r="C1016" s="29" t="s">
        <v>3666</v>
      </c>
      <c r="D1016" s="29" t="s">
        <v>32</v>
      </c>
      <c r="E1016" s="31">
        <v>5</v>
      </c>
      <c r="F1016" s="31">
        <v>226.45</v>
      </c>
      <c r="G1016" s="29" t="s">
        <v>1743</v>
      </c>
      <c r="H1016" s="29" t="s">
        <v>18</v>
      </c>
      <c r="I1016" s="29" t="s">
        <v>43</v>
      </c>
      <c r="J1016" s="29" t="s">
        <v>3667</v>
      </c>
      <c r="K1016" s="31">
        <v>6</v>
      </c>
      <c r="L1016" s="29" t="s">
        <v>37</v>
      </c>
      <c r="M1016" s="29" t="s">
        <v>38</v>
      </c>
      <c r="N1016" s="31">
        <v>1132.25</v>
      </c>
    </row>
    <row r="1017" ht="29.75" spans="1:14">
      <c r="A1017" s="29" t="s">
        <v>3668</v>
      </c>
      <c r="B1017" s="30">
        <v>45317</v>
      </c>
      <c r="C1017" s="29" t="s">
        <v>3669</v>
      </c>
      <c r="D1017" s="29" t="s">
        <v>48</v>
      </c>
      <c r="E1017" s="31">
        <v>2</v>
      </c>
      <c r="F1017" s="31">
        <v>349.4</v>
      </c>
      <c r="G1017" s="29" t="s">
        <v>2283</v>
      </c>
      <c r="H1017" s="29" t="s">
        <v>27</v>
      </c>
      <c r="I1017" s="29" t="s">
        <v>19</v>
      </c>
      <c r="J1017" s="29" t="s">
        <v>3670</v>
      </c>
      <c r="K1017" s="31">
        <v>2</v>
      </c>
      <c r="L1017" s="29" t="s">
        <v>21</v>
      </c>
      <c r="M1017" s="29" t="s">
        <v>22</v>
      </c>
      <c r="N1017" s="31">
        <v>698.8</v>
      </c>
    </row>
    <row r="1018" ht="29.75" spans="1:14">
      <c r="A1018" s="29" t="s">
        <v>3671</v>
      </c>
      <c r="B1018" s="30">
        <v>45289</v>
      </c>
      <c r="C1018" s="29" t="s">
        <v>3672</v>
      </c>
      <c r="D1018" s="29" t="s">
        <v>32</v>
      </c>
      <c r="E1018" s="31">
        <v>5</v>
      </c>
      <c r="F1018" s="31">
        <v>268.78</v>
      </c>
      <c r="G1018" s="29" t="s">
        <v>3673</v>
      </c>
      <c r="H1018" s="29" t="s">
        <v>18</v>
      </c>
      <c r="I1018" s="29" t="s">
        <v>50</v>
      </c>
      <c r="J1018" s="29" t="s">
        <v>3674</v>
      </c>
      <c r="K1018" s="31">
        <v>7</v>
      </c>
      <c r="L1018" s="29" t="s">
        <v>81</v>
      </c>
      <c r="M1018" s="29" t="s">
        <v>38</v>
      </c>
      <c r="N1018" s="31">
        <v>1343.9</v>
      </c>
    </row>
    <row r="1019" ht="29.75" spans="1:14">
      <c r="A1019" s="29" t="s">
        <v>3675</v>
      </c>
      <c r="B1019" s="30">
        <v>45529</v>
      </c>
      <c r="C1019" s="29" t="s">
        <v>3676</v>
      </c>
      <c r="D1019" s="29" t="s">
        <v>41</v>
      </c>
      <c r="E1019" s="31">
        <v>2</v>
      </c>
      <c r="F1019" s="31">
        <v>680.85</v>
      </c>
      <c r="G1019" s="29" t="s">
        <v>3677</v>
      </c>
      <c r="H1019" s="29" t="s">
        <v>60</v>
      </c>
      <c r="I1019" s="29" t="s">
        <v>50</v>
      </c>
      <c r="J1019" s="29" t="s">
        <v>3678</v>
      </c>
      <c r="K1019" s="31">
        <v>6</v>
      </c>
      <c r="L1019" s="29" t="s">
        <v>37</v>
      </c>
      <c r="M1019" s="29" t="s">
        <v>29</v>
      </c>
      <c r="N1019" s="31">
        <v>1361.7</v>
      </c>
    </row>
    <row r="1020" ht="29.75" spans="1:14">
      <c r="A1020" s="29" t="s">
        <v>3679</v>
      </c>
      <c r="B1020" s="30">
        <v>45115</v>
      </c>
      <c r="C1020" s="29" t="s">
        <v>3680</v>
      </c>
      <c r="D1020" s="29" t="s">
        <v>58</v>
      </c>
      <c r="E1020" s="31">
        <v>3</v>
      </c>
      <c r="F1020" s="31">
        <v>182.48</v>
      </c>
      <c r="G1020" s="29" t="s">
        <v>3681</v>
      </c>
      <c r="H1020" s="29" t="s">
        <v>65</v>
      </c>
      <c r="I1020" s="29" t="s">
        <v>50</v>
      </c>
      <c r="J1020" s="29" t="s">
        <v>3682</v>
      </c>
      <c r="K1020" s="31">
        <v>3</v>
      </c>
      <c r="L1020" s="29"/>
      <c r="M1020" s="29" t="s">
        <v>22</v>
      </c>
      <c r="N1020" s="31">
        <v>547.44</v>
      </c>
    </row>
    <row r="1021" ht="29.75" spans="1:14">
      <c r="A1021" s="29" t="s">
        <v>3683</v>
      </c>
      <c r="B1021" s="30">
        <v>45388</v>
      </c>
      <c r="C1021" s="29" t="s">
        <v>3684</v>
      </c>
      <c r="D1021" s="29" t="s">
        <v>73</v>
      </c>
      <c r="E1021" s="31">
        <v>1</v>
      </c>
      <c r="F1021" s="31">
        <v>277.09</v>
      </c>
      <c r="G1021" s="29" t="s">
        <v>1348</v>
      </c>
      <c r="H1021" s="29" t="s">
        <v>65</v>
      </c>
      <c r="I1021" s="29" t="s">
        <v>43</v>
      </c>
      <c r="J1021" s="29" t="s">
        <v>3685</v>
      </c>
      <c r="K1021" s="31">
        <v>2</v>
      </c>
      <c r="L1021" s="29" t="s">
        <v>21</v>
      </c>
      <c r="M1021" s="29" t="s">
        <v>29</v>
      </c>
      <c r="N1021" s="31">
        <v>277.09</v>
      </c>
    </row>
    <row r="1022" ht="29.75" spans="1:14">
      <c r="A1022" s="29" t="s">
        <v>3686</v>
      </c>
      <c r="B1022" s="30">
        <v>45404</v>
      </c>
      <c r="C1022" s="29" t="s">
        <v>3687</v>
      </c>
      <c r="D1022" s="29" t="s">
        <v>32</v>
      </c>
      <c r="E1022" s="31">
        <v>2</v>
      </c>
      <c r="F1022" s="31">
        <v>26.5</v>
      </c>
      <c r="G1022" s="29" t="s">
        <v>1431</v>
      </c>
      <c r="H1022" s="29" t="s">
        <v>27</v>
      </c>
      <c r="I1022" s="29" t="s">
        <v>50</v>
      </c>
      <c r="J1022" s="29" t="s">
        <v>3688</v>
      </c>
      <c r="K1022" s="31">
        <v>3</v>
      </c>
      <c r="L1022" s="29" t="s">
        <v>21</v>
      </c>
      <c r="M1022" s="29" t="s">
        <v>22</v>
      </c>
      <c r="N1022" s="31">
        <v>53</v>
      </c>
    </row>
    <row r="1023" ht="29.75" spans="1:14">
      <c r="A1023" s="29" t="s">
        <v>3689</v>
      </c>
      <c r="B1023" s="30">
        <v>45222</v>
      </c>
      <c r="C1023" s="29" t="s">
        <v>3690</v>
      </c>
      <c r="D1023" s="29" t="s">
        <v>25</v>
      </c>
      <c r="E1023" s="31">
        <v>3</v>
      </c>
      <c r="F1023" s="31">
        <v>315.27</v>
      </c>
      <c r="G1023" s="29" t="s">
        <v>3192</v>
      </c>
      <c r="H1023" s="29" t="s">
        <v>34</v>
      </c>
      <c r="I1023" s="29" t="s">
        <v>35</v>
      </c>
      <c r="J1023" s="29" t="s">
        <v>3691</v>
      </c>
      <c r="K1023" s="31">
        <v>4</v>
      </c>
      <c r="L1023" s="29" t="s">
        <v>21</v>
      </c>
      <c r="M1023" s="29" t="s">
        <v>38</v>
      </c>
      <c r="N1023" s="31">
        <v>945.81</v>
      </c>
    </row>
    <row r="1024" ht="29.75" spans="1:14">
      <c r="A1024" s="29" t="s">
        <v>3692</v>
      </c>
      <c r="B1024" s="30">
        <v>45712</v>
      </c>
      <c r="C1024" s="29" t="s">
        <v>3693</v>
      </c>
      <c r="D1024" s="29" t="s">
        <v>32</v>
      </c>
      <c r="E1024" s="31">
        <v>3</v>
      </c>
      <c r="F1024" s="31">
        <v>450.98</v>
      </c>
      <c r="G1024" s="29" t="s">
        <v>2579</v>
      </c>
      <c r="H1024" s="29" t="s">
        <v>34</v>
      </c>
      <c r="I1024" s="29" t="s">
        <v>19</v>
      </c>
      <c r="J1024" s="29" t="s">
        <v>3694</v>
      </c>
      <c r="K1024" s="31">
        <v>8</v>
      </c>
      <c r="L1024" s="29" t="s">
        <v>21</v>
      </c>
      <c r="M1024" s="29" t="s">
        <v>29</v>
      </c>
      <c r="N1024" s="31">
        <v>1352.94</v>
      </c>
    </row>
    <row r="1025" ht="29.75" spans="1:14">
      <c r="A1025" s="29" t="s">
        <v>3695</v>
      </c>
      <c r="B1025" s="30">
        <v>45558</v>
      </c>
      <c r="C1025" s="29" t="s">
        <v>3696</v>
      </c>
      <c r="D1025" s="29" t="s">
        <v>58</v>
      </c>
      <c r="E1025" s="31">
        <v>5</v>
      </c>
      <c r="F1025" s="31">
        <v>233.67</v>
      </c>
      <c r="G1025" s="29" t="s">
        <v>391</v>
      </c>
      <c r="H1025" s="29" t="s">
        <v>65</v>
      </c>
      <c r="I1025" s="29" t="s">
        <v>19</v>
      </c>
      <c r="J1025" s="29" t="s">
        <v>3697</v>
      </c>
      <c r="K1025" s="31">
        <v>10</v>
      </c>
      <c r="L1025" s="29"/>
      <c r="M1025" s="29" t="s">
        <v>29</v>
      </c>
      <c r="N1025" s="31">
        <v>1168.35</v>
      </c>
    </row>
    <row r="1026" ht="29.75" spans="1:14">
      <c r="A1026" s="29" t="s">
        <v>3698</v>
      </c>
      <c r="B1026" s="30">
        <v>45320</v>
      </c>
      <c r="C1026" s="29" t="s">
        <v>3699</v>
      </c>
      <c r="D1026" s="29" t="s">
        <v>41</v>
      </c>
      <c r="E1026" s="31">
        <v>3</v>
      </c>
      <c r="F1026" s="31">
        <v>367.75</v>
      </c>
      <c r="G1026" s="29" t="s">
        <v>1786</v>
      </c>
      <c r="H1026" s="29" t="s">
        <v>65</v>
      </c>
      <c r="I1026" s="29" t="s">
        <v>89</v>
      </c>
      <c r="J1026" s="29" t="s">
        <v>3700</v>
      </c>
      <c r="K1026" s="31">
        <v>7</v>
      </c>
      <c r="L1026" s="29" t="s">
        <v>37</v>
      </c>
      <c r="M1026" s="29" t="s">
        <v>45</v>
      </c>
      <c r="N1026" s="31">
        <v>1103.25</v>
      </c>
    </row>
    <row r="1027" ht="29.75" spans="1:14">
      <c r="A1027" s="29" t="s">
        <v>3701</v>
      </c>
      <c r="B1027" s="30">
        <v>45794</v>
      </c>
      <c r="C1027" s="29" t="s">
        <v>3702</v>
      </c>
      <c r="D1027" s="29" t="s">
        <v>41</v>
      </c>
      <c r="E1027" s="31">
        <v>1</v>
      </c>
      <c r="F1027" s="31">
        <v>23.53</v>
      </c>
      <c r="G1027" s="29" t="s">
        <v>626</v>
      </c>
      <c r="H1027" s="29" t="s">
        <v>60</v>
      </c>
      <c r="I1027" s="29" t="s">
        <v>50</v>
      </c>
      <c r="J1027" s="29" t="s">
        <v>3703</v>
      </c>
      <c r="K1027" s="31">
        <v>2</v>
      </c>
      <c r="L1027" s="29" t="s">
        <v>37</v>
      </c>
      <c r="M1027" s="29" t="s">
        <v>22</v>
      </c>
      <c r="N1027" s="31">
        <v>23.53</v>
      </c>
    </row>
    <row r="1028" ht="29.75" spans="1:14">
      <c r="A1028" s="29" t="s">
        <v>3704</v>
      </c>
      <c r="B1028" s="30">
        <v>45047</v>
      </c>
      <c r="C1028" s="29" t="s">
        <v>3705</v>
      </c>
      <c r="D1028" s="29" t="s">
        <v>16</v>
      </c>
      <c r="E1028" s="31">
        <v>1</v>
      </c>
      <c r="F1028" s="31">
        <v>677.48</v>
      </c>
      <c r="G1028" s="29" t="s">
        <v>506</v>
      </c>
      <c r="H1028" s="29" t="s">
        <v>27</v>
      </c>
      <c r="I1028" s="29" t="s">
        <v>50</v>
      </c>
      <c r="J1028" s="29" t="s">
        <v>3706</v>
      </c>
      <c r="K1028" s="31">
        <v>1</v>
      </c>
      <c r="L1028" s="29" t="s">
        <v>81</v>
      </c>
      <c r="M1028" s="29" t="s">
        <v>45</v>
      </c>
      <c r="N1028" s="31">
        <v>677.48</v>
      </c>
    </row>
    <row r="1029" ht="29.75" spans="1:14">
      <c r="A1029" s="29" t="s">
        <v>3707</v>
      </c>
      <c r="B1029" s="30">
        <v>45433</v>
      </c>
      <c r="C1029" s="29" t="s">
        <v>3708</v>
      </c>
      <c r="D1029" s="29" t="s">
        <v>58</v>
      </c>
      <c r="E1029" s="31">
        <v>4</v>
      </c>
      <c r="F1029" s="31">
        <v>554.83</v>
      </c>
      <c r="G1029" s="29" t="s">
        <v>2798</v>
      </c>
      <c r="H1029" s="29" t="s">
        <v>65</v>
      </c>
      <c r="I1029" s="29" t="s">
        <v>43</v>
      </c>
      <c r="J1029" s="29" t="s">
        <v>3709</v>
      </c>
      <c r="K1029" s="31">
        <v>6</v>
      </c>
      <c r="L1029" s="29"/>
      <c r="M1029" s="29" t="s">
        <v>76</v>
      </c>
      <c r="N1029" s="31">
        <v>2219.32</v>
      </c>
    </row>
    <row r="1030" ht="29.75" spans="1:14">
      <c r="A1030" s="29" t="s">
        <v>3710</v>
      </c>
      <c r="B1030" s="30">
        <v>44974</v>
      </c>
      <c r="C1030" s="29" t="s">
        <v>3711</v>
      </c>
      <c r="D1030" s="29" t="s">
        <v>73</v>
      </c>
      <c r="E1030" s="31">
        <v>4</v>
      </c>
      <c r="F1030" s="31">
        <v>440.31</v>
      </c>
      <c r="G1030" s="29" t="s">
        <v>937</v>
      </c>
      <c r="H1030" s="29" t="s">
        <v>65</v>
      </c>
      <c r="I1030" s="29" t="s">
        <v>35</v>
      </c>
      <c r="J1030" s="29" t="s">
        <v>3712</v>
      </c>
      <c r="K1030" s="31">
        <v>6</v>
      </c>
      <c r="L1030" s="29"/>
      <c r="M1030" s="29" t="s">
        <v>22</v>
      </c>
      <c r="N1030" s="31">
        <v>1761.24</v>
      </c>
    </row>
    <row r="1031" ht="29.75" spans="1:14">
      <c r="A1031" s="29" t="s">
        <v>3713</v>
      </c>
      <c r="B1031" s="30">
        <v>45717</v>
      </c>
      <c r="C1031" s="29" t="s">
        <v>3714</v>
      </c>
      <c r="D1031" s="29" t="s">
        <v>73</v>
      </c>
      <c r="E1031" s="31">
        <v>1</v>
      </c>
      <c r="F1031" s="31">
        <v>87.06</v>
      </c>
      <c r="G1031" s="29" t="s">
        <v>3483</v>
      </c>
      <c r="H1031" s="29" t="s">
        <v>34</v>
      </c>
      <c r="I1031" s="29" t="s">
        <v>19</v>
      </c>
      <c r="J1031" s="29" t="s">
        <v>3715</v>
      </c>
      <c r="K1031" s="31">
        <v>4</v>
      </c>
      <c r="L1031" s="29" t="s">
        <v>37</v>
      </c>
      <c r="M1031" s="29" t="s">
        <v>38</v>
      </c>
      <c r="N1031" s="31">
        <v>87.06</v>
      </c>
    </row>
    <row r="1032" ht="29.75" spans="1:14">
      <c r="A1032" s="29" t="s">
        <v>3716</v>
      </c>
      <c r="B1032" s="30">
        <v>45201</v>
      </c>
      <c r="C1032" s="29" t="s">
        <v>3717</v>
      </c>
      <c r="D1032" s="29" t="s">
        <v>25</v>
      </c>
      <c r="E1032" s="31">
        <v>4</v>
      </c>
      <c r="F1032" s="31">
        <v>245.28</v>
      </c>
      <c r="G1032" s="29" t="s">
        <v>3718</v>
      </c>
      <c r="H1032" s="29" t="s">
        <v>34</v>
      </c>
      <c r="I1032" s="29" t="s">
        <v>50</v>
      </c>
      <c r="J1032" s="29" t="s">
        <v>3719</v>
      </c>
      <c r="K1032" s="31">
        <v>6</v>
      </c>
      <c r="L1032" s="29" t="s">
        <v>81</v>
      </c>
      <c r="M1032" s="29" t="s">
        <v>38</v>
      </c>
      <c r="N1032" s="31">
        <v>981.12</v>
      </c>
    </row>
    <row r="1033" ht="29.75" spans="1:14">
      <c r="A1033" s="29" t="s">
        <v>3720</v>
      </c>
      <c r="B1033" s="30">
        <v>44985</v>
      </c>
      <c r="C1033" s="29" t="s">
        <v>3721</v>
      </c>
      <c r="D1033" s="29" t="s">
        <v>25</v>
      </c>
      <c r="E1033" s="31">
        <v>5</v>
      </c>
      <c r="F1033" s="31">
        <v>664.51</v>
      </c>
      <c r="G1033" s="29" t="s">
        <v>3722</v>
      </c>
      <c r="H1033" s="29" t="s">
        <v>18</v>
      </c>
      <c r="I1033" s="29" t="s">
        <v>89</v>
      </c>
      <c r="J1033" s="29" t="s">
        <v>3723</v>
      </c>
      <c r="K1033" s="31">
        <v>8</v>
      </c>
      <c r="L1033" s="29" t="s">
        <v>21</v>
      </c>
      <c r="M1033" s="29" t="s">
        <v>38</v>
      </c>
      <c r="N1033" s="31">
        <v>3322.55</v>
      </c>
    </row>
    <row r="1034" ht="29.75" spans="1:14">
      <c r="A1034" s="29" t="s">
        <v>3724</v>
      </c>
      <c r="B1034" s="30">
        <v>45036</v>
      </c>
      <c r="C1034" s="29" t="s">
        <v>3725</v>
      </c>
      <c r="D1034" s="29" t="s">
        <v>41</v>
      </c>
      <c r="E1034" s="31">
        <v>1</v>
      </c>
      <c r="F1034" s="31">
        <v>618.68</v>
      </c>
      <c r="G1034" s="29" t="s">
        <v>1133</v>
      </c>
      <c r="H1034" s="29" t="s">
        <v>27</v>
      </c>
      <c r="I1034" s="29" t="s">
        <v>50</v>
      </c>
      <c r="J1034" s="29" t="s">
        <v>3726</v>
      </c>
      <c r="K1034" s="31">
        <v>6</v>
      </c>
      <c r="L1034" s="29" t="s">
        <v>81</v>
      </c>
      <c r="M1034" s="29" t="s">
        <v>29</v>
      </c>
      <c r="N1034" s="31">
        <v>618.68</v>
      </c>
    </row>
    <row r="1035" ht="29.75" spans="1:14">
      <c r="A1035" s="29" t="s">
        <v>3727</v>
      </c>
      <c r="B1035" s="30">
        <v>45650</v>
      </c>
      <c r="C1035" s="29" t="s">
        <v>3728</v>
      </c>
      <c r="D1035" s="29" t="s">
        <v>16</v>
      </c>
      <c r="E1035" s="31">
        <v>1</v>
      </c>
      <c r="F1035" s="31">
        <v>370.85</v>
      </c>
      <c r="G1035" s="29" t="s">
        <v>3729</v>
      </c>
      <c r="H1035" s="29" t="s">
        <v>60</v>
      </c>
      <c r="I1035" s="29" t="s">
        <v>50</v>
      </c>
      <c r="J1035" s="29" t="s">
        <v>3730</v>
      </c>
      <c r="K1035" s="31">
        <v>2</v>
      </c>
      <c r="L1035" s="29" t="s">
        <v>37</v>
      </c>
      <c r="M1035" s="29" t="s">
        <v>29</v>
      </c>
      <c r="N1035" s="31">
        <v>370.85</v>
      </c>
    </row>
    <row r="1036" ht="29.75" spans="1:14">
      <c r="A1036" s="29" t="s">
        <v>3731</v>
      </c>
      <c r="B1036" s="30">
        <v>45459</v>
      </c>
      <c r="C1036" s="29" t="s">
        <v>3732</v>
      </c>
      <c r="D1036" s="29" t="s">
        <v>48</v>
      </c>
      <c r="E1036" s="31">
        <v>4</v>
      </c>
      <c r="F1036" s="31">
        <v>517.98</v>
      </c>
      <c r="G1036" s="29" t="s">
        <v>3733</v>
      </c>
      <c r="H1036" s="29" t="s">
        <v>65</v>
      </c>
      <c r="I1036" s="29" t="s">
        <v>35</v>
      </c>
      <c r="J1036" s="29" t="s">
        <v>3734</v>
      </c>
      <c r="K1036" s="31">
        <v>8</v>
      </c>
      <c r="L1036" s="29" t="s">
        <v>37</v>
      </c>
      <c r="M1036" s="29" t="s">
        <v>45</v>
      </c>
      <c r="N1036" s="31">
        <v>2071.92</v>
      </c>
    </row>
    <row r="1037" ht="29.75" spans="1:14">
      <c r="A1037" s="29" t="s">
        <v>3735</v>
      </c>
      <c r="B1037" s="30">
        <v>45242</v>
      </c>
      <c r="C1037" s="29" t="s">
        <v>3736</v>
      </c>
      <c r="D1037" s="29" t="s">
        <v>58</v>
      </c>
      <c r="E1037" s="31">
        <v>4</v>
      </c>
      <c r="F1037" s="31">
        <v>506.11</v>
      </c>
      <c r="G1037" s="29" t="s">
        <v>3737</v>
      </c>
      <c r="H1037" s="29" t="s">
        <v>65</v>
      </c>
      <c r="I1037" s="29" t="s">
        <v>35</v>
      </c>
      <c r="J1037" s="29" t="s">
        <v>3738</v>
      </c>
      <c r="K1037" s="31">
        <v>5</v>
      </c>
      <c r="L1037" s="29"/>
      <c r="M1037" s="29" t="s">
        <v>29</v>
      </c>
      <c r="N1037" s="31">
        <v>2024.44</v>
      </c>
    </row>
    <row r="1038" ht="29.75" spans="1:14">
      <c r="A1038" s="29" t="s">
        <v>3739</v>
      </c>
      <c r="B1038" s="30">
        <v>45443</v>
      </c>
      <c r="C1038" s="29" t="s">
        <v>3740</v>
      </c>
      <c r="D1038" s="29" t="s">
        <v>25</v>
      </c>
      <c r="E1038" s="31">
        <v>3</v>
      </c>
      <c r="F1038" s="31">
        <v>413.83</v>
      </c>
      <c r="G1038" s="29" t="s">
        <v>312</v>
      </c>
      <c r="H1038" s="29" t="s">
        <v>60</v>
      </c>
      <c r="I1038" s="29" t="s">
        <v>19</v>
      </c>
      <c r="J1038" s="29" t="s">
        <v>3741</v>
      </c>
      <c r="K1038" s="31">
        <v>8</v>
      </c>
      <c r="L1038" s="29" t="s">
        <v>21</v>
      </c>
      <c r="M1038" s="29" t="s">
        <v>45</v>
      </c>
      <c r="N1038" s="31">
        <v>1241.49</v>
      </c>
    </row>
    <row r="1039" ht="29.75" spans="1:14">
      <c r="A1039" s="29" t="s">
        <v>3742</v>
      </c>
      <c r="B1039" s="30">
        <v>45273</v>
      </c>
      <c r="C1039" s="29" t="s">
        <v>3743</v>
      </c>
      <c r="D1039" s="29" t="s">
        <v>48</v>
      </c>
      <c r="E1039" s="31">
        <v>1</v>
      </c>
      <c r="F1039" s="31">
        <v>249.81</v>
      </c>
      <c r="G1039" s="29" t="s">
        <v>2565</v>
      </c>
      <c r="H1039" s="29" t="s">
        <v>65</v>
      </c>
      <c r="I1039" s="29" t="s">
        <v>89</v>
      </c>
      <c r="J1039" s="29" t="s">
        <v>3744</v>
      </c>
      <c r="K1039" s="31">
        <v>1</v>
      </c>
      <c r="L1039" s="29" t="s">
        <v>21</v>
      </c>
      <c r="M1039" s="29" t="s">
        <v>76</v>
      </c>
      <c r="N1039" s="31">
        <v>249.81</v>
      </c>
    </row>
    <row r="1040" ht="29.75" spans="1:14">
      <c r="A1040" s="29" t="s">
        <v>3745</v>
      </c>
      <c r="B1040" s="30">
        <v>45731</v>
      </c>
      <c r="C1040" s="29" t="s">
        <v>3746</v>
      </c>
      <c r="D1040" s="29" t="s">
        <v>32</v>
      </c>
      <c r="E1040" s="31">
        <v>3</v>
      </c>
      <c r="F1040" s="31">
        <v>362.53</v>
      </c>
      <c r="G1040" s="29" t="s">
        <v>3747</v>
      </c>
      <c r="H1040" s="29" t="s">
        <v>18</v>
      </c>
      <c r="I1040" s="29" t="s">
        <v>43</v>
      </c>
      <c r="J1040" s="29" t="s">
        <v>3748</v>
      </c>
      <c r="K1040" s="31">
        <v>5</v>
      </c>
      <c r="L1040" s="29"/>
      <c r="M1040" s="29" t="s">
        <v>45</v>
      </c>
      <c r="N1040" s="31">
        <v>1087.59</v>
      </c>
    </row>
    <row r="1041" ht="29.75" spans="1:14">
      <c r="A1041" s="29" t="s">
        <v>3749</v>
      </c>
      <c r="B1041" s="30">
        <v>45836</v>
      </c>
      <c r="C1041" s="29" t="s">
        <v>3750</v>
      </c>
      <c r="D1041" s="29" t="s">
        <v>73</v>
      </c>
      <c r="E1041" s="31">
        <v>2</v>
      </c>
      <c r="F1041" s="31">
        <v>299.23</v>
      </c>
      <c r="G1041" s="29" t="s">
        <v>3751</v>
      </c>
      <c r="H1041" s="29" t="s">
        <v>34</v>
      </c>
      <c r="I1041" s="29" t="s">
        <v>35</v>
      </c>
      <c r="J1041" s="29" t="s">
        <v>3752</v>
      </c>
      <c r="K1041" s="31">
        <v>2</v>
      </c>
      <c r="L1041" s="29" t="s">
        <v>81</v>
      </c>
      <c r="M1041" s="29" t="s">
        <v>22</v>
      </c>
      <c r="N1041" s="31">
        <v>598.46</v>
      </c>
    </row>
    <row r="1042" ht="29.75" spans="1:14">
      <c r="A1042" s="29" t="s">
        <v>3753</v>
      </c>
      <c r="B1042" s="30">
        <v>45245</v>
      </c>
      <c r="C1042" s="29" t="s">
        <v>3754</v>
      </c>
      <c r="D1042" s="29" t="s">
        <v>32</v>
      </c>
      <c r="E1042" s="31">
        <v>1</v>
      </c>
      <c r="F1042" s="31">
        <v>536.07</v>
      </c>
      <c r="G1042" s="29" t="s">
        <v>2116</v>
      </c>
      <c r="H1042" s="29" t="s">
        <v>18</v>
      </c>
      <c r="I1042" s="29" t="s">
        <v>50</v>
      </c>
      <c r="J1042" s="29" t="s">
        <v>3755</v>
      </c>
      <c r="K1042" s="31">
        <v>5</v>
      </c>
      <c r="L1042" s="29" t="s">
        <v>37</v>
      </c>
      <c r="M1042" s="29" t="s">
        <v>76</v>
      </c>
      <c r="N1042" s="31">
        <v>536.07</v>
      </c>
    </row>
    <row r="1043" ht="29.75" spans="1:14">
      <c r="A1043" s="29" t="s">
        <v>3756</v>
      </c>
      <c r="B1043" s="30">
        <v>44968</v>
      </c>
      <c r="C1043" s="29" t="s">
        <v>3757</v>
      </c>
      <c r="D1043" s="29" t="s">
        <v>16</v>
      </c>
      <c r="E1043" s="31">
        <v>4</v>
      </c>
      <c r="F1043" s="31">
        <v>558.9</v>
      </c>
      <c r="G1043" s="29" t="s">
        <v>929</v>
      </c>
      <c r="H1043" s="29" t="s">
        <v>60</v>
      </c>
      <c r="I1043" s="29" t="s">
        <v>19</v>
      </c>
      <c r="J1043" s="29" t="s">
        <v>3758</v>
      </c>
      <c r="K1043" s="31">
        <v>9</v>
      </c>
      <c r="L1043" s="29" t="s">
        <v>81</v>
      </c>
      <c r="M1043" s="29" t="s">
        <v>76</v>
      </c>
      <c r="N1043" s="31">
        <v>2235.6</v>
      </c>
    </row>
    <row r="1044" ht="29.75" spans="1:14">
      <c r="A1044" s="29" t="s">
        <v>3759</v>
      </c>
      <c r="B1044" s="30">
        <v>45635</v>
      </c>
      <c r="C1044" s="29" t="s">
        <v>3760</v>
      </c>
      <c r="D1044" s="29" t="s">
        <v>32</v>
      </c>
      <c r="E1044" s="31">
        <v>2</v>
      </c>
      <c r="F1044" s="31">
        <v>409.75</v>
      </c>
      <c r="G1044" s="29" t="s">
        <v>1281</v>
      </c>
      <c r="H1044" s="29" t="s">
        <v>18</v>
      </c>
      <c r="I1044" s="29" t="s">
        <v>19</v>
      </c>
      <c r="J1044" s="29" t="s">
        <v>3761</v>
      </c>
      <c r="K1044" s="31">
        <v>2</v>
      </c>
      <c r="L1044" s="29" t="s">
        <v>81</v>
      </c>
      <c r="M1044" s="29" t="s">
        <v>45</v>
      </c>
      <c r="N1044" s="31">
        <v>819.5</v>
      </c>
    </row>
    <row r="1045" ht="29.75" spans="1:14">
      <c r="A1045" s="29" t="s">
        <v>3762</v>
      </c>
      <c r="B1045" s="30">
        <v>45668</v>
      </c>
      <c r="C1045" s="29" t="s">
        <v>3763</v>
      </c>
      <c r="D1045" s="29" t="s">
        <v>32</v>
      </c>
      <c r="E1045" s="31">
        <v>2</v>
      </c>
      <c r="F1045" s="31">
        <v>179.96</v>
      </c>
      <c r="G1045" s="29" t="s">
        <v>3522</v>
      </c>
      <c r="H1045" s="29" t="s">
        <v>60</v>
      </c>
      <c r="I1045" s="29" t="s">
        <v>19</v>
      </c>
      <c r="J1045" s="29" t="s">
        <v>3764</v>
      </c>
      <c r="K1045" s="31">
        <v>5</v>
      </c>
      <c r="L1045" s="29"/>
      <c r="M1045" s="29" t="s">
        <v>22</v>
      </c>
      <c r="N1045" s="31">
        <v>359.92</v>
      </c>
    </row>
    <row r="1046" ht="29.75" spans="1:14">
      <c r="A1046" s="29" t="s">
        <v>3765</v>
      </c>
      <c r="B1046" s="30">
        <v>45830</v>
      </c>
      <c r="C1046" s="29" t="s">
        <v>3766</v>
      </c>
      <c r="D1046" s="29" t="s">
        <v>48</v>
      </c>
      <c r="E1046" s="31">
        <v>1</v>
      </c>
      <c r="F1046" s="31">
        <v>38.49</v>
      </c>
      <c r="G1046" s="29" t="s">
        <v>3767</v>
      </c>
      <c r="H1046" s="29" t="s">
        <v>34</v>
      </c>
      <c r="I1046" s="29" t="s">
        <v>50</v>
      </c>
      <c r="J1046" s="29" t="s">
        <v>3768</v>
      </c>
      <c r="K1046" s="31">
        <v>4</v>
      </c>
      <c r="L1046" s="29" t="s">
        <v>37</v>
      </c>
      <c r="M1046" s="29" t="s">
        <v>29</v>
      </c>
      <c r="N1046" s="31">
        <v>38.49</v>
      </c>
    </row>
    <row r="1047" ht="29.75" spans="1:14">
      <c r="A1047" s="29" t="s">
        <v>3769</v>
      </c>
      <c r="B1047" s="30">
        <v>45555</v>
      </c>
      <c r="C1047" s="29" t="s">
        <v>3770</v>
      </c>
      <c r="D1047" s="29" t="s">
        <v>58</v>
      </c>
      <c r="E1047" s="31">
        <v>5</v>
      </c>
      <c r="F1047" s="31">
        <v>316.4</v>
      </c>
      <c r="G1047" s="29" t="s">
        <v>3771</v>
      </c>
      <c r="H1047" s="29" t="s">
        <v>60</v>
      </c>
      <c r="I1047" s="29" t="s">
        <v>43</v>
      </c>
      <c r="J1047" s="29" t="s">
        <v>3772</v>
      </c>
      <c r="K1047" s="31">
        <v>7</v>
      </c>
      <c r="L1047" s="29"/>
      <c r="M1047" s="29" t="s">
        <v>38</v>
      </c>
      <c r="N1047" s="31">
        <v>1582</v>
      </c>
    </row>
    <row r="1048" ht="29.75" spans="1:14">
      <c r="A1048" s="29" t="s">
        <v>3773</v>
      </c>
      <c r="B1048" s="30">
        <v>45572</v>
      </c>
      <c r="C1048" s="29" t="s">
        <v>3774</v>
      </c>
      <c r="D1048" s="29" t="s">
        <v>32</v>
      </c>
      <c r="E1048" s="31">
        <v>3</v>
      </c>
      <c r="F1048" s="31">
        <v>547.15</v>
      </c>
      <c r="G1048" s="29" t="s">
        <v>3775</v>
      </c>
      <c r="H1048" s="29" t="s">
        <v>27</v>
      </c>
      <c r="I1048" s="29" t="s">
        <v>19</v>
      </c>
      <c r="J1048" s="29" t="s">
        <v>3776</v>
      </c>
      <c r="K1048" s="31">
        <v>4</v>
      </c>
      <c r="L1048" s="29" t="s">
        <v>81</v>
      </c>
      <c r="M1048" s="29" t="s">
        <v>22</v>
      </c>
      <c r="N1048" s="31">
        <v>1641.45</v>
      </c>
    </row>
    <row r="1049" ht="29.75" spans="1:14">
      <c r="A1049" s="29" t="s">
        <v>3777</v>
      </c>
      <c r="B1049" s="30">
        <v>45100</v>
      </c>
      <c r="C1049" s="29" t="s">
        <v>3778</v>
      </c>
      <c r="D1049" s="29" t="s">
        <v>41</v>
      </c>
      <c r="E1049" s="31">
        <v>4</v>
      </c>
      <c r="F1049" s="31">
        <v>540.34</v>
      </c>
      <c r="G1049" s="29" t="s">
        <v>3779</v>
      </c>
      <c r="H1049" s="29" t="s">
        <v>60</v>
      </c>
      <c r="I1049" s="29" t="s">
        <v>19</v>
      </c>
      <c r="J1049" s="29" t="s">
        <v>3780</v>
      </c>
      <c r="K1049" s="31">
        <v>6</v>
      </c>
      <c r="L1049" s="29" t="s">
        <v>81</v>
      </c>
      <c r="M1049" s="29" t="s">
        <v>29</v>
      </c>
      <c r="N1049" s="31">
        <v>2161.36</v>
      </c>
    </row>
    <row r="1050" ht="29.75" spans="1:14">
      <c r="A1050" s="29" t="s">
        <v>3781</v>
      </c>
      <c r="B1050" s="30">
        <v>45544</v>
      </c>
      <c r="C1050" s="29" t="s">
        <v>3782</v>
      </c>
      <c r="D1050" s="29" t="s">
        <v>16</v>
      </c>
      <c r="E1050" s="31">
        <v>4</v>
      </c>
      <c r="F1050" s="31">
        <v>73.65</v>
      </c>
      <c r="G1050" s="29" t="s">
        <v>3783</v>
      </c>
      <c r="H1050" s="29" t="s">
        <v>18</v>
      </c>
      <c r="I1050" s="29" t="s">
        <v>19</v>
      </c>
      <c r="J1050" s="29" t="s">
        <v>3784</v>
      </c>
      <c r="K1050" s="31">
        <v>9</v>
      </c>
      <c r="L1050" s="29"/>
      <c r="M1050" s="29" t="s">
        <v>76</v>
      </c>
      <c r="N1050" s="31">
        <v>294.6</v>
      </c>
    </row>
    <row r="1051" ht="29.75" spans="1:14">
      <c r="A1051" s="29" t="s">
        <v>3785</v>
      </c>
      <c r="B1051" s="30">
        <v>45491</v>
      </c>
      <c r="C1051" s="29" t="s">
        <v>3786</v>
      </c>
      <c r="D1051" s="29" t="s">
        <v>73</v>
      </c>
      <c r="E1051" s="31">
        <v>5</v>
      </c>
      <c r="F1051" s="31">
        <v>391.86</v>
      </c>
      <c r="G1051" s="29" t="s">
        <v>121</v>
      </c>
      <c r="H1051" s="29" t="s">
        <v>34</v>
      </c>
      <c r="I1051" s="29" t="s">
        <v>19</v>
      </c>
      <c r="J1051" s="29" t="s">
        <v>3787</v>
      </c>
      <c r="K1051" s="31">
        <v>6</v>
      </c>
      <c r="L1051" s="29"/>
      <c r="M1051" s="29" t="s">
        <v>22</v>
      </c>
      <c r="N1051" s="31">
        <v>1959.3</v>
      </c>
    </row>
    <row r="1052" ht="29.75" spans="1:14">
      <c r="A1052" s="29" t="s">
        <v>3788</v>
      </c>
      <c r="B1052" s="30">
        <v>45158</v>
      </c>
      <c r="C1052" s="29" t="s">
        <v>3789</v>
      </c>
      <c r="D1052" s="29" t="s">
        <v>58</v>
      </c>
      <c r="E1052" s="31">
        <v>5</v>
      </c>
      <c r="F1052" s="31">
        <v>69.7</v>
      </c>
      <c r="G1052" s="29" t="s">
        <v>2029</v>
      </c>
      <c r="H1052" s="29" t="s">
        <v>27</v>
      </c>
      <c r="I1052" s="29" t="s">
        <v>43</v>
      </c>
      <c r="J1052" s="29" t="s">
        <v>3790</v>
      </c>
      <c r="K1052" s="31">
        <v>9</v>
      </c>
      <c r="L1052" s="29"/>
      <c r="M1052" s="29" t="s">
        <v>22</v>
      </c>
      <c r="N1052" s="31">
        <v>348.5</v>
      </c>
    </row>
    <row r="1053" ht="29.75" spans="1:14">
      <c r="A1053" s="29" t="s">
        <v>3791</v>
      </c>
      <c r="B1053" s="30">
        <v>45721</v>
      </c>
      <c r="C1053" s="29" t="s">
        <v>3792</v>
      </c>
      <c r="D1053" s="29" t="s">
        <v>16</v>
      </c>
      <c r="E1053" s="31">
        <v>5</v>
      </c>
      <c r="F1053" s="31">
        <v>26.43</v>
      </c>
      <c r="G1053" s="29" t="s">
        <v>3793</v>
      </c>
      <c r="H1053" s="29" t="s">
        <v>60</v>
      </c>
      <c r="I1053" s="29" t="s">
        <v>19</v>
      </c>
      <c r="J1053" s="29" t="s">
        <v>3794</v>
      </c>
      <c r="K1053" s="31">
        <v>5</v>
      </c>
      <c r="L1053" s="29" t="s">
        <v>37</v>
      </c>
      <c r="M1053" s="29" t="s">
        <v>45</v>
      </c>
      <c r="N1053" s="31">
        <v>132.15</v>
      </c>
    </row>
    <row r="1054" ht="29.75" spans="1:14">
      <c r="A1054" s="29" t="s">
        <v>3795</v>
      </c>
      <c r="B1054" s="30">
        <v>45180</v>
      </c>
      <c r="C1054" s="29" t="s">
        <v>3796</v>
      </c>
      <c r="D1054" s="29" t="s">
        <v>32</v>
      </c>
      <c r="E1054" s="31">
        <v>1</v>
      </c>
      <c r="F1054" s="31">
        <v>531.74</v>
      </c>
      <c r="G1054" s="29" t="s">
        <v>3797</v>
      </c>
      <c r="H1054" s="29" t="s">
        <v>27</v>
      </c>
      <c r="I1054" s="29" t="s">
        <v>19</v>
      </c>
      <c r="J1054" s="29" t="s">
        <v>3798</v>
      </c>
      <c r="K1054" s="31">
        <v>1</v>
      </c>
      <c r="L1054" s="29" t="s">
        <v>81</v>
      </c>
      <c r="M1054" s="29" t="s">
        <v>76</v>
      </c>
      <c r="N1054" s="31">
        <v>531.74</v>
      </c>
    </row>
    <row r="1055" ht="29.75" spans="1:14">
      <c r="A1055" s="29" t="s">
        <v>3799</v>
      </c>
      <c r="B1055" s="30">
        <v>45550</v>
      </c>
      <c r="C1055" s="29" t="s">
        <v>3800</v>
      </c>
      <c r="D1055" s="29" t="s">
        <v>25</v>
      </c>
      <c r="E1055" s="31">
        <v>2</v>
      </c>
      <c r="F1055" s="31">
        <v>496.62</v>
      </c>
      <c r="G1055" s="29" t="s">
        <v>3431</v>
      </c>
      <c r="H1055" s="29" t="s">
        <v>27</v>
      </c>
      <c r="I1055" s="29" t="s">
        <v>89</v>
      </c>
      <c r="J1055" s="29" t="s">
        <v>3801</v>
      </c>
      <c r="K1055" s="31">
        <v>2</v>
      </c>
      <c r="L1055" s="29" t="s">
        <v>21</v>
      </c>
      <c r="M1055" s="29" t="s">
        <v>22</v>
      </c>
      <c r="N1055" s="31">
        <v>993.24</v>
      </c>
    </row>
    <row r="1056" ht="29.75" spans="1:14">
      <c r="A1056" s="29" t="s">
        <v>3802</v>
      </c>
      <c r="B1056" s="30">
        <v>45259</v>
      </c>
      <c r="C1056" s="29" t="s">
        <v>3803</v>
      </c>
      <c r="D1056" s="29" t="s">
        <v>48</v>
      </c>
      <c r="E1056" s="31">
        <v>1</v>
      </c>
      <c r="F1056" s="31">
        <v>660.66</v>
      </c>
      <c r="G1056" s="29" t="s">
        <v>379</v>
      </c>
      <c r="H1056" s="29" t="s">
        <v>18</v>
      </c>
      <c r="I1056" s="29" t="s">
        <v>50</v>
      </c>
      <c r="J1056" s="29" t="s">
        <v>3804</v>
      </c>
      <c r="K1056" s="31">
        <v>3</v>
      </c>
      <c r="L1056" s="29" t="s">
        <v>81</v>
      </c>
      <c r="M1056" s="29" t="s">
        <v>22</v>
      </c>
      <c r="N1056" s="31">
        <v>660.66</v>
      </c>
    </row>
    <row r="1057" ht="29.75" spans="1:14">
      <c r="A1057" s="29" t="s">
        <v>3805</v>
      </c>
      <c r="B1057" s="30">
        <v>45222</v>
      </c>
      <c r="C1057" s="29" t="s">
        <v>3806</v>
      </c>
      <c r="D1057" s="29" t="s">
        <v>16</v>
      </c>
      <c r="E1057" s="31">
        <v>4</v>
      </c>
      <c r="F1057" s="31">
        <v>274.82</v>
      </c>
      <c r="G1057" s="29" t="s">
        <v>2116</v>
      </c>
      <c r="H1057" s="29" t="s">
        <v>18</v>
      </c>
      <c r="I1057" s="29" t="s">
        <v>50</v>
      </c>
      <c r="J1057" s="29" t="s">
        <v>3807</v>
      </c>
      <c r="K1057" s="31">
        <v>9</v>
      </c>
      <c r="L1057" s="29" t="s">
        <v>81</v>
      </c>
      <c r="M1057" s="29" t="s">
        <v>38</v>
      </c>
      <c r="N1057" s="31">
        <v>1099.28</v>
      </c>
    </row>
    <row r="1058" ht="29.75" spans="1:14">
      <c r="A1058" s="29" t="s">
        <v>3808</v>
      </c>
      <c r="B1058" s="30">
        <v>45457</v>
      </c>
      <c r="C1058" s="29" t="s">
        <v>3809</v>
      </c>
      <c r="D1058" s="29" t="s">
        <v>25</v>
      </c>
      <c r="E1058" s="31">
        <v>2</v>
      </c>
      <c r="F1058" s="31">
        <v>486.35</v>
      </c>
      <c r="G1058" s="29" t="s">
        <v>719</v>
      </c>
      <c r="H1058" s="29" t="s">
        <v>27</v>
      </c>
      <c r="I1058" s="29" t="s">
        <v>89</v>
      </c>
      <c r="J1058" s="29" t="s">
        <v>3810</v>
      </c>
      <c r="K1058" s="31">
        <v>6</v>
      </c>
      <c r="L1058" s="29" t="s">
        <v>21</v>
      </c>
      <c r="M1058" s="29" t="s">
        <v>29</v>
      </c>
      <c r="N1058" s="31">
        <v>972.7</v>
      </c>
    </row>
    <row r="1059" ht="29.75" spans="1:14">
      <c r="A1059" s="29" t="s">
        <v>3811</v>
      </c>
      <c r="B1059" s="30">
        <v>45559</v>
      </c>
      <c r="C1059" s="29" t="s">
        <v>3812</v>
      </c>
      <c r="D1059" s="29" t="s">
        <v>58</v>
      </c>
      <c r="E1059" s="31">
        <v>3</v>
      </c>
      <c r="F1059" s="31">
        <v>428.88</v>
      </c>
      <c r="G1059" s="29" t="s">
        <v>704</v>
      </c>
      <c r="H1059" s="29" t="s">
        <v>18</v>
      </c>
      <c r="I1059" s="29" t="s">
        <v>19</v>
      </c>
      <c r="J1059" s="29" t="s">
        <v>3813</v>
      </c>
      <c r="K1059" s="31">
        <v>3</v>
      </c>
      <c r="L1059" s="29" t="s">
        <v>81</v>
      </c>
      <c r="M1059" s="29" t="s">
        <v>45</v>
      </c>
      <c r="N1059" s="31">
        <v>1286.64</v>
      </c>
    </row>
    <row r="1060" ht="29.75" spans="1:14">
      <c r="A1060" s="29" t="s">
        <v>3814</v>
      </c>
      <c r="B1060" s="30">
        <v>45177</v>
      </c>
      <c r="C1060" s="29" t="s">
        <v>3815</v>
      </c>
      <c r="D1060" s="29" t="s">
        <v>73</v>
      </c>
      <c r="E1060" s="31">
        <v>2</v>
      </c>
      <c r="F1060" s="31">
        <v>412.14</v>
      </c>
      <c r="G1060" s="29" t="s">
        <v>1081</v>
      </c>
      <c r="H1060" s="29" t="s">
        <v>34</v>
      </c>
      <c r="I1060" s="29" t="s">
        <v>43</v>
      </c>
      <c r="J1060" s="29" t="s">
        <v>3816</v>
      </c>
      <c r="K1060" s="31">
        <v>2</v>
      </c>
      <c r="L1060" s="29" t="s">
        <v>37</v>
      </c>
      <c r="M1060" s="29" t="s">
        <v>22</v>
      </c>
      <c r="N1060" s="31">
        <v>824.28</v>
      </c>
    </row>
    <row r="1061" ht="29.75" spans="1:14">
      <c r="A1061" s="29" t="s">
        <v>3817</v>
      </c>
      <c r="B1061" s="30">
        <v>45557</v>
      </c>
      <c r="C1061" s="29" t="s">
        <v>3818</v>
      </c>
      <c r="D1061" s="29" t="s">
        <v>73</v>
      </c>
      <c r="E1061" s="31">
        <v>1</v>
      </c>
      <c r="F1061" s="31">
        <v>265.64</v>
      </c>
      <c r="G1061" s="29" t="s">
        <v>3819</v>
      </c>
      <c r="H1061" s="29" t="s">
        <v>34</v>
      </c>
      <c r="I1061" s="29" t="s">
        <v>43</v>
      </c>
      <c r="J1061" s="29" t="s">
        <v>3820</v>
      </c>
      <c r="K1061" s="31">
        <v>3</v>
      </c>
      <c r="L1061" s="29" t="s">
        <v>81</v>
      </c>
      <c r="M1061" s="29" t="s">
        <v>22</v>
      </c>
      <c r="N1061" s="31">
        <v>265.64</v>
      </c>
    </row>
    <row r="1062" ht="29.75" spans="1:14">
      <c r="A1062" s="29" t="s">
        <v>3821</v>
      </c>
      <c r="B1062" s="30">
        <v>45419</v>
      </c>
      <c r="C1062" s="29" t="s">
        <v>3822</v>
      </c>
      <c r="D1062" s="29" t="s">
        <v>32</v>
      </c>
      <c r="E1062" s="31">
        <v>2</v>
      </c>
      <c r="F1062" s="31">
        <v>273.43</v>
      </c>
      <c r="G1062" s="29" t="s">
        <v>1380</v>
      </c>
      <c r="H1062" s="29" t="s">
        <v>65</v>
      </c>
      <c r="I1062" s="29" t="s">
        <v>19</v>
      </c>
      <c r="J1062" s="29" t="s">
        <v>3823</v>
      </c>
      <c r="K1062" s="31">
        <v>7</v>
      </c>
      <c r="L1062" s="29" t="s">
        <v>81</v>
      </c>
      <c r="M1062" s="29" t="s">
        <v>29</v>
      </c>
      <c r="N1062" s="31">
        <v>546.86</v>
      </c>
    </row>
    <row r="1063" ht="29.75" spans="1:14">
      <c r="A1063" s="29" t="s">
        <v>3824</v>
      </c>
      <c r="B1063" s="30">
        <v>45686</v>
      </c>
      <c r="C1063" s="29" t="s">
        <v>3825</v>
      </c>
      <c r="D1063" s="29" t="s">
        <v>58</v>
      </c>
      <c r="E1063" s="31">
        <v>5</v>
      </c>
      <c r="F1063" s="31">
        <v>131.7</v>
      </c>
      <c r="G1063" s="29" t="s">
        <v>169</v>
      </c>
      <c r="H1063" s="29" t="s">
        <v>65</v>
      </c>
      <c r="I1063" s="29" t="s">
        <v>19</v>
      </c>
      <c r="J1063" s="29" t="s">
        <v>3826</v>
      </c>
      <c r="K1063" s="31">
        <v>8</v>
      </c>
      <c r="L1063" s="29" t="s">
        <v>37</v>
      </c>
      <c r="M1063" s="29" t="s">
        <v>76</v>
      </c>
      <c r="N1063" s="31">
        <v>658.5</v>
      </c>
    </row>
    <row r="1064" ht="29.75" spans="1:14">
      <c r="A1064" s="29" t="s">
        <v>3827</v>
      </c>
      <c r="B1064" s="30">
        <v>45161</v>
      </c>
      <c r="C1064" s="29" t="s">
        <v>3828</v>
      </c>
      <c r="D1064" s="29" t="s">
        <v>41</v>
      </c>
      <c r="E1064" s="31">
        <v>5</v>
      </c>
      <c r="F1064" s="31">
        <v>85.52</v>
      </c>
      <c r="G1064" s="29" t="s">
        <v>1252</v>
      </c>
      <c r="H1064" s="29" t="s">
        <v>60</v>
      </c>
      <c r="I1064" s="29" t="s">
        <v>35</v>
      </c>
      <c r="J1064" s="29" t="s">
        <v>3829</v>
      </c>
      <c r="K1064" s="31">
        <v>5</v>
      </c>
      <c r="L1064" s="29"/>
      <c r="M1064" s="29" t="s">
        <v>45</v>
      </c>
      <c r="N1064" s="31">
        <v>427.6</v>
      </c>
    </row>
    <row r="1065" ht="29.75" spans="1:14">
      <c r="A1065" s="29" t="s">
        <v>3830</v>
      </c>
      <c r="B1065" s="30">
        <v>45462</v>
      </c>
      <c r="C1065" s="29" t="s">
        <v>3831</v>
      </c>
      <c r="D1065" s="29" t="s">
        <v>73</v>
      </c>
      <c r="E1065" s="31">
        <v>2</v>
      </c>
      <c r="F1065" s="31">
        <v>320.68</v>
      </c>
      <c r="G1065" s="29" t="s">
        <v>708</v>
      </c>
      <c r="H1065" s="29" t="s">
        <v>34</v>
      </c>
      <c r="I1065" s="29" t="s">
        <v>19</v>
      </c>
      <c r="J1065" s="29" t="s">
        <v>3832</v>
      </c>
      <c r="K1065" s="31">
        <v>5</v>
      </c>
      <c r="L1065" s="29" t="s">
        <v>37</v>
      </c>
      <c r="M1065" s="29" t="s">
        <v>29</v>
      </c>
      <c r="N1065" s="31">
        <v>641.36</v>
      </c>
    </row>
    <row r="1066" ht="29.75" spans="1:14">
      <c r="A1066" s="29" t="s">
        <v>3833</v>
      </c>
      <c r="B1066" s="30">
        <v>45700</v>
      </c>
      <c r="C1066" s="29" t="s">
        <v>3834</v>
      </c>
      <c r="D1066" s="29" t="s">
        <v>58</v>
      </c>
      <c r="E1066" s="31">
        <v>4</v>
      </c>
      <c r="F1066" s="31">
        <v>198.81</v>
      </c>
      <c r="G1066" s="29" t="s">
        <v>1105</v>
      </c>
      <c r="H1066" s="29" t="s">
        <v>65</v>
      </c>
      <c r="I1066" s="29" t="s">
        <v>43</v>
      </c>
      <c r="J1066" s="29" t="s">
        <v>3835</v>
      </c>
      <c r="K1066" s="31">
        <v>9</v>
      </c>
      <c r="L1066" s="29" t="s">
        <v>37</v>
      </c>
      <c r="M1066" s="29" t="s">
        <v>29</v>
      </c>
      <c r="N1066" s="31">
        <v>795.24</v>
      </c>
    </row>
    <row r="1067" ht="29.75" spans="1:14">
      <c r="A1067" s="29" t="s">
        <v>3836</v>
      </c>
      <c r="B1067" s="30">
        <v>45229</v>
      </c>
      <c r="C1067" s="29" t="s">
        <v>3837</v>
      </c>
      <c r="D1067" s="29" t="s">
        <v>48</v>
      </c>
      <c r="E1067" s="31">
        <v>5</v>
      </c>
      <c r="F1067" s="31">
        <v>666.8</v>
      </c>
      <c r="G1067" s="29" t="s">
        <v>1652</v>
      </c>
      <c r="H1067" s="29" t="s">
        <v>18</v>
      </c>
      <c r="I1067" s="29" t="s">
        <v>50</v>
      </c>
      <c r="J1067" s="29" t="s">
        <v>3838</v>
      </c>
      <c r="K1067" s="31">
        <v>7</v>
      </c>
      <c r="L1067" s="29" t="s">
        <v>21</v>
      </c>
      <c r="M1067" s="29" t="s">
        <v>29</v>
      </c>
      <c r="N1067" s="31">
        <v>3334</v>
      </c>
    </row>
    <row r="1068" ht="29.75" spans="1:14">
      <c r="A1068" s="29" t="s">
        <v>3839</v>
      </c>
      <c r="B1068" s="30">
        <v>45280</v>
      </c>
      <c r="C1068" s="29" t="s">
        <v>3840</v>
      </c>
      <c r="D1068" s="29" t="s">
        <v>73</v>
      </c>
      <c r="E1068" s="31">
        <v>1</v>
      </c>
      <c r="F1068" s="31">
        <v>355.09</v>
      </c>
      <c r="G1068" s="29" t="s">
        <v>2586</v>
      </c>
      <c r="H1068" s="29" t="s">
        <v>18</v>
      </c>
      <c r="I1068" s="29" t="s">
        <v>35</v>
      </c>
      <c r="J1068" s="29" t="s">
        <v>3841</v>
      </c>
      <c r="K1068" s="31">
        <v>5</v>
      </c>
      <c r="L1068" s="29" t="s">
        <v>21</v>
      </c>
      <c r="M1068" s="29" t="s">
        <v>22</v>
      </c>
      <c r="N1068" s="31">
        <v>355.09</v>
      </c>
    </row>
    <row r="1069" ht="29.75" spans="1:14">
      <c r="A1069" s="29" t="s">
        <v>3842</v>
      </c>
      <c r="B1069" s="30">
        <v>45083</v>
      </c>
      <c r="C1069" s="29" t="s">
        <v>3843</v>
      </c>
      <c r="D1069" s="29" t="s">
        <v>25</v>
      </c>
      <c r="E1069" s="31">
        <v>2</v>
      </c>
      <c r="F1069" s="31">
        <v>316.2</v>
      </c>
      <c r="G1069" s="29" t="s">
        <v>316</v>
      </c>
      <c r="H1069" s="29" t="s">
        <v>27</v>
      </c>
      <c r="I1069" s="29" t="s">
        <v>43</v>
      </c>
      <c r="J1069" s="29" t="s">
        <v>3844</v>
      </c>
      <c r="K1069" s="31">
        <v>2</v>
      </c>
      <c r="L1069" s="29"/>
      <c r="M1069" s="29" t="s">
        <v>22</v>
      </c>
      <c r="N1069" s="31">
        <v>632.4</v>
      </c>
    </row>
    <row r="1070" ht="29.75" spans="1:14">
      <c r="A1070" s="29" t="s">
        <v>3845</v>
      </c>
      <c r="B1070" s="30">
        <v>45507</v>
      </c>
      <c r="C1070" s="29" t="s">
        <v>3846</v>
      </c>
      <c r="D1070" s="29" t="s">
        <v>58</v>
      </c>
      <c r="E1070" s="31">
        <v>1</v>
      </c>
      <c r="F1070" s="31">
        <v>133.39</v>
      </c>
      <c r="G1070" s="29" t="s">
        <v>3847</v>
      </c>
      <c r="H1070" s="29" t="s">
        <v>18</v>
      </c>
      <c r="I1070" s="29" t="s">
        <v>19</v>
      </c>
      <c r="J1070" s="29" t="s">
        <v>3848</v>
      </c>
      <c r="K1070" s="31">
        <v>2</v>
      </c>
      <c r="L1070" s="29" t="s">
        <v>21</v>
      </c>
      <c r="M1070" s="29" t="s">
        <v>29</v>
      </c>
      <c r="N1070" s="31">
        <v>133.39</v>
      </c>
    </row>
    <row r="1071" ht="29.75" spans="1:14">
      <c r="A1071" s="29" t="s">
        <v>3849</v>
      </c>
      <c r="B1071" s="30">
        <v>44982</v>
      </c>
      <c r="C1071" s="29" t="s">
        <v>3850</v>
      </c>
      <c r="D1071" s="29" t="s">
        <v>16</v>
      </c>
      <c r="E1071" s="31">
        <v>1</v>
      </c>
      <c r="F1071" s="31">
        <v>454.23</v>
      </c>
      <c r="G1071" s="29" t="s">
        <v>968</v>
      </c>
      <c r="H1071" s="29" t="s">
        <v>60</v>
      </c>
      <c r="I1071" s="29" t="s">
        <v>43</v>
      </c>
      <c r="J1071" s="29" t="s">
        <v>3851</v>
      </c>
      <c r="K1071" s="31">
        <v>3</v>
      </c>
      <c r="L1071" s="29"/>
      <c r="M1071" s="29" t="s">
        <v>45</v>
      </c>
      <c r="N1071" s="31">
        <v>454.23</v>
      </c>
    </row>
    <row r="1072" ht="29.75" spans="1:14">
      <c r="A1072" s="29" t="s">
        <v>3852</v>
      </c>
      <c r="B1072" s="30">
        <v>45541</v>
      </c>
      <c r="C1072" s="29" t="s">
        <v>3853</v>
      </c>
      <c r="D1072" s="29" t="s">
        <v>73</v>
      </c>
      <c r="E1072" s="31">
        <v>4</v>
      </c>
      <c r="F1072" s="31">
        <v>491.29</v>
      </c>
      <c r="G1072" s="29" t="s">
        <v>359</v>
      </c>
      <c r="H1072" s="29" t="s">
        <v>18</v>
      </c>
      <c r="I1072" s="29" t="s">
        <v>89</v>
      </c>
      <c r="J1072" s="29" t="s">
        <v>3854</v>
      </c>
      <c r="K1072" s="31">
        <v>6</v>
      </c>
      <c r="L1072" s="29"/>
      <c r="M1072" s="29" t="s">
        <v>38</v>
      </c>
      <c r="N1072" s="31">
        <v>1965.16</v>
      </c>
    </row>
    <row r="1073" ht="29.75" spans="1:14">
      <c r="A1073" s="29" t="s">
        <v>3855</v>
      </c>
      <c r="B1073" s="30">
        <v>45832</v>
      </c>
      <c r="C1073" s="29" t="s">
        <v>3856</v>
      </c>
      <c r="D1073" s="29" t="s">
        <v>25</v>
      </c>
      <c r="E1073" s="31">
        <v>2</v>
      </c>
      <c r="F1073" s="31">
        <v>255.14</v>
      </c>
      <c r="G1073" s="29" t="s">
        <v>1455</v>
      </c>
      <c r="H1073" s="29" t="s">
        <v>65</v>
      </c>
      <c r="I1073" s="29" t="s">
        <v>19</v>
      </c>
      <c r="J1073" s="29" t="s">
        <v>3857</v>
      </c>
      <c r="K1073" s="31">
        <v>2</v>
      </c>
      <c r="L1073" s="29"/>
      <c r="M1073" s="29" t="s">
        <v>76</v>
      </c>
      <c r="N1073" s="31">
        <v>510.28</v>
      </c>
    </row>
    <row r="1074" ht="29.75" spans="1:14">
      <c r="A1074" s="29" t="s">
        <v>3858</v>
      </c>
      <c r="B1074" s="30">
        <v>44983</v>
      </c>
      <c r="C1074" s="29" t="s">
        <v>3859</v>
      </c>
      <c r="D1074" s="29" t="s">
        <v>16</v>
      </c>
      <c r="E1074" s="31">
        <v>1</v>
      </c>
      <c r="F1074" s="31">
        <v>392.61</v>
      </c>
      <c r="G1074" s="29" t="s">
        <v>1058</v>
      </c>
      <c r="H1074" s="29" t="s">
        <v>60</v>
      </c>
      <c r="I1074" s="29" t="s">
        <v>35</v>
      </c>
      <c r="J1074" s="29" t="s">
        <v>3860</v>
      </c>
      <c r="K1074" s="31">
        <v>4</v>
      </c>
      <c r="L1074" s="29" t="s">
        <v>21</v>
      </c>
      <c r="M1074" s="29" t="s">
        <v>29</v>
      </c>
      <c r="N1074" s="31">
        <v>392.61</v>
      </c>
    </row>
    <row r="1075" ht="29.75" spans="1:14">
      <c r="A1075" s="29" t="s">
        <v>3861</v>
      </c>
      <c r="B1075" s="30">
        <v>45576</v>
      </c>
      <c r="C1075" s="29" t="s">
        <v>3862</v>
      </c>
      <c r="D1075" s="29" t="s">
        <v>32</v>
      </c>
      <c r="E1075" s="31">
        <v>4</v>
      </c>
      <c r="F1075" s="31">
        <v>362.06</v>
      </c>
      <c r="G1075" s="29" t="s">
        <v>1036</v>
      </c>
      <c r="H1075" s="29" t="s">
        <v>18</v>
      </c>
      <c r="I1075" s="29" t="s">
        <v>43</v>
      </c>
      <c r="J1075" s="29" t="s">
        <v>3863</v>
      </c>
      <c r="K1075" s="31">
        <v>4</v>
      </c>
      <c r="L1075" s="29"/>
      <c r="M1075" s="29" t="s">
        <v>45</v>
      </c>
      <c r="N1075" s="31">
        <v>1448.24</v>
      </c>
    </row>
    <row r="1076" ht="29.75" spans="1:14">
      <c r="A1076" s="29" t="s">
        <v>3864</v>
      </c>
      <c r="B1076" s="30">
        <v>45422</v>
      </c>
      <c r="C1076" s="29" t="s">
        <v>3865</v>
      </c>
      <c r="D1076" s="29" t="s">
        <v>25</v>
      </c>
      <c r="E1076" s="31">
        <v>1</v>
      </c>
      <c r="F1076" s="31">
        <v>222.73</v>
      </c>
      <c r="G1076" s="29" t="s">
        <v>3866</v>
      </c>
      <c r="H1076" s="29" t="s">
        <v>27</v>
      </c>
      <c r="I1076" s="29" t="s">
        <v>43</v>
      </c>
      <c r="J1076" s="29" t="s">
        <v>3867</v>
      </c>
      <c r="K1076" s="31">
        <v>4</v>
      </c>
      <c r="L1076" s="29"/>
      <c r="M1076" s="29" t="s">
        <v>76</v>
      </c>
      <c r="N1076" s="31">
        <v>222.73</v>
      </c>
    </row>
    <row r="1077" ht="29.75" spans="1:14">
      <c r="A1077" s="29" t="s">
        <v>3868</v>
      </c>
      <c r="B1077" s="30">
        <v>45535</v>
      </c>
      <c r="C1077" s="29" t="s">
        <v>3869</v>
      </c>
      <c r="D1077" s="29" t="s">
        <v>16</v>
      </c>
      <c r="E1077" s="31">
        <v>2</v>
      </c>
      <c r="F1077" s="31">
        <v>552.63</v>
      </c>
      <c r="G1077" s="29" t="s">
        <v>837</v>
      </c>
      <c r="H1077" s="29" t="s">
        <v>18</v>
      </c>
      <c r="I1077" s="29" t="s">
        <v>50</v>
      </c>
      <c r="J1077" s="29" t="s">
        <v>3870</v>
      </c>
      <c r="K1077" s="31">
        <v>7</v>
      </c>
      <c r="L1077" s="29" t="s">
        <v>81</v>
      </c>
      <c r="M1077" s="29" t="s">
        <v>22</v>
      </c>
      <c r="N1077" s="31">
        <v>1105.26</v>
      </c>
    </row>
    <row r="1078" ht="29.75" spans="1:14">
      <c r="A1078" s="29" t="s">
        <v>3871</v>
      </c>
      <c r="B1078" s="30">
        <v>45054</v>
      </c>
      <c r="C1078" s="29" t="s">
        <v>3872</v>
      </c>
      <c r="D1078" s="29" t="s">
        <v>58</v>
      </c>
      <c r="E1078" s="31">
        <v>4</v>
      </c>
      <c r="F1078" s="31">
        <v>686.61</v>
      </c>
      <c r="G1078" s="29" t="s">
        <v>3718</v>
      </c>
      <c r="H1078" s="29" t="s">
        <v>65</v>
      </c>
      <c r="I1078" s="29" t="s">
        <v>19</v>
      </c>
      <c r="J1078" s="29" t="s">
        <v>3873</v>
      </c>
      <c r="K1078" s="31">
        <v>6</v>
      </c>
      <c r="L1078" s="29"/>
      <c r="M1078" s="29" t="s">
        <v>29</v>
      </c>
      <c r="N1078" s="31">
        <v>2746.44</v>
      </c>
    </row>
    <row r="1079" ht="29.75" spans="1:14">
      <c r="A1079" s="29" t="s">
        <v>3874</v>
      </c>
      <c r="B1079" s="30">
        <v>45723</v>
      </c>
      <c r="C1079" s="29" t="s">
        <v>3875</v>
      </c>
      <c r="D1079" s="29" t="s">
        <v>48</v>
      </c>
      <c r="E1079" s="31">
        <v>3</v>
      </c>
      <c r="F1079" s="31">
        <v>305.16</v>
      </c>
      <c r="G1079" s="29" t="s">
        <v>490</v>
      </c>
      <c r="H1079" s="29" t="s">
        <v>34</v>
      </c>
      <c r="I1079" s="29" t="s">
        <v>35</v>
      </c>
      <c r="J1079" s="29" t="s">
        <v>3876</v>
      </c>
      <c r="K1079" s="31">
        <v>8</v>
      </c>
      <c r="L1079" s="29" t="s">
        <v>21</v>
      </c>
      <c r="M1079" s="29" t="s">
        <v>29</v>
      </c>
      <c r="N1079" s="31">
        <v>915.48</v>
      </c>
    </row>
    <row r="1080" ht="29.75" spans="1:14">
      <c r="A1080" s="29" t="s">
        <v>3877</v>
      </c>
      <c r="B1080" s="30">
        <v>45003</v>
      </c>
      <c r="C1080" s="29" t="s">
        <v>3878</v>
      </c>
      <c r="D1080" s="29" t="s">
        <v>73</v>
      </c>
      <c r="E1080" s="31">
        <v>1</v>
      </c>
      <c r="F1080" s="31">
        <v>41.09</v>
      </c>
      <c r="G1080" s="29" t="s">
        <v>149</v>
      </c>
      <c r="H1080" s="29" t="s">
        <v>27</v>
      </c>
      <c r="I1080" s="29" t="s">
        <v>43</v>
      </c>
      <c r="J1080" s="29" t="s">
        <v>3879</v>
      </c>
      <c r="K1080" s="31">
        <v>4</v>
      </c>
      <c r="L1080" s="29" t="s">
        <v>81</v>
      </c>
      <c r="M1080" s="29" t="s">
        <v>38</v>
      </c>
      <c r="N1080" s="31">
        <v>41.09</v>
      </c>
    </row>
    <row r="1081" ht="29.75" spans="1:14">
      <c r="A1081" s="29" t="s">
        <v>3880</v>
      </c>
      <c r="B1081" s="30">
        <v>45463</v>
      </c>
      <c r="C1081" s="29" t="s">
        <v>3881</v>
      </c>
      <c r="D1081" s="29" t="s">
        <v>25</v>
      </c>
      <c r="E1081" s="31">
        <v>5</v>
      </c>
      <c r="F1081" s="31">
        <v>634</v>
      </c>
      <c r="G1081" s="29" t="s">
        <v>3370</v>
      </c>
      <c r="H1081" s="29" t="s">
        <v>60</v>
      </c>
      <c r="I1081" s="29" t="s">
        <v>50</v>
      </c>
      <c r="J1081" s="29" t="s">
        <v>3882</v>
      </c>
      <c r="K1081" s="31">
        <v>8</v>
      </c>
      <c r="L1081" s="29"/>
      <c r="M1081" s="29" t="s">
        <v>38</v>
      </c>
      <c r="N1081" s="31">
        <v>3170</v>
      </c>
    </row>
    <row r="1082" ht="29.75" spans="1:14">
      <c r="A1082" s="29" t="s">
        <v>3883</v>
      </c>
      <c r="B1082" s="30">
        <v>44946</v>
      </c>
      <c r="C1082" s="29" t="s">
        <v>3884</v>
      </c>
      <c r="D1082" s="29" t="s">
        <v>58</v>
      </c>
      <c r="E1082" s="31">
        <v>5</v>
      </c>
      <c r="F1082" s="31">
        <v>464.74</v>
      </c>
      <c r="G1082" s="29" t="s">
        <v>3885</v>
      </c>
      <c r="H1082" s="29" t="s">
        <v>60</v>
      </c>
      <c r="I1082" s="29" t="s">
        <v>50</v>
      </c>
      <c r="J1082" s="29" t="s">
        <v>3886</v>
      </c>
      <c r="K1082" s="31">
        <v>7</v>
      </c>
      <c r="L1082" s="29"/>
      <c r="M1082" s="29" t="s">
        <v>29</v>
      </c>
      <c r="N1082" s="31">
        <v>2323.7</v>
      </c>
    </row>
    <row r="1083" ht="29.75" spans="1:14">
      <c r="A1083" s="29" t="s">
        <v>3887</v>
      </c>
      <c r="B1083" s="30">
        <v>45037</v>
      </c>
      <c r="C1083" s="29" t="s">
        <v>3888</v>
      </c>
      <c r="D1083" s="29" t="s">
        <v>16</v>
      </c>
      <c r="E1083" s="31">
        <v>4</v>
      </c>
      <c r="F1083" s="31">
        <v>425.6</v>
      </c>
      <c r="G1083" s="29" t="s">
        <v>1388</v>
      </c>
      <c r="H1083" s="29" t="s">
        <v>34</v>
      </c>
      <c r="I1083" s="29" t="s">
        <v>89</v>
      </c>
      <c r="J1083" s="29" t="s">
        <v>3889</v>
      </c>
      <c r="K1083" s="31">
        <v>5</v>
      </c>
      <c r="L1083" s="29" t="s">
        <v>37</v>
      </c>
      <c r="M1083" s="29" t="s">
        <v>76</v>
      </c>
      <c r="N1083" s="31">
        <v>1702.4</v>
      </c>
    </row>
    <row r="1084" ht="29.75" spans="1:14">
      <c r="A1084" s="29" t="s">
        <v>3890</v>
      </c>
      <c r="B1084" s="30">
        <v>45205</v>
      </c>
      <c r="C1084" s="29" t="s">
        <v>3891</v>
      </c>
      <c r="D1084" s="29" t="s">
        <v>41</v>
      </c>
      <c r="E1084" s="31">
        <v>3</v>
      </c>
      <c r="F1084" s="31">
        <v>573.22</v>
      </c>
      <c r="G1084" s="29" t="s">
        <v>3751</v>
      </c>
      <c r="H1084" s="29" t="s">
        <v>18</v>
      </c>
      <c r="I1084" s="29" t="s">
        <v>89</v>
      </c>
      <c r="J1084" s="29" t="s">
        <v>3892</v>
      </c>
      <c r="K1084" s="31">
        <v>5</v>
      </c>
      <c r="L1084" s="29" t="s">
        <v>21</v>
      </c>
      <c r="M1084" s="29" t="s">
        <v>38</v>
      </c>
      <c r="N1084" s="31">
        <v>1719.66</v>
      </c>
    </row>
    <row r="1085" ht="29.75" spans="1:14">
      <c r="A1085" s="29" t="s">
        <v>3893</v>
      </c>
      <c r="B1085" s="30">
        <v>45482</v>
      </c>
      <c r="C1085" s="29" t="s">
        <v>3894</v>
      </c>
      <c r="D1085" s="29" t="s">
        <v>41</v>
      </c>
      <c r="E1085" s="31">
        <v>1</v>
      </c>
      <c r="F1085" s="31">
        <v>123.28</v>
      </c>
      <c r="G1085" s="29" t="s">
        <v>161</v>
      </c>
      <c r="H1085" s="29" t="s">
        <v>34</v>
      </c>
      <c r="I1085" s="29" t="s">
        <v>50</v>
      </c>
      <c r="J1085" s="29" t="s">
        <v>3895</v>
      </c>
      <c r="K1085" s="31">
        <v>3</v>
      </c>
      <c r="L1085" s="29" t="s">
        <v>21</v>
      </c>
      <c r="M1085" s="29" t="s">
        <v>38</v>
      </c>
      <c r="N1085" s="31">
        <v>123.28</v>
      </c>
    </row>
    <row r="1086" ht="29.75" spans="1:14">
      <c r="A1086" s="29" t="s">
        <v>3896</v>
      </c>
      <c r="B1086" s="30">
        <v>44934</v>
      </c>
      <c r="C1086" s="29" t="s">
        <v>3897</v>
      </c>
      <c r="D1086" s="29" t="s">
        <v>25</v>
      </c>
      <c r="E1086" s="31">
        <v>1</v>
      </c>
      <c r="F1086" s="31">
        <v>70.82</v>
      </c>
      <c r="G1086" s="29" t="s">
        <v>181</v>
      </c>
      <c r="H1086" s="29" t="s">
        <v>60</v>
      </c>
      <c r="I1086" s="29" t="s">
        <v>89</v>
      </c>
      <c r="J1086" s="29" t="s">
        <v>3898</v>
      </c>
      <c r="K1086" s="31">
        <v>1</v>
      </c>
      <c r="L1086" s="29" t="s">
        <v>81</v>
      </c>
      <c r="M1086" s="29" t="s">
        <v>22</v>
      </c>
      <c r="N1086" s="31">
        <v>70.82</v>
      </c>
    </row>
    <row r="1087" ht="29.75" spans="1:14">
      <c r="A1087" s="29" t="s">
        <v>3899</v>
      </c>
      <c r="B1087" s="30">
        <v>45067</v>
      </c>
      <c r="C1087" s="29" t="s">
        <v>3900</v>
      </c>
      <c r="D1087" s="29" t="s">
        <v>48</v>
      </c>
      <c r="E1087" s="31">
        <v>2</v>
      </c>
      <c r="F1087" s="31">
        <v>646.69</v>
      </c>
      <c r="G1087" s="29" t="s">
        <v>614</v>
      </c>
      <c r="H1087" s="29" t="s">
        <v>18</v>
      </c>
      <c r="I1087" s="29" t="s">
        <v>19</v>
      </c>
      <c r="J1087" s="29" t="s">
        <v>3901</v>
      </c>
      <c r="K1087" s="31">
        <v>7</v>
      </c>
      <c r="L1087" s="29" t="s">
        <v>81</v>
      </c>
      <c r="M1087" s="29" t="s">
        <v>22</v>
      </c>
      <c r="N1087" s="31">
        <v>1293.38</v>
      </c>
    </row>
    <row r="1088" ht="29.75" spans="1:14">
      <c r="A1088" s="29" t="s">
        <v>3902</v>
      </c>
      <c r="B1088" s="30">
        <v>45283</v>
      </c>
      <c r="C1088" s="29" t="s">
        <v>3903</v>
      </c>
      <c r="D1088" s="29" t="s">
        <v>32</v>
      </c>
      <c r="E1088" s="31">
        <v>2</v>
      </c>
      <c r="F1088" s="31">
        <v>513.42</v>
      </c>
      <c r="G1088" s="29" t="s">
        <v>3904</v>
      </c>
      <c r="H1088" s="29" t="s">
        <v>27</v>
      </c>
      <c r="I1088" s="29" t="s">
        <v>89</v>
      </c>
      <c r="J1088" s="29" t="s">
        <v>3905</v>
      </c>
      <c r="K1088" s="31">
        <v>5</v>
      </c>
      <c r="L1088" s="29" t="s">
        <v>81</v>
      </c>
      <c r="M1088" s="29" t="s">
        <v>22</v>
      </c>
      <c r="N1088" s="31">
        <v>1026.84</v>
      </c>
    </row>
    <row r="1089" ht="29.75" spans="1:14">
      <c r="A1089" s="29" t="s">
        <v>3906</v>
      </c>
      <c r="B1089" s="30">
        <v>45739</v>
      </c>
      <c r="C1089" s="29" t="s">
        <v>3907</v>
      </c>
      <c r="D1089" s="29" t="s">
        <v>58</v>
      </c>
      <c r="E1089" s="31">
        <v>4</v>
      </c>
      <c r="F1089" s="31">
        <v>693.07</v>
      </c>
      <c r="G1089" s="29" t="s">
        <v>3908</v>
      </c>
      <c r="H1089" s="29" t="s">
        <v>27</v>
      </c>
      <c r="I1089" s="29" t="s">
        <v>19</v>
      </c>
      <c r="J1089" s="29" t="s">
        <v>3909</v>
      </c>
      <c r="K1089" s="31">
        <v>8</v>
      </c>
      <c r="L1089" s="29" t="s">
        <v>21</v>
      </c>
      <c r="M1089" s="29" t="s">
        <v>22</v>
      </c>
      <c r="N1089" s="31">
        <v>2772.28</v>
      </c>
    </row>
    <row r="1090" ht="29.75" spans="1:14">
      <c r="A1090" s="29" t="s">
        <v>3910</v>
      </c>
      <c r="B1090" s="30">
        <v>45260</v>
      </c>
      <c r="C1090" s="29" t="s">
        <v>3911</v>
      </c>
      <c r="D1090" s="29" t="s">
        <v>73</v>
      </c>
      <c r="E1090" s="31">
        <v>3</v>
      </c>
      <c r="F1090" s="31">
        <v>491.43</v>
      </c>
      <c r="G1090" s="29" t="s">
        <v>3912</v>
      </c>
      <c r="H1090" s="29" t="s">
        <v>60</v>
      </c>
      <c r="I1090" s="29" t="s">
        <v>19</v>
      </c>
      <c r="J1090" s="29" t="s">
        <v>3913</v>
      </c>
      <c r="K1090" s="31">
        <v>6</v>
      </c>
      <c r="L1090" s="29" t="s">
        <v>81</v>
      </c>
      <c r="M1090" s="29" t="s">
        <v>22</v>
      </c>
      <c r="N1090" s="31">
        <v>1474.29</v>
      </c>
    </row>
    <row r="1091" ht="29.75" spans="1:14">
      <c r="A1091" s="29" t="s">
        <v>3914</v>
      </c>
      <c r="B1091" s="30">
        <v>45731</v>
      </c>
      <c r="C1091" s="29" t="s">
        <v>3915</v>
      </c>
      <c r="D1091" s="29" t="s">
        <v>32</v>
      </c>
      <c r="E1091" s="31">
        <v>2</v>
      </c>
      <c r="F1091" s="31">
        <v>599.74</v>
      </c>
      <c r="G1091" s="29" t="s">
        <v>305</v>
      </c>
      <c r="H1091" s="29" t="s">
        <v>60</v>
      </c>
      <c r="I1091" s="29" t="s">
        <v>19</v>
      </c>
      <c r="J1091" s="29" t="s">
        <v>3916</v>
      </c>
      <c r="K1091" s="31">
        <v>2</v>
      </c>
      <c r="L1091" s="29"/>
      <c r="M1091" s="29" t="s">
        <v>22</v>
      </c>
      <c r="N1091" s="31">
        <v>1199.48</v>
      </c>
    </row>
    <row r="1092" ht="29.75" spans="1:14">
      <c r="A1092" s="29" t="s">
        <v>3917</v>
      </c>
      <c r="B1092" s="30">
        <v>44982</v>
      </c>
      <c r="C1092" s="29" t="s">
        <v>3918</v>
      </c>
      <c r="D1092" s="29" t="s">
        <v>16</v>
      </c>
      <c r="E1092" s="31">
        <v>2</v>
      </c>
      <c r="F1092" s="31">
        <v>650.25</v>
      </c>
      <c r="G1092" s="29" t="s">
        <v>165</v>
      </c>
      <c r="H1092" s="29" t="s">
        <v>60</v>
      </c>
      <c r="I1092" s="29" t="s">
        <v>43</v>
      </c>
      <c r="J1092" s="29" t="s">
        <v>3919</v>
      </c>
      <c r="K1092" s="31">
        <v>6</v>
      </c>
      <c r="L1092" s="29"/>
      <c r="M1092" s="29" t="s">
        <v>22</v>
      </c>
      <c r="N1092" s="31">
        <v>1300.5</v>
      </c>
    </row>
    <row r="1093" ht="29.75" spans="1:14">
      <c r="A1093" s="29" t="s">
        <v>3920</v>
      </c>
      <c r="B1093" s="30">
        <v>45573</v>
      </c>
      <c r="C1093" s="29" t="s">
        <v>3921</v>
      </c>
      <c r="D1093" s="29" t="s">
        <v>58</v>
      </c>
      <c r="E1093" s="31">
        <v>3</v>
      </c>
      <c r="F1093" s="31">
        <v>209.48</v>
      </c>
      <c r="G1093" s="29" t="s">
        <v>1609</v>
      </c>
      <c r="H1093" s="29" t="s">
        <v>18</v>
      </c>
      <c r="I1093" s="29" t="s">
        <v>89</v>
      </c>
      <c r="J1093" s="29" t="s">
        <v>3922</v>
      </c>
      <c r="K1093" s="31">
        <v>4</v>
      </c>
      <c r="L1093" s="29"/>
      <c r="M1093" s="29" t="s">
        <v>38</v>
      </c>
      <c r="N1093" s="31">
        <v>628.44</v>
      </c>
    </row>
    <row r="1094" ht="29.75" spans="1:14">
      <c r="A1094" s="29" t="s">
        <v>3923</v>
      </c>
      <c r="B1094" s="30">
        <v>45159</v>
      </c>
      <c r="C1094" s="29" t="s">
        <v>3924</v>
      </c>
      <c r="D1094" s="29" t="s">
        <v>58</v>
      </c>
      <c r="E1094" s="31">
        <v>5</v>
      </c>
      <c r="F1094" s="31">
        <v>209.2</v>
      </c>
      <c r="G1094" s="29" t="s">
        <v>157</v>
      </c>
      <c r="H1094" s="29" t="s">
        <v>18</v>
      </c>
      <c r="I1094" s="29" t="s">
        <v>50</v>
      </c>
      <c r="J1094" s="29" t="s">
        <v>3925</v>
      </c>
      <c r="K1094" s="31">
        <v>6</v>
      </c>
      <c r="L1094" s="29" t="s">
        <v>81</v>
      </c>
      <c r="M1094" s="29" t="s">
        <v>38</v>
      </c>
      <c r="N1094" s="31">
        <v>1046</v>
      </c>
    </row>
    <row r="1095" ht="29.75" spans="1:14">
      <c r="A1095" s="29" t="s">
        <v>3926</v>
      </c>
      <c r="B1095" s="30">
        <v>45086</v>
      </c>
      <c r="C1095" s="29" t="s">
        <v>3927</v>
      </c>
      <c r="D1095" s="29" t="s">
        <v>25</v>
      </c>
      <c r="E1095" s="31">
        <v>4</v>
      </c>
      <c r="F1095" s="31">
        <v>197.36</v>
      </c>
      <c r="G1095" s="29" t="s">
        <v>3928</v>
      </c>
      <c r="H1095" s="29" t="s">
        <v>60</v>
      </c>
      <c r="I1095" s="29" t="s">
        <v>43</v>
      </c>
      <c r="J1095" s="29" t="s">
        <v>3929</v>
      </c>
      <c r="K1095" s="31">
        <v>9</v>
      </c>
      <c r="L1095" s="29" t="s">
        <v>37</v>
      </c>
      <c r="M1095" s="29" t="s">
        <v>22</v>
      </c>
      <c r="N1095" s="31">
        <v>789.44</v>
      </c>
    </row>
    <row r="1096" ht="29.75" spans="1:14">
      <c r="A1096" s="29" t="s">
        <v>3930</v>
      </c>
      <c r="B1096" s="30">
        <v>45105</v>
      </c>
      <c r="C1096" s="29" t="s">
        <v>3931</v>
      </c>
      <c r="D1096" s="29" t="s">
        <v>48</v>
      </c>
      <c r="E1096" s="31">
        <v>4</v>
      </c>
      <c r="F1096" s="31">
        <v>648.91</v>
      </c>
      <c r="G1096" s="29" t="s">
        <v>3932</v>
      </c>
      <c r="H1096" s="29" t="s">
        <v>34</v>
      </c>
      <c r="I1096" s="29" t="s">
        <v>19</v>
      </c>
      <c r="J1096" s="29" t="s">
        <v>3933</v>
      </c>
      <c r="K1096" s="31">
        <v>6</v>
      </c>
      <c r="L1096" s="29" t="s">
        <v>21</v>
      </c>
      <c r="M1096" s="29" t="s">
        <v>22</v>
      </c>
      <c r="N1096" s="31">
        <v>2595.64</v>
      </c>
    </row>
    <row r="1097" ht="29.75" spans="1:14">
      <c r="A1097" s="29" t="s">
        <v>3934</v>
      </c>
      <c r="B1097" s="30">
        <v>45405</v>
      </c>
      <c r="C1097" s="29" t="s">
        <v>3935</v>
      </c>
      <c r="D1097" s="29" t="s">
        <v>25</v>
      </c>
      <c r="E1097" s="31">
        <v>2</v>
      </c>
      <c r="F1097" s="31">
        <v>441.54</v>
      </c>
      <c r="G1097" s="29" t="s">
        <v>3936</v>
      </c>
      <c r="H1097" s="29" t="s">
        <v>27</v>
      </c>
      <c r="I1097" s="29" t="s">
        <v>50</v>
      </c>
      <c r="J1097" s="29" t="s">
        <v>3937</v>
      </c>
      <c r="K1097" s="31">
        <v>2</v>
      </c>
      <c r="L1097" s="29" t="s">
        <v>21</v>
      </c>
      <c r="M1097" s="29" t="s">
        <v>38</v>
      </c>
      <c r="N1097" s="31">
        <v>883.08</v>
      </c>
    </row>
    <row r="1098" ht="29.75" spans="1:14">
      <c r="A1098" s="29" t="s">
        <v>3938</v>
      </c>
      <c r="B1098" s="30">
        <v>45780</v>
      </c>
      <c r="C1098" s="29" t="s">
        <v>3939</v>
      </c>
      <c r="D1098" s="29" t="s">
        <v>32</v>
      </c>
      <c r="E1098" s="31">
        <v>2</v>
      </c>
      <c r="F1098" s="31">
        <v>464.92</v>
      </c>
      <c r="G1098" s="29" t="s">
        <v>3940</v>
      </c>
      <c r="H1098" s="29" t="s">
        <v>18</v>
      </c>
      <c r="I1098" s="29" t="s">
        <v>43</v>
      </c>
      <c r="J1098" s="29" t="s">
        <v>3941</v>
      </c>
      <c r="K1098" s="31">
        <v>2</v>
      </c>
      <c r="L1098" s="29"/>
      <c r="M1098" s="29" t="s">
        <v>45</v>
      </c>
      <c r="N1098" s="31">
        <v>929.84</v>
      </c>
    </row>
    <row r="1099" ht="29.75" spans="1:14">
      <c r="A1099" s="29" t="s">
        <v>3942</v>
      </c>
      <c r="B1099" s="30">
        <v>45652</v>
      </c>
      <c r="C1099" s="29" t="s">
        <v>3943</v>
      </c>
      <c r="D1099" s="29" t="s">
        <v>16</v>
      </c>
      <c r="E1099" s="31">
        <v>5</v>
      </c>
      <c r="F1099" s="31">
        <v>506.45</v>
      </c>
      <c r="G1099" s="29" t="s">
        <v>3944</v>
      </c>
      <c r="H1099" s="29" t="s">
        <v>60</v>
      </c>
      <c r="I1099" s="29" t="s">
        <v>19</v>
      </c>
      <c r="J1099" s="29" t="s">
        <v>3945</v>
      </c>
      <c r="K1099" s="31">
        <v>7</v>
      </c>
      <c r="L1099" s="29" t="s">
        <v>81</v>
      </c>
      <c r="M1099" s="29" t="s">
        <v>76</v>
      </c>
      <c r="N1099" s="31">
        <v>2532.25</v>
      </c>
    </row>
    <row r="1100" ht="29.75" spans="1:14">
      <c r="A1100" s="29" t="s">
        <v>3946</v>
      </c>
      <c r="B1100" s="30">
        <v>45094</v>
      </c>
      <c r="C1100" s="29" t="s">
        <v>3947</v>
      </c>
      <c r="D1100" s="29" t="s">
        <v>16</v>
      </c>
      <c r="E1100" s="31">
        <v>4</v>
      </c>
      <c r="F1100" s="31">
        <v>255.86</v>
      </c>
      <c r="G1100" s="29" t="s">
        <v>3948</v>
      </c>
      <c r="H1100" s="29" t="s">
        <v>34</v>
      </c>
      <c r="I1100" s="29" t="s">
        <v>50</v>
      </c>
      <c r="J1100" s="29" t="s">
        <v>3949</v>
      </c>
      <c r="K1100" s="31">
        <v>7</v>
      </c>
      <c r="L1100" s="29"/>
      <c r="M1100" s="29" t="s">
        <v>38</v>
      </c>
      <c r="N1100" s="31">
        <v>1023.44</v>
      </c>
    </row>
    <row r="1101" ht="29.75" spans="1:14">
      <c r="A1101" s="29" t="s">
        <v>3950</v>
      </c>
      <c r="B1101" s="30">
        <v>45554</v>
      </c>
      <c r="C1101" s="29" t="s">
        <v>3951</v>
      </c>
      <c r="D1101" s="29" t="s">
        <v>58</v>
      </c>
      <c r="E1101" s="31">
        <v>2</v>
      </c>
      <c r="F1101" s="31">
        <v>125.23</v>
      </c>
      <c r="G1101" s="29" t="s">
        <v>1501</v>
      </c>
      <c r="H1101" s="29" t="s">
        <v>65</v>
      </c>
      <c r="I1101" s="29" t="s">
        <v>35</v>
      </c>
      <c r="J1101" s="29" t="s">
        <v>3952</v>
      </c>
      <c r="K1101" s="31">
        <v>3</v>
      </c>
      <c r="L1101" s="29" t="s">
        <v>37</v>
      </c>
      <c r="M1101" s="29" t="s">
        <v>38</v>
      </c>
      <c r="N1101" s="31">
        <v>250.46</v>
      </c>
    </row>
    <row r="1102" ht="29.75" spans="1:14">
      <c r="A1102" s="29" t="s">
        <v>3953</v>
      </c>
      <c r="B1102" s="30">
        <v>45155</v>
      </c>
      <c r="C1102" s="29" t="s">
        <v>3954</v>
      </c>
      <c r="D1102" s="29" t="s">
        <v>58</v>
      </c>
      <c r="E1102" s="31">
        <v>5</v>
      </c>
      <c r="F1102" s="31">
        <v>38.11</v>
      </c>
      <c r="G1102" s="29" t="s">
        <v>3955</v>
      </c>
      <c r="H1102" s="29" t="s">
        <v>18</v>
      </c>
      <c r="I1102" s="29" t="s">
        <v>35</v>
      </c>
      <c r="J1102" s="29" t="s">
        <v>3956</v>
      </c>
      <c r="K1102" s="31">
        <v>6</v>
      </c>
      <c r="L1102" s="29" t="s">
        <v>81</v>
      </c>
      <c r="M1102" s="29" t="s">
        <v>22</v>
      </c>
      <c r="N1102" s="31">
        <v>190.55</v>
      </c>
    </row>
    <row r="1103" ht="29.75" spans="1:14">
      <c r="A1103" s="29" t="s">
        <v>3957</v>
      </c>
      <c r="B1103" s="30">
        <v>45816</v>
      </c>
      <c r="C1103" s="29" t="s">
        <v>3958</v>
      </c>
      <c r="D1103" s="29" t="s">
        <v>16</v>
      </c>
      <c r="E1103" s="31">
        <v>3</v>
      </c>
      <c r="F1103" s="31">
        <v>161.97</v>
      </c>
      <c r="G1103" s="29" t="s">
        <v>69</v>
      </c>
      <c r="H1103" s="29" t="s">
        <v>65</v>
      </c>
      <c r="I1103" s="29" t="s">
        <v>89</v>
      </c>
      <c r="J1103" s="29" t="s">
        <v>3959</v>
      </c>
      <c r="K1103" s="31">
        <v>4</v>
      </c>
      <c r="L1103" s="29" t="s">
        <v>21</v>
      </c>
      <c r="M1103" s="29" t="s">
        <v>38</v>
      </c>
      <c r="N1103" s="31">
        <v>485.91</v>
      </c>
    </row>
    <row r="1104" ht="29.75" spans="1:14">
      <c r="A1104" s="29" t="s">
        <v>3960</v>
      </c>
      <c r="B1104" s="30">
        <v>45446</v>
      </c>
      <c r="C1104" s="29" t="s">
        <v>96</v>
      </c>
      <c r="D1104" s="29" t="s">
        <v>41</v>
      </c>
      <c r="E1104" s="31">
        <v>4</v>
      </c>
      <c r="F1104" s="31">
        <v>347.17</v>
      </c>
      <c r="G1104" s="29" t="s">
        <v>2779</v>
      </c>
      <c r="H1104" s="29" t="s">
        <v>18</v>
      </c>
      <c r="I1104" s="29" t="s">
        <v>19</v>
      </c>
      <c r="J1104" s="29" t="s">
        <v>3961</v>
      </c>
      <c r="K1104" s="31">
        <v>8</v>
      </c>
      <c r="L1104" s="29"/>
      <c r="M1104" s="29" t="s">
        <v>22</v>
      </c>
      <c r="N1104" s="31">
        <v>1388.68</v>
      </c>
    </row>
    <row r="1105" ht="29.75" spans="1:14">
      <c r="A1105" s="29" t="s">
        <v>3962</v>
      </c>
      <c r="B1105" s="30">
        <v>45040</v>
      </c>
      <c r="C1105" s="29" t="s">
        <v>3963</v>
      </c>
      <c r="D1105" s="29" t="s">
        <v>58</v>
      </c>
      <c r="E1105" s="31">
        <v>4</v>
      </c>
      <c r="F1105" s="31">
        <v>276.32</v>
      </c>
      <c r="G1105" s="29" t="s">
        <v>327</v>
      </c>
      <c r="H1105" s="29" t="s">
        <v>27</v>
      </c>
      <c r="I1105" s="29" t="s">
        <v>50</v>
      </c>
      <c r="J1105" s="29" t="s">
        <v>3964</v>
      </c>
      <c r="K1105" s="31">
        <v>5</v>
      </c>
      <c r="L1105" s="29"/>
      <c r="M1105" s="29" t="s">
        <v>76</v>
      </c>
      <c r="N1105" s="31">
        <v>1105.28</v>
      </c>
    </row>
    <row r="1106" ht="29.75" spans="1:14">
      <c r="A1106" s="29" t="s">
        <v>3965</v>
      </c>
      <c r="B1106" s="30">
        <v>45498</v>
      </c>
      <c r="C1106" s="29" t="s">
        <v>3966</v>
      </c>
      <c r="D1106" s="29" t="s">
        <v>32</v>
      </c>
      <c r="E1106" s="31">
        <v>4</v>
      </c>
      <c r="F1106" s="31">
        <v>314.76</v>
      </c>
      <c r="G1106" s="29" t="s">
        <v>3967</v>
      </c>
      <c r="H1106" s="29" t="s">
        <v>27</v>
      </c>
      <c r="I1106" s="29" t="s">
        <v>19</v>
      </c>
      <c r="J1106" s="29" t="s">
        <v>3968</v>
      </c>
      <c r="K1106" s="31">
        <v>8</v>
      </c>
      <c r="L1106" s="29"/>
      <c r="M1106" s="29" t="s">
        <v>22</v>
      </c>
      <c r="N1106" s="31">
        <v>1259.04</v>
      </c>
    </row>
    <row r="1107" ht="29.75" spans="1:14">
      <c r="A1107" s="29" t="s">
        <v>3969</v>
      </c>
      <c r="B1107" s="30">
        <v>45299</v>
      </c>
      <c r="C1107" s="29" t="s">
        <v>3970</v>
      </c>
      <c r="D1107" s="29" t="s">
        <v>32</v>
      </c>
      <c r="E1107" s="31">
        <v>3</v>
      </c>
      <c r="F1107" s="31">
        <v>475.69</v>
      </c>
      <c r="G1107" s="29" t="s">
        <v>1097</v>
      </c>
      <c r="H1107" s="29" t="s">
        <v>60</v>
      </c>
      <c r="I1107" s="29" t="s">
        <v>35</v>
      </c>
      <c r="J1107" s="29" t="s">
        <v>3971</v>
      </c>
      <c r="K1107" s="31">
        <v>3</v>
      </c>
      <c r="L1107" s="29" t="s">
        <v>37</v>
      </c>
      <c r="M1107" s="29" t="s">
        <v>76</v>
      </c>
      <c r="N1107" s="31">
        <v>1427.07</v>
      </c>
    </row>
    <row r="1108" ht="29.75" spans="1:14">
      <c r="A1108" s="29" t="s">
        <v>3972</v>
      </c>
      <c r="B1108" s="30">
        <v>44997</v>
      </c>
      <c r="C1108" s="29" t="s">
        <v>3973</v>
      </c>
      <c r="D1108" s="29" t="s">
        <v>41</v>
      </c>
      <c r="E1108" s="31">
        <v>1</v>
      </c>
      <c r="F1108" s="31">
        <v>372.8</v>
      </c>
      <c r="G1108" s="29" t="s">
        <v>93</v>
      </c>
      <c r="H1108" s="29" t="s">
        <v>65</v>
      </c>
      <c r="I1108" s="29" t="s">
        <v>35</v>
      </c>
      <c r="J1108" s="29" t="s">
        <v>3974</v>
      </c>
      <c r="K1108" s="31">
        <v>6</v>
      </c>
      <c r="L1108" s="29" t="s">
        <v>21</v>
      </c>
      <c r="M1108" s="29" t="s">
        <v>45</v>
      </c>
      <c r="N1108" s="31">
        <v>372.8</v>
      </c>
    </row>
    <row r="1109" ht="29.75" spans="1:14">
      <c r="A1109" s="29" t="s">
        <v>3975</v>
      </c>
      <c r="B1109" s="30">
        <v>45838</v>
      </c>
      <c r="C1109" s="29" t="s">
        <v>3976</v>
      </c>
      <c r="D1109" s="29" t="s">
        <v>32</v>
      </c>
      <c r="E1109" s="31">
        <v>2</v>
      </c>
      <c r="F1109" s="31">
        <v>63.21</v>
      </c>
      <c r="G1109" s="29" t="s">
        <v>2290</v>
      </c>
      <c r="H1109" s="29" t="s">
        <v>27</v>
      </c>
      <c r="I1109" s="29" t="s">
        <v>35</v>
      </c>
      <c r="J1109" s="29" t="s">
        <v>3977</v>
      </c>
      <c r="K1109" s="31">
        <v>4</v>
      </c>
      <c r="L1109" s="29" t="s">
        <v>21</v>
      </c>
      <c r="M1109" s="29" t="s">
        <v>76</v>
      </c>
      <c r="N1109" s="31">
        <v>126.42</v>
      </c>
    </row>
    <row r="1110" ht="29.75" spans="1:14">
      <c r="A1110" s="29" t="s">
        <v>3978</v>
      </c>
      <c r="B1110" s="30">
        <v>45005</v>
      </c>
      <c r="C1110" s="29" t="s">
        <v>3979</v>
      </c>
      <c r="D1110" s="29" t="s">
        <v>58</v>
      </c>
      <c r="E1110" s="31">
        <v>1</v>
      </c>
      <c r="F1110" s="31">
        <v>634.94</v>
      </c>
      <c r="G1110" s="29" t="s">
        <v>3980</v>
      </c>
      <c r="H1110" s="29" t="s">
        <v>27</v>
      </c>
      <c r="I1110" s="29" t="s">
        <v>35</v>
      </c>
      <c r="J1110" s="29" t="s">
        <v>3981</v>
      </c>
      <c r="K1110" s="31">
        <v>5</v>
      </c>
      <c r="L1110" s="29" t="s">
        <v>81</v>
      </c>
      <c r="M1110" s="29" t="s">
        <v>22</v>
      </c>
      <c r="N1110" s="31">
        <v>634.94</v>
      </c>
    </row>
    <row r="1111" ht="29.75" spans="1:14">
      <c r="A1111" s="29" t="s">
        <v>3982</v>
      </c>
      <c r="B1111" s="30">
        <v>45390</v>
      </c>
      <c r="C1111" s="29" t="s">
        <v>3983</v>
      </c>
      <c r="D1111" s="29" t="s">
        <v>48</v>
      </c>
      <c r="E1111" s="31">
        <v>4</v>
      </c>
      <c r="F1111" s="31">
        <v>77.47</v>
      </c>
      <c r="G1111" s="29" t="s">
        <v>1779</v>
      </c>
      <c r="H1111" s="29" t="s">
        <v>60</v>
      </c>
      <c r="I1111" s="29" t="s">
        <v>43</v>
      </c>
      <c r="J1111" s="29" t="s">
        <v>3984</v>
      </c>
      <c r="K1111" s="31">
        <v>7</v>
      </c>
      <c r="L1111" s="29" t="s">
        <v>21</v>
      </c>
      <c r="M1111" s="29" t="s">
        <v>22</v>
      </c>
      <c r="N1111" s="31">
        <v>309.88</v>
      </c>
    </row>
    <row r="1112" ht="29.75" spans="1:14">
      <c r="A1112" s="29" t="s">
        <v>3985</v>
      </c>
      <c r="B1112" s="30">
        <v>45347</v>
      </c>
      <c r="C1112" s="29" t="s">
        <v>3986</v>
      </c>
      <c r="D1112" s="29" t="s">
        <v>41</v>
      </c>
      <c r="E1112" s="31">
        <v>3</v>
      </c>
      <c r="F1112" s="31">
        <v>84.31</v>
      </c>
      <c r="G1112" s="29" t="s">
        <v>173</v>
      </c>
      <c r="H1112" s="29" t="s">
        <v>34</v>
      </c>
      <c r="I1112" s="29" t="s">
        <v>19</v>
      </c>
      <c r="J1112" s="29" t="s">
        <v>3987</v>
      </c>
      <c r="K1112" s="31">
        <v>3</v>
      </c>
      <c r="L1112" s="29" t="s">
        <v>21</v>
      </c>
      <c r="M1112" s="29" t="s">
        <v>38</v>
      </c>
      <c r="N1112" s="31">
        <v>252.93</v>
      </c>
    </row>
    <row r="1113" ht="29.75" spans="1:14">
      <c r="A1113" s="29" t="s">
        <v>3988</v>
      </c>
      <c r="B1113" s="30">
        <v>45052</v>
      </c>
      <c r="C1113" s="29" t="s">
        <v>3989</v>
      </c>
      <c r="D1113" s="29" t="s">
        <v>16</v>
      </c>
      <c r="E1113" s="31">
        <v>4</v>
      </c>
      <c r="F1113" s="31">
        <v>234.45</v>
      </c>
      <c r="G1113" s="29" t="s">
        <v>3990</v>
      </c>
      <c r="H1113" s="29" t="s">
        <v>27</v>
      </c>
      <c r="I1113" s="29" t="s">
        <v>35</v>
      </c>
      <c r="J1113" s="29" t="s">
        <v>3991</v>
      </c>
      <c r="K1113" s="31">
        <v>9</v>
      </c>
      <c r="L1113" s="29" t="s">
        <v>37</v>
      </c>
      <c r="M1113" s="29" t="s">
        <v>22</v>
      </c>
      <c r="N1113" s="31">
        <v>937.8</v>
      </c>
    </row>
    <row r="1114" ht="29.75" spans="1:14">
      <c r="A1114" s="29" t="s">
        <v>3992</v>
      </c>
      <c r="B1114" s="30">
        <v>45212</v>
      </c>
      <c r="C1114" s="29" t="s">
        <v>3993</v>
      </c>
      <c r="D1114" s="29" t="s">
        <v>73</v>
      </c>
      <c r="E1114" s="31">
        <v>1</v>
      </c>
      <c r="F1114" s="31">
        <v>356.81</v>
      </c>
      <c r="G1114" s="29" t="s">
        <v>529</v>
      </c>
      <c r="H1114" s="29" t="s">
        <v>27</v>
      </c>
      <c r="I1114" s="29" t="s">
        <v>50</v>
      </c>
      <c r="J1114" s="29" t="s">
        <v>3994</v>
      </c>
      <c r="K1114" s="31">
        <v>1</v>
      </c>
      <c r="L1114" s="29" t="s">
        <v>81</v>
      </c>
      <c r="M1114" s="29" t="s">
        <v>22</v>
      </c>
      <c r="N1114" s="31">
        <v>356.81</v>
      </c>
    </row>
    <row r="1115" ht="29.75" spans="1:14">
      <c r="A1115" s="29" t="s">
        <v>3995</v>
      </c>
      <c r="B1115" s="30">
        <v>45004</v>
      </c>
      <c r="C1115" s="29" t="s">
        <v>3996</v>
      </c>
      <c r="D1115" s="29" t="s">
        <v>73</v>
      </c>
      <c r="E1115" s="31">
        <v>4</v>
      </c>
      <c r="F1115" s="31">
        <v>209.99</v>
      </c>
      <c r="G1115" s="29" t="s">
        <v>3405</v>
      </c>
      <c r="H1115" s="29" t="s">
        <v>65</v>
      </c>
      <c r="I1115" s="29" t="s">
        <v>50</v>
      </c>
      <c r="J1115" s="29" t="s">
        <v>3997</v>
      </c>
      <c r="K1115" s="31">
        <v>8</v>
      </c>
      <c r="L1115" s="29"/>
      <c r="M1115" s="29" t="s">
        <v>76</v>
      </c>
      <c r="N1115" s="31">
        <v>839.96</v>
      </c>
    </row>
    <row r="1116" ht="29.75" spans="1:14">
      <c r="A1116" s="29" t="s">
        <v>3998</v>
      </c>
      <c r="B1116" s="30">
        <v>45001</v>
      </c>
      <c r="C1116" s="29" t="s">
        <v>3999</v>
      </c>
      <c r="D1116" s="29" t="s">
        <v>32</v>
      </c>
      <c r="E1116" s="31">
        <v>3</v>
      </c>
      <c r="F1116" s="31">
        <v>659.88</v>
      </c>
      <c r="G1116" s="29" t="s">
        <v>837</v>
      </c>
      <c r="H1116" s="29" t="s">
        <v>60</v>
      </c>
      <c r="I1116" s="29" t="s">
        <v>35</v>
      </c>
      <c r="J1116" s="29" t="s">
        <v>4000</v>
      </c>
      <c r="K1116" s="31">
        <v>3</v>
      </c>
      <c r="L1116" s="29"/>
      <c r="M1116" s="29" t="s">
        <v>76</v>
      </c>
      <c r="N1116" s="31">
        <v>1979.64</v>
      </c>
    </row>
    <row r="1117" ht="29.75" spans="1:14">
      <c r="A1117" s="29" t="s">
        <v>4001</v>
      </c>
      <c r="B1117" s="30">
        <v>45828</v>
      </c>
      <c r="C1117" s="29" t="s">
        <v>4002</v>
      </c>
      <c r="D1117" s="29" t="s">
        <v>58</v>
      </c>
      <c r="E1117" s="31">
        <v>2</v>
      </c>
      <c r="F1117" s="31">
        <v>336.32</v>
      </c>
      <c r="G1117" s="29" t="s">
        <v>952</v>
      </c>
      <c r="H1117" s="29" t="s">
        <v>27</v>
      </c>
      <c r="I1117" s="29" t="s">
        <v>43</v>
      </c>
      <c r="J1117" s="29" t="s">
        <v>4003</v>
      </c>
      <c r="K1117" s="31">
        <v>3</v>
      </c>
      <c r="L1117" s="29"/>
      <c r="M1117" s="29" t="s">
        <v>76</v>
      </c>
      <c r="N1117" s="31">
        <v>672.64</v>
      </c>
    </row>
    <row r="1118" ht="29.75" spans="1:14">
      <c r="A1118" s="29" t="s">
        <v>4004</v>
      </c>
      <c r="B1118" s="30">
        <v>45213</v>
      </c>
      <c r="C1118" s="29" t="s">
        <v>4005</v>
      </c>
      <c r="D1118" s="29" t="s">
        <v>48</v>
      </c>
      <c r="E1118" s="31">
        <v>2</v>
      </c>
      <c r="F1118" s="31">
        <v>531.49</v>
      </c>
      <c r="G1118" s="29" t="s">
        <v>952</v>
      </c>
      <c r="H1118" s="29" t="s">
        <v>34</v>
      </c>
      <c r="I1118" s="29" t="s">
        <v>50</v>
      </c>
      <c r="J1118" s="29" t="s">
        <v>4006</v>
      </c>
      <c r="K1118" s="31">
        <v>7</v>
      </c>
      <c r="L1118" s="29" t="s">
        <v>81</v>
      </c>
      <c r="M1118" s="29" t="s">
        <v>45</v>
      </c>
      <c r="N1118" s="31">
        <v>1062.98</v>
      </c>
    </row>
    <row r="1119" ht="29.75" spans="1:14">
      <c r="A1119" s="29" t="s">
        <v>4007</v>
      </c>
      <c r="B1119" s="30">
        <v>45432</v>
      </c>
      <c r="C1119" s="29" t="s">
        <v>4008</v>
      </c>
      <c r="D1119" s="29" t="s">
        <v>41</v>
      </c>
      <c r="E1119" s="31">
        <v>3</v>
      </c>
      <c r="F1119" s="31">
        <v>588.44</v>
      </c>
      <c r="G1119" s="29" t="s">
        <v>1571</v>
      </c>
      <c r="H1119" s="29" t="s">
        <v>60</v>
      </c>
      <c r="I1119" s="29" t="s">
        <v>19</v>
      </c>
      <c r="J1119" s="29" t="s">
        <v>4009</v>
      </c>
      <c r="K1119" s="31">
        <v>8</v>
      </c>
      <c r="L1119" s="29" t="s">
        <v>81</v>
      </c>
      <c r="M1119" s="29" t="s">
        <v>76</v>
      </c>
      <c r="N1119" s="31">
        <v>1765.32</v>
      </c>
    </row>
    <row r="1120" ht="29.75" spans="1:14">
      <c r="A1120" s="29" t="s">
        <v>4010</v>
      </c>
      <c r="B1120" s="30">
        <v>45436</v>
      </c>
      <c r="C1120" s="29" t="s">
        <v>4011</v>
      </c>
      <c r="D1120" s="29" t="s">
        <v>25</v>
      </c>
      <c r="E1120" s="31">
        <v>3</v>
      </c>
      <c r="F1120" s="31">
        <v>251.48</v>
      </c>
      <c r="G1120" s="29" t="s">
        <v>1542</v>
      </c>
      <c r="H1120" s="29" t="s">
        <v>34</v>
      </c>
      <c r="I1120" s="29" t="s">
        <v>43</v>
      </c>
      <c r="J1120" s="29" t="s">
        <v>4012</v>
      </c>
      <c r="K1120" s="31">
        <v>4</v>
      </c>
      <c r="L1120" s="29"/>
      <c r="M1120" s="29" t="s">
        <v>38</v>
      </c>
      <c r="N1120" s="31">
        <v>754.44</v>
      </c>
    </row>
    <row r="1121" ht="29.75" spans="1:14">
      <c r="A1121" s="29" t="s">
        <v>4013</v>
      </c>
      <c r="B1121" s="30">
        <v>45620</v>
      </c>
      <c r="C1121" s="29" t="s">
        <v>4014</v>
      </c>
      <c r="D1121" s="29" t="s">
        <v>58</v>
      </c>
      <c r="E1121" s="31">
        <v>1</v>
      </c>
      <c r="F1121" s="31">
        <v>684.65</v>
      </c>
      <c r="G1121" s="29" t="s">
        <v>1054</v>
      </c>
      <c r="H1121" s="29" t="s">
        <v>34</v>
      </c>
      <c r="I1121" s="29" t="s">
        <v>50</v>
      </c>
      <c r="J1121" s="29" t="s">
        <v>4015</v>
      </c>
      <c r="K1121" s="31">
        <v>1</v>
      </c>
      <c r="L1121" s="29" t="s">
        <v>37</v>
      </c>
      <c r="M1121" s="29" t="s">
        <v>38</v>
      </c>
      <c r="N1121" s="31">
        <v>684.65</v>
      </c>
    </row>
    <row r="1122" ht="29.75" spans="1:14">
      <c r="A1122" s="29" t="s">
        <v>4016</v>
      </c>
      <c r="B1122" s="30">
        <v>45787</v>
      </c>
      <c r="C1122" s="29" t="s">
        <v>4017</v>
      </c>
      <c r="D1122" s="29" t="s">
        <v>32</v>
      </c>
      <c r="E1122" s="31">
        <v>1</v>
      </c>
      <c r="F1122" s="31">
        <v>195.86</v>
      </c>
      <c r="G1122" s="29" t="s">
        <v>201</v>
      </c>
      <c r="H1122" s="29" t="s">
        <v>27</v>
      </c>
      <c r="I1122" s="29" t="s">
        <v>89</v>
      </c>
      <c r="J1122" s="29" t="s">
        <v>4018</v>
      </c>
      <c r="K1122" s="31">
        <v>3</v>
      </c>
      <c r="L1122" s="29"/>
      <c r="M1122" s="29" t="s">
        <v>45</v>
      </c>
      <c r="N1122" s="31">
        <v>195.86</v>
      </c>
    </row>
    <row r="1123" ht="29.75" spans="1:14">
      <c r="A1123" s="29" t="s">
        <v>4019</v>
      </c>
      <c r="B1123" s="30">
        <v>45074</v>
      </c>
      <c r="C1123" s="29" t="s">
        <v>4020</v>
      </c>
      <c r="D1123" s="29" t="s">
        <v>25</v>
      </c>
      <c r="E1123" s="31">
        <v>3</v>
      </c>
      <c r="F1123" s="31">
        <v>50.34</v>
      </c>
      <c r="G1123" s="29" t="s">
        <v>3226</v>
      </c>
      <c r="H1123" s="29" t="s">
        <v>60</v>
      </c>
      <c r="I1123" s="29" t="s">
        <v>43</v>
      </c>
      <c r="J1123" s="29" t="s">
        <v>4021</v>
      </c>
      <c r="K1123" s="31">
        <v>3</v>
      </c>
      <c r="L1123" s="29" t="s">
        <v>37</v>
      </c>
      <c r="M1123" s="29" t="s">
        <v>22</v>
      </c>
      <c r="N1123" s="31">
        <v>151.02</v>
      </c>
    </row>
    <row r="1124" ht="29.75" spans="1:14">
      <c r="A1124" s="29" t="s">
        <v>4022</v>
      </c>
      <c r="B1124" s="30">
        <v>45084</v>
      </c>
      <c r="C1124" s="29" t="s">
        <v>1065</v>
      </c>
      <c r="D1124" s="29" t="s">
        <v>16</v>
      </c>
      <c r="E1124" s="31">
        <v>5</v>
      </c>
      <c r="F1124" s="31">
        <v>678.19</v>
      </c>
      <c r="G1124" s="29" t="s">
        <v>3733</v>
      </c>
      <c r="H1124" s="29" t="s">
        <v>27</v>
      </c>
      <c r="I1124" s="29" t="s">
        <v>43</v>
      </c>
      <c r="J1124" s="29" t="s">
        <v>4023</v>
      </c>
      <c r="K1124" s="31">
        <v>8</v>
      </c>
      <c r="L1124" s="29"/>
      <c r="M1124" s="29" t="s">
        <v>45</v>
      </c>
      <c r="N1124" s="31">
        <v>3390.95</v>
      </c>
    </row>
    <row r="1125" ht="29.75" spans="1:14">
      <c r="A1125" s="29" t="s">
        <v>4024</v>
      </c>
      <c r="B1125" s="30">
        <v>45030</v>
      </c>
      <c r="C1125" s="29" t="s">
        <v>4025</v>
      </c>
      <c r="D1125" s="29" t="s">
        <v>32</v>
      </c>
      <c r="E1125" s="31">
        <v>3</v>
      </c>
      <c r="F1125" s="31">
        <v>554.25</v>
      </c>
      <c r="G1125" s="29" t="s">
        <v>4026</v>
      </c>
      <c r="H1125" s="29" t="s">
        <v>18</v>
      </c>
      <c r="I1125" s="29" t="s">
        <v>19</v>
      </c>
      <c r="J1125" s="29" t="s">
        <v>4027</v>
      </c>
      <c r="K1125" s="31">
        <v>6</v>
      </c>
      <c r="L1125" s="29" t="s">
        <v>81</v>
      </c>
      <c r="M1125" s="29" t="s">
        <v>29</v>
      </c>
      <c r="N1125" s="31">
        <v>1662.75</v>
      </c>
    </row>
    <row r="1126" ht="29.75" spans="1:14">
      <c r="A1126" s="29" t="s">
        <v>4028</v>
      </c>
      <c r="B1126" s="30">
        <v>45055</v>
      </c>
      <c r="C1126" s="29" t="s">
        <v>4029</v>
      </c>
      <c r="D1126" s="29" t="s">
        <v>41</v>
      </c>
      <c r="E1126" s="31">
        <v>4</v>
      </c>
      <c r="F1126" s="31">
        <v>576.87</v>
      </c>
      <c r="G1126" s="29" t="s">
        <v>4030</v>
      </c>
      <c r="H1126" s="29" t="s">
        <v>60</v>
      </c>
      <c r="I1126" s="29" t="s">
        <v>43</v>
      </c>
      <c r="J1126" s="29" t="s">
        <v>4031</v>
      </c>
      <c r="K1126" s="31">
        <v>5</v>
      </c>
      <c r="L1126" s="29"/>
      <c r="M1126" s="29" t="s">
        <v>22</v>
      </c>
      <c r="N1126" s="31">
        <v>2307.48</v>
      </c>
    </row>
    <row r="1127" ht="29.75" spans="1:14">
      <c r="A1127" s="29" t="s">
        <v>4032</v>
      </c>
      <c r="B1127" s="30">
        <v>45215</v>
      </c>
      <c r="C1127" s="29" t="s">
        <v>4033</v>
      </c>
      <c r="D1127" s="29" t="s">
        <v>73</v>
      </c>
      <c r="E1127" s="31">
        <v>4</v>
      </c>
      <c r="F1127" s="31">
        <v>408.36</v>
      </c>
      <c r="G1127" s="29" t="s">
        <v>3180</v>
      </c>
      <c r="H1127" s="29" t="s">
        <v>60</v>
      </c>
      <c r="I1127" s="29" t="s">
        <v>35</v>
      </c>
      <c r="J1127" s="29" t="s">
        <v>4034</v>
      </c>
      <c r="K1127" s="31">
        <v>4</v>
      </c>
      <c r="L1127" s="29" t="s">
        <v>37</v>
      </c>
      <c r="M1127" s="29" t="s">
        <v>29</v>
      </c>
      <c r="N1127" s="31">
        <v>1633.44</v>
      </c>
    </row>
    <row r="1128" ht="29.75" spans="1:14">
      <c r="A1128" s="29" t="s">
        <v>4035</v>
      </c>
      <c r="B1128" s="30">
        <v>45495</v>
      </c>
      <c r="C1128" s="29" t="s">
        <v>4036</v>
      </c>
      <c r="D1128" s="29" t="s">
        <v>25</v>
      </c>
      <c r="E1128" s="31">
        <v>5</v>
      </c>
      <c r="F1128" s="31">
        <v>190.11</v>
      </c>
      <c r="G1128" s="29" t="s">
        <v>4037</v>
      </c>
      <c r="H1128" s="29" t="s">
        <v>65</v>
      </c>
      <c r="I1128" s="29" t="s">
        <v>50</v>
      </c>
      <c r="J1128" s="29" t="s">
        <v>4038</v>
      </c>
      <c r="K1128" s="31">
        <v>7</v>
      </c>
      <c r="L1128" s="29" t="s">
        <v>21</v>
      </c>
      <c r="M1128" s="29" t="s">
        <v>76</v>
      </c>
      <c r="N1128" s="31">
        <v>950.55</v>
      </c>
    </row>
    <row r="1129" ht="29.75" spans="1:14">
      <c r="A1129" s="29" t="s">
        <v>4039</v>
      </c>
      <c r="B1129" s="30">
        <v>45731</v>
      </c>
      <c r="C1129" s="29" t="s">
        <v>4040</v>
      </c>
      <c r="D1129" s="29" t="s">
        <v>48</v>
      </c>
      <c r="E1129" s="31">
        <v>3</v>
      </c>
      <c r="F1129" s="31">
        <v>602.75</v>
      </c>
      <c r="G1129" s="29" t="s">
        <v>3011</v>
      </c>
      <c r="H1129" s="29" t="s">
        <v>34</v>
      </c>
      <c r="I1129" s="29" t="s">
        <v>19</v>
      </c>
      <c r="J1129" s="29" t="s">
        <v>4041</v>
      </c>
      <c r="K1129" s="31">
        <v>6</v>
      </c>
      <c r="L1129" s="29" t="s">
        <v>21</v>
      </c>
      <c r="M1129" s="29" t="s">
        <v>38</v>
      </c>
      <c r="N1129" s="31">
        <v>1808.25</v>
      </c>
    </row>
    <row r="1130" ht="29.75" spans="1:14">
      <c r="A1130" s="29" t="s">
        <v>4042</v>
      </c>
      <c r="B1130" s="30">
        <v>45155</v>
      </c>
      <c r="C1130" s="29" t="s">
        <v>4043</v>
      </c>
      <c r="D1130" s="29" t="s">
        <v>16</v>
      </c>
      <c r="E1130" s="31">
        <v>3</v>
      </c>
      <c r="F1130" s="31">
        <v>646.79</v>
      </c>
      <c r="G1130" s="29" t="s">
        <v>379</v>
      </c>
      <c r="H1130" s="29" t="s">
        <v>65</v>
      </c>
      <c r="I1130" s="29" t="s">
        <v>35</v>
      </c>
      <c r="J1130" s="29" t="s">
        <v>4044</v>
      </c>
      <c r="K1130" s="31">
        <v>5</v>
      </c>
      <c r="L1130" s="29" t="s">
        <v>81</v>
      </c>
      <c r="M1130" s="29" t="s">
        <v>76</v>
      </c>
      <c r="N1130" s="31">
        <v>1940.37</v>
      </c>
    </row>
    <row r="1131" ht="29.75" spans="1:14">
      <c r="A1131" s="29" t="s">
        <v>4045</v>
      </c>
      <c r="B1131" s="30">
        <v>45088</v>
      </c>
      <c r="C1131" s="29" t="s">
        <v>4046</v>
      </c>
      <c r="D1131" s="29" t="s">
        <v>41</v>
      </c>
      <c r="E1131" s="31">
        <v>4</v>
      </c>
      <c r="F1131" s="31">
        <v>418.71</v>
      </c>
      <c r="G1131" s="29" t="s">
        <v>339</v>
      </c>
      <c r="H1131" s="29" t="s">
        <v>65</v>
      </c>
      <c r="I1131" s="29" t="s">
        <v>89</v>
      </c>
      <c r="J1131" s="29" t="s">
        <v>4047</v>
      </c>
      <c r="K1131" s="31">
        <v>8</v>
      </c>
      <c r="L1131" s="29" t="s">
        <v>37</v>
      </c>
      <c r="M1131" s="29" t="s">
        <v>22</v>
      </c>
      <c r="N1131" s="31">
        <v>1674.84</v>
      </c>
    </row>
    <row r="1132" ht="29.75" spans="1:14">
      <c r="A1132" s="29" t="s">
        <v>4048</v>
      </c>
      <c r="B1132" s="30">
        <v>45704</v>
      </c>
      <c r="C1132" s="29" t="s">
        <v>4049</v>
      </c>
      <c r="D1132" s="29" t="s">
        <v>58</v>
      </c>
      <c r="E1132" s="31">
        <v>2</v>
      </c>
      <c r="F1132" s="31">
        <v>323.45</v>
      </c>
      <c r="G1132" s="29" t="s">
        <v>426</v>
      </c>
      <c r="H1132" s="29" t="s">
        <v>34</v>
      </c>
      <c r="I1132" s="29" t="s">
        <v>43</v>
      </c>
      <c r="J1132" s="29" t="s">
        <v>4050</v>
      </c>
      <c r="K1132" s="31">
        <v>5</v>
      </c>
      <c r="L1132" s="29" t="s">
        <v>37</v>
      </c>
      <c r="M1132" s="29" t="s">
        <v>22</v>
      </c>
      <c r="N1132" s="31">
        <v>646.9</v>
      </c>
    </row>
    <row r="1133" ht="29.75" spans="1:14">
      <c r="A1133" s="29" t="s">
        <v>4051</v>
      </c>
      <c r="B1133" s="30">
        <v>45491</v>
      </c>
      <c r="C1133" s="29" t="s">
        <v>4052</v>
      </c>
      <c r="D1133" s="29" t="s">
        <v>25</v>
      </c>
      <c r="E1133" s="31">
        <v>1</v>
      </c>
      <c r="F1133" s="31">
        <v>694.5</v>
      </c>
      <c r="G1133" s="29" t="s">
        <v>1125</v>
      </c>
      <c r="H1133" s="29" t="s">
        <v>34</v>
      </c>
      <c r="I1133" s="29" t="s">
        <v>89</v>
      </c>
      <c r="J1133" s="29" t="s">
        <v>4053</v>
      </c>
      <c r="K1133" s="31">
        <v>3</v>
      </c>
      <c r="L1133" s="29" t="s">
        <v>81</v>
      </c>
      <c r="M1133" s="29" t="s">
        <v>45</v>
      </c>
      <c r="N1133" s="31">
        <v>694.5</v>
      </c>
    </row>
    <row r="1134" ht="29.75" spans="1:14">
      <c r="A1134" s="29" t="s">
        <v>4054</v>
      </c>
      <c r="B1134" s="30">
        <v>45628</v>
      </c>
      <c r="C1134" s="29" t="s">
        <v>4055</v>
      </c>
      <c r="D1134" s="29" t="s">
        <v>41</v>
      </c>
      <c r="E1134" s="31">
        <v>2</v>
      </c>
      <c r="F1134" s="31">
        <v>337.32</v>
      </c>
      <c r="G1134" s="29" t="s">
        <v>929</v>
      </c>
      <c r="H1134" s="29" t="s">
        <v>34</v>
      </c>
      <c r="I1134" s="29" t="s">
        <v>35</v>
      </c>
      <c r="J1134" s="29" t="s">
        <v>4056</v>
      </c>
      <c r="K1134" s="31">
        <v>4</v>
      </c>
      <c r="L1134" s="29" t="s">
        <v>21</v>
      </c>
      <c r="M1134" s="29" t="s">
        <v>38</v>
      </c>
      <c r="N1134" s="31">
        <v>674.64</v>
      </c>
    </row>
    <row r="1135" ht="29.75" spans="1:14">
      <c r="A1135" s="29" t="s">
        <v>4057</v>
      </c>
      <c r="B1135" s="30">
        <v>45391</v>
      </c>
      <c r="C1135" s="29" t="s">
        <v>4058</v>
      </c>
      <c r="D1135" s="29" t="s">
        <v>48</v>
      </c>
      <c r="E1135" s="31">
        <v>2</v>
      </c>
      <c r="F1135" s="31">
        <v>467.91</v>
      </c>
      <c r="G1135" s="29" t="s">
        <v>873</v>
      </c>
      <c r="H1135" s="29" t="s">
        <v>60</v>
      </c>
      <c r="I1135" s="29" t="s">
        <v>43</v>
      </c>
      <c r="J1135" s="29" t="s">
        <v>4059</v>
      </c>
      <c r="K1135" s="31">
        <v>5</v>
      </c>
      <c r="L1135" s="29" t="s">
        <v>81</v>
      </c>
      <c r="M1135" s="29" t="s">
        <v>45</v>
      </c>
      <c r="N1135" s="31">
        <v>935.82</v>
      </c>
    </row>
    <row r="1136" ht="29.75" spans="1:14">
      <c r="A1136" s="29" t="s">
        <v>4060</v>
      </c>
      <c r="B1136" s="30">
        <v>45451</v>
      </c>
      <c r="C1136" s="29" t="s">
        <v>4061</v>
      </c>
      <c r="D1136" s="29" t="s">
        <v>73</v>
      </c>
      <c r="E1136" s="31">
        <v>4</v>
      </c>
      <c r="F1136" s="31">
        <v>38.28</v>
      </c>
      <c r="G1136" s="29" t="s">
        <v>4062</v>
      </c>
      <c r="H1136" s="29" t="s">
        <v>18</v>
      </c>
      <c r="I1136" s="29" t="s">
        <v>35</v>
      </c>
      <c r="J1136" s="29" t="s">
        <v>4063</v>
      </c>
      <c r="K1136" s="31">
        <v>4</v>
      </c>
      <c r="L1136" s="29" t="s">
        <v>81</v>
      </c>
      <c r="M1136" s="29" t="s">
        <v>45</v>
      </c>
      <c r="N1136" s="31">
        <v>153.12</v>
      </c>
    </row>
    <row r="1137" ht="29.75" spans="1:14">
      <c r="A1137" s="29" t="s">
        <v>4064</v>
      </c>
      <c r="B1137" s="30">
        <v>45288</v>
      </c>
      <c r="C1137" s="29" t="s">
        <v>4065</v>
      </c>
      <c r="D1137" s="29" t="s">
        <v>48</v>
      </c>
      <c r="E1137" s="31">
        <v>2</v>
      </c>
      <c r="F1137" s="31">
        <v>73.41</v>
      </c>
      <c r="G1137" s="29" t="s">
        <v>952</v>
      </c>
      <c r="H1137" s="29" t="s">
        <v>27</v>
      </c>
      <c r="I1137" s="29" t="s">
        <v>19</v>
      </c>
      <c r="J1137" s="29" t="s">
        <v>4066</v>
      </c>
      <c r="K1137" s="31">
        <v>2</v>
      </c>
      <c r="L1137" s="29" t="s">
        <v>21</v>
      </c>
      <c r="M1137" s="29" t="s">
        <v>76</v>
      </c>
      <c r="N1137" s="31">
        <v>146.82</v>
      </c>
    </row>
    <row r="1138" ht="29.75" spans="1:14">
      <c r="A1138" s="29" t="s">
        <v>4067</v>
      </c>
      <c r="B1138" s="30">
        <v>45193</v>
      </c>
      <c r="C1138" s="29" t="s">
        <v>4068</v>
      </c>
      <c r="D1138" s="29" t="s">
        <v>32</v>
      </c>
      <c r="E1138" s="31">
        <v>3</v>
      </c>
      <c r="F1138" s="31">
        <v>668.33</v>
      </c>
      <c r="G1138" s="29" t="s">
        <v>2620</v>
      </c>
      <c r="H1138" s="29" t="s">
        <v>60</v>
      </c>
      <c r="I1138" s="29" t="s">
        <v>89</v>
      </c>
      <c r="J1138" s="29" t="s">
        <v>4069</v>
      </c>
      <c r="K1138" s="31">
        <v>4</v>
      </c>
      <c r="L1138" s="29" t="s">
        <v>81</v>
      </c>
      <c r="M1138" s="29" t="s">
        <v>45</v>
      </c>
      <c r="N1138" s="31">
        <v>2004.99</v>
      </c>
    </row>
    <row r="1139" ht="29.75" spans="1:14">
      <c r="A1139" s="29" t="s">
        <v>4070</v>
      </c>
      <c r="B1139" s="30">
        <v>45502</v>
      </c>
      <c r="C1139" s="29" t="s">
        <v>4071</v>
      </c>
      <c r="D1139" s="29" t="s">
        <v>48</v>
      </c>
      <c r="E1139" s="31">
        <v>4</v>
      </c>
      <c r="F1139" s="31">
        <v>410.21</v>
      </c>
      <c r="G1139" s="29" t="s">
        <v>4072</v>
      </c>
      <c r="H1139" s="29" t="s">
        <v>65</v>
      </c>
      <c r="I1139" s="29" t="s">
        <v>89</v>
      </c>
      <c r="J1139" s="29" t="s">
        <v>4073</v>
      </c>
      <c r="K1139" s="31">
        <v>5</v>
      </c>
      <c r="L1139" s="29" t="s">
        <v>81</v>
      </c>
      <c r="M1139" s="29" t="s">
        <v>22</v>
      </c>
      <c r="N1139" s="31">
        <v>1640.84</v>
      </c>
    </row>
    <row r="1140" ht="29.75" spans="1:14">
      <c r="A1140" s="29" t="s">
        <v>4074</v>
      </c>
      <c r="B1140" s="30">
        <v>45278</v>
      </c>
      <c r="C1140" s="29" t="s">
        <v>4075</v>
      </c>
      <c r="D1140" s="29" t="s">
        <v>73</v>
      </c>
      <c r="E1140" s="31">
        <v>4</v>
      </c>
      <c r="F1140" s="31">
        <v>294.41</v>
      </c>
      <c r="G1140" s="29" t="s">
        <v>2486</v>
      </c>
      <c r="H1140" s="29" t="s">
        <v>18</v>
      </c>
      <c r="I1140" s="29" t="s">
        <v>89</v>
      </c>
      <c r="J1140" s="29" t="s">
        <v>4076</v>
      </c>
      <c r="K1140" s="31">
        <v>4</v>
      </c>
      <c r="L1140" s="29"/>
      <c r="M1140" s="29" t="s">
        <v>22</v>
      </c>
      <c r="N1140" s="31">
        <v>1177.64</v>
      </c>
    </row>
    <row r="1141" ht="29.75" spans="1:14">
      <c r="A1141" s="29" t="s">
        <v>4077</v>
      </c>
      <c r="B1141" s="30">
        <v>45717</v>
      </c>
      <c r="C1141" s="29" t="s">
        <v>3789</v>
      </c>
      <c r="D1141" s="29" t="s">
        <v>41</v>
      </c>
      <c r="E1141" s="31">
        <v>3</v>
      </c>
      <c r="F1141" s="31">
        <v>501.82</v>
      </c>
      <c r="G1141" s="29" t="s">
        <v>153</v>
      </c>
      <c r="H1141" s="29" t="s">
        <v>60</v>
      </c>
      <c r="I1141" s="29" t="s">
        <v>35</v>
      </c>
      <c r="J1141" s="29" t="s">
        <v>4078</v>
      </c>
      <c r="K1141" s="31">
        <v>4</v>
      </c>
      <c r="L1141" s="29" t="s">
        <v>37</v>
      </c>
      <c r="M1141" s="29" t="s">
        <v>38</v>
      </c>
      <c r="N1141" s="31">
        <v>1505.46</v>
      </c>
    </row>
    <row r="1142" ht="29.75" spans="1:14">
      <c r="A1142" s="29" t="s">
        <v>4079</v>
      </c>
      <c r="B1142" s="30">
        <v>45467</v>
      </c>
      <c r="C1142" s="29" t="s">
        <v>4080</v>
      </c>
      <c r="D1142" s="29" t="s">
        <v>48</v>
      </c>
      <c r="E1142" s="31">
        <v>2</v>
      </c>
      <c r="F1142" s="31">
        <v>552.83</v>
      </c>
      <c r="G1142" s="29" t="s">
        <v>69</v>
      </c>
      <c r="H1142" s="29" t="s">
        <v>34</v>
      </c>
      <c r="I1142" s="29" t="s">
        <v>35</v>
      </c>
      <c r="J1142" s="29" t="s">
        <v>4081</v>
      </c>
      <c r="K1142" s="31">
        <v>3</v>
      </c>
      <c r="L1142" s="29"/>
      <c r="M1142" s="29" t="s">
        <v>29</v>
      </c>
      <c r="N1142" s="31">
        <v>1105.66</v>
      </c>
    </row>
    <row r="1143" ht="29.75" spans="1:14">
      <c r="A1143" s="29" t="s">
        <v>4082</v>
      </c>
      <c r="B1143" s="30">
        <v>45704</v>
      </c>
      <c r="C1143" s="29" t="s">
        <v>4083</v>
      </c>
      <c r="D1143" s="29" t="s">
        <v>41</v>
      </c>
      <c r="E1143" s="31">
        <v>3</v>
      </c>
      <c r="F1143" s="31">
        <v>498.66</v>
      </c>
      <c r="G1143" s="29" t="s">
        <v>109</v>
      </c>
      <c r="H1143" s="29" t="s">
        <v>65</v>
      </c>
      <c r="I1143" s="29" t="s">
        <v>35</v>
      </c>
      <c r="J1143" s="29" t="s">
        <v>4084</v>
      </c>
      <c r="K1143" s="31">
        <v>6</v>
      </c>
      <c r="L1143" s="29"/>
      <c r="M1143" s="29" t="s">
        <v>38</v>
      </c>
      <c r="N1143" s="31">
        <v>1495.98</v>
      </c>
    </row>
    <row r="1144" ht="29.75" spans="1:14">
      <c r="A1144" s="29" t="s">
        <v>4085</v>
      </c>
      <c r="B1144" s="30">
        <v>45527</v>
      </c>
      <c r="C1144" s="29" t="s">
        <v>4086</v>
      </c>
      <c r="D1144" s="29" t="s">
        <v>25</v>
      </c>
      <c r="E1144" s="31">
        <v>4</v>
      </c>
      <c r="F1144" s="31">
        <v>695.1</v>
      </c>
      <c r="G1144" s="29" t="s">
        <v>4087</v>
      </c>
      <c r="H1144" s="29" t="s">
        <v>18</v>
      </c>
      <c r="I1144" s="29" t="s">
        <v>43</v>
      </c>
      <c r="J1144" s="29" t="s">
        <v>4088</v>
      </c>
      <c r="K1144" s="31">
        <v>8</v>
      </c>
      <c r="L1144" s="29"/>
      <c r="M1144" s="29" t="s">
        <v>38</v>
      </c>
      <c r="N1144" s="31">
        <v>2780.4</v>
      </c>
    </row>
    <row r="1145" ht="29.75" spans="1:14">
      <c r="A1145" s="29" t="s">
        <v>4089</v>
      </c>
      <c r="B1145" s="30">
        <v>45019</v>
      </c>
      <c r="C1145" s="29" t="s">
        <v>4090</v>
      </c>
      <c r="D1145" s="29" t="s">
        <v>41</v>
      </c>
      <c r="E1145" s="31">
        <v>1</v>
      </c>
      <c r="F1145" s="31">
        <v>381.61</v>
      </c>
      <c r="G1145" s="29" t="s">
        <v>4091</v>
      </c>
      <c r="H1145" s="29" t="s">
        <v>18</v>
      </c>
      <c r="I1145" s="29" t="s">
        <v>89</v>
      </c>
      <c r="J1145" s="29" t="s">
        <v>4092</v>
      </c>
      <c r="K1145" s="31">
        <v>5</v>
      </c>
      <c r="L1145" s="29"/>
      <c r="M1145" s="29" t="s">
        <v>38</v>
      </c>
      <c r="N1145" s="31">
        <v>381.61</v>
      </c>
    </row>
    <row r="1146" ht="29.75" spans="1:14">
      <c r="A1146" s="29" t="s">
        <v>4093</v>
      </c>
      <c r="B1146" s="30">
        <v>44973</v>
      </c>
      <c r="C1146" s="29" t="s">
        <v>4094</v>
      </c>
      <c r="D1146" s="29" t="s">
        <v>73</v>
      </c>
      <c r="E1146" s="31">
        <v>5</v>
      </c>
      <c r="F1146" s="31">
        <v>507.94</v>
      </c>
      <c r="G1146" s="29" t="s">
        <v>4095</v>
      </c>
      <c r="H1146" s="29" t="s">
        <v>27</v>
      </c>
      <c r="I1146" s="29" t="s">
        <v>35</v>
      </c>
      <c r="J1146" s="29" t="s">
        <v>4096</v>
      </c>
      <c r="K1146" s="31">
        <v>9</v>
      </c>
      <c r="L1146" s="29"/>
      <c r="M1146" s="29" t="s">
        <v>45</v>
      </c>
      <c r="N1146" s="31">
        <v>2539.7</v>
      </c>
    </row>
    <row r="1147" ht="29.75" spans="1:14">
      <c r="A1147" s="29" t="s">
        <v>4097</v>
      </c>
      <c r="B1147" s="30">
        <v>45789</v>
      </c>
      <c r="C1147" s="29" t="s">
        <v>4098</v>
      </c>
      <c r="D1147" s="29" t="s">
        <v>73</v>
      </c>
      <c r="E1147" s="31">
        <v>3</v>
      </c>
      <c r="F1147" s="31">
        <v>571.53</v>
      </c>
      <c r="G1147" s="29" t="s">
        <v>1015</v>
      </c>
      <c r="H1147" s="29" t="s">
        <v>18</v>
      </c>
      <c r="I1147" s="29" t="s">
        <v>50</v>
      </c>
      <c r="J1147" s="29" t="s">
        <v>4099</v>
      </c>
      <c r="K1147" s="31">
        <v>6</v>
      </c>
      <c r="L1147" s="29" t="s">
        <v>37</v>
      </c>
      <c r="M1147" s="29" t="s">
        <v>45</v>
      </c>
      <c r="N1147" s="31">
        <v>1714.59</v>
      </c>
    </row>
    <row r="1148" ht="29.75" spans="1:14">
      <c r="A1148" s="29" t="s">
        <v>4100</v>
      </c>
      <c r="B1148" s="30">
        <v>45568</v>
      </c>
      <c r="C1148" s="29" t="s">
        <v>4101</v>
      </c>
      <c r="D1148" s="29" t="s">
        <v>16</v>
      </c>
      <c r="E1148" s="31">
        <v>5</v>
      </c>
      <c r="F1148" s="31">
        <v>421.44</v>
      </c>
      <c r="G1148" s="29" t="s">
        <v>1739</v>
      </c>
      <c r="H1148" s="29" t="s">
        <v>65</v>
      </c>
      <c r="I1148" s="29" t="s">
        <v>89</v>
      </c>
      <c r="J1148" s="29" t="s">
        <v>4102</v>
      </c>
      <c r="K1148" s="31">
        <v>5</v>
      </c>
      <c r="L1148" s="29" t="s">
        <v>21</v>
      </c>
      <c r="M1148" s="29" t="s">
        <v>22</v>
      </c>
      <c r="N1148" s="31">
        <v>2107.2</v>
      </c>
    </row>
    <row r="1149" ht="29.75" spans="1:14">
      <c r="A1149" s="29" t="s">
        <v>4103</v>
      </c>
      <c r="B1149" s="30">
        <v>45659</v>
      </c>
      <c r="C1149" s="29" t="s">
        <v>4104</v>
      </c>
      <c r="D1149" s="29" t="s">
        <v>41</v>
      </c>
      <c r="E1149" s="31">
        <v>2</v>
      </c>
      <c r="F1149" s="31">
        <v>588.3</v>
      </c>
      <c r="G1149" s="29" t="s">
        <v>4105</v>
      </c>
      <c r="H1149" s="29" t="s">
        <v>27</v>
      </c>
      <c r="I1149" s="29" t="s">
        <v>89</v>
      </c>
      <c r="J1149" s="29" t="s">
        <v>4106</v>
      </c>
      <c r="K1149" s="31">
        <v>2</v>
      </c>
      <c r="L1149" s="29" t="s">
        <v>37</v>
      </c>
      <c r="M1149" s="29" t="s">
        <v>38</v>
      </c>
      <c r="N1149" s="31">
        <v>1176.6</v>
      </c>
    </row>
    <row r="1150" ht="29.75" spans="1:14">
      <c r="A1150" s="29" t="s">
        <v>4107</v>
      </c>
      <c r="B1150" s="30">
        <v>45468</v>
      </c>
      <c r="C1150" s="29" t="s">
        <v>4108</v>
      </c>
      <c r="D1150" s="29" t="s">
        <v>25</v>
      </c>
      <c r="E1150" s="31">
        <v>1</v>
      </c>
      <c r="F1150" s="31">
        <v>355.15</v>
      </c>
      <c r="G1150" s="29" t="s">
        <v>4109</v>
      </c>
      <c r="H1150" s="29" t="s">
        <v>65</v>
      </c>
      <c r="I1150" s="29" t="s">
        <v>43</v>
      </c>
      <c r="J1150" s="29" t="s">
        <v>4110</v>
      </c>
      <c r="K1150" s="31">
        <v>2</v>
      </c>
      <c r="L1150" s="29" t="s">
        <v>21</v>
      </c>
      <c r="M1150" s="29" t="s">
        <v>38</v>
      </c>
      <c r="N1150" s="31">
        <v>355.15</v>
      </c>
    </row>
    <row r="1151" ht="29.75" spans="1:14">
      <c r="A1151" s="29" t="s">
        <v>4111</v>
      </c>
      <c r="B1151" s="30">
        <v>45498</v>
      </c>
      <c r="C1151" s="29" t="s">
        <v>4112</v>
      </c>
      <c r="D1151" s="29" t="s">
        <v>41</v>
      </c>
      <c r="E1151" s="31">
        <v>2</v>
      </c>
      <c r="F1151" s="31">
        <v>695.29</v>
      </c>
      <c r="G1151" s="29" t="s">
        <v>4113</v>
      </c>
      <c r="H1151" s="29" t="s">
        <v>34</v>
      </c>
      <c r="I1151" s="29" t="s">
        <v>89</v>
      </c>
      <c r="J1151" s="29" t="s">
        <v>4114</v>
      </c>
      <c r="K1151" s="31">
        <v>6</v>
      </c>
      <c r="L1151" s="29" t="s">
        <v>37</v>
      </c>
      <c r="M1151" s="29" t="s">
        <v>22</v>
      </c>
      <c r="N1151" s="31">
        <v>1390.58</v>
      </c>
    </row>
    <row r="1152" ht="29.75" spans="1:14">
      <c r="A1152" s="29" t="s">
        <v>4115</v>
      </c>
      <c r="B1152" s="30">
        <v>44977</v>
      </c>
      <c r="C1152" s="29" t="s">
        <v>4116</v>
      </c>
      <c r="D1152" s="29" t="s">
        <v>73</v>
      </c>
      <c r="E1152" s="31">
        <v>4</v>
      </c>
      <c r="F1152" s="31">
        <v>302.65</v>
      </c>
      <c r="G1152" s="29" t="s">
        <v>1089</v>
      </c>
      <c r="H1152" s="29" t="s">
        <v>34</v>
      </c>
      <c r="I1152" s="29" t="s">
        <v>35</v>
      </c>
      <c r="J1152" s="29" t="s">
        <v>4117</v>
      </c>
      <c r="K1152" s="31">
        <v>8</v>
      </c>
      <c r="L1152" s="29" t="s">
        <v>21</v>
      </c>
      <c r="M1152" s="29" t="s">
        <v>29</v>
      </c>
      <c r="N1152" s="31">
        <v>1210.6</v>
      </c>
    </row>
    <row r="1153" ht="29.75" spans="1:14">
      <c r="A1153" s="29" t="s">
        <v>4118</v>
      </c>
      <c r="B1153" s="30">
        <v>44955</v>
      </c>
      <c r="C1153" s="29" t="s">
        <v>4119</v>
      </c>
      <c r="D1153" s="29" t="s">
        <v>41</v>
      </c>
      <c r="E1153" s="31">
        <v>2</v>
      </c>
      <c r="F1153" s="31">
        <v>608.04</v>
      </c>
      <c r="G1153" s="29" t="s">
        <v>4120</v>
      </c>
      <c r="H1153" s="29" t="s">
        <v>65</v>
      </c>
      <c r="I1153" s="29" t="s">
        <v>35</v>
      </c>
      <c r="J1153" s="29" t="s">
        <v>4121</v>
      </c>
      <c r="K1153" s="31">
        <v>4</v>
      </c>
      <c r="L1153" s="29"/>
      <c r="M1153" s="29" t="s">
        <v>76</v>
      </c>
      <c r="N1153" s="31">
        <v>1216.08</v>
      </c>
    </row>
    <row r="1154" ht="29.75" spans="1:14">
      <c r="A1154" s="29" t="s">
        <v>4122</v>
      </c>
      <c r="B1154" s="30">
        <v>45239</v>
      </c>
      <c r="C1154" s="29" t="s">
        <v>4123</v>
      </c>
      <c r="D1154" s="29" t="s">
        <v>32</v>
      </c>
      <c r="E1154" s="31">
        <v>2</v>
      </c>
      <c r="F1154" s="31">
        <v>344.18</v>
      </c>
      <c r="G1154" s="29" t="s">
        <v>426</v>
      </c>
      <c r="H1154" s="29" t="s">
        <v>34</v>
      </c>
      <c r="I1154" s="29" t="s">
        <v>19</v>
      </c>
      <c r="J1154" s="29" t="s">
        <v>4124</v>
      </c>
      <c r="K1154" s="31">
        <v>7</v>
      </c>
      <c r="L1154" s="29"/>
      <c r="M1154" s="29" t="s">
        <v>29</v>
      </c>
      <c r="N1154" s="31">
        <v>688.36</v>
      </c>
    </row>
    <row r="1155" ht="29.75" spans="1:14">
      <c r="A1155" s="29" t="s">
        <v>4125</v>
      </c>
      <c r="B1155" s="30">
        <v>45642</v>
      </c>
      <c r="C1155" s="29" t="s">
        <v>4126</v>
      </c>
      <c r="D1155" s="29" t="s">
        <v>16</v>
      </c>
      <c r="E1155" s="31">
        <v>4</v>
      </c>
      <c r="F1155" s="31">
        <v>696.71</v>
      </c>
      <c r="G1155" s="29" t="s">
        <v>4127</v>
      </c>
      <c r="H1155" s="29" t="s">
        <v>18</v>
      </c>
      <c r="I1155" s="29" t="s">
        <v>19</v>
      </c>
      <c r="J1155" s="29" t="s">
        <v>4128</v>
      </c>
      <c r="K1155" s="31">
        <v>4</v>
      </c>
      <c r="L1155" s="29"/>
      <c r="M1155" s="29" t="s">
        <v>22</v>
      </c>
      <c r="N1155" s="31">
        <v>2786.84</v>
      </c>
    </row>
    <row r="1156" ht="29.75" spans="1:14">
      <c r="A1156" s="29" t="s">
        <v>4129</v>
      </c>
      <c r="B1156" s="30">
        <v>45819</v>
      </c>
      <c r="C1156" s="29" t="s">
        <v>4130</v>
      </c>
      <c r="D1156" s="29" t="s">
        <v>16</v>
      </c>
      <c r="E1156" s="31">
        <v>3</v>
      </c>
      <c r="F1156" s="31">
        <v>198.63</v>
      </c>
      <c r="G1156" s="29" t="s">
        <v>502</v>
      </c>
      <c r="H1156" s="29" t="s">
        <v>65</v>
      </c>
      <c r="I1156" s="29" t="s">
        <v>89</v>
      </c>
      <c r="J1156" s="29" t="s">
        <v>4131</v>
      </c>
      <c r="K1156" s="31">
        <v>8</v>
      </c>
      <c r="L1156" s="29" t="s">
        <v>21</v>
      </c>
      <c r="M1156" s="29" t="s">
        <v>22</v>
      </c>
      <c r="N1156" s="31">
        <v>595.89</v>
      </c>
    </row>
    <row r="1157" ht="29.75" spans="1:14">
      <c r="A1157" s="29" t="s">
        <v>4132</v>
      </c>
      <c r="B1157" s="30">
        <v>45151</v>
      </c>
      <c r="C1157" s="29" t="s">
        <v>4133</v>
      </c>
      <c r="D1157" s="29" t="s">
        <v>48</v>
      </c>
      <c r="E1157" s="31">
        <v>4</v>
      </c>
      <c r="F1157" s="31">
        <v>534.57</v>
      </c>
      <c r="G1157" s="29" t="s">
        <v>681</v>
      </c>
      <c r="H1157" s="29" t="s">
        <v>34</v>
      </c>
      <c r="I1157" s="29" t="s">
        <v>50</v>
      </c>
      <c r="J1157" s="29" t="s">
        <v>4134</v>
      </c>
      <c r="K1157" s="31">
        <v>6</v>
      </c>
      <c r="L1157" s="29" t="s">
        <v>37</v>
      </c>
      <c r="M1157" s="29" t="s">
        <v>45</v>
      </c>
      <c r="N1157" s="31">
        <v>2138.28</v>
      </c>
    </row>
    <row r="1158" ht="29.75" spans="1:14">
      <c r="A1158" s="29" t="s">
        <v>4135</v>
      </c>
      <c r="B1158" s="30">
        <v>45126</v>
      </c>
      <c r="C1158" s="29" t="s">
        <v>4136</v>
      </c>
      <c r="D1158" s="29" t="s">
        <v>58</v>
      </c>
      <c r="E1158" s="31">
        <v>4</v>
      </c>
      <c r="F1158" s="31">
        <v>690.78</v>
      </c>
      <c r="G1158" s="29" t="s">
        <v>97</v>
      </c>
      <c r="H1158" s="29" t="s">
        <v>34</v>
      </c>
      <c r="I1158" s="29" t="s">
        <v>19</v>
      </c>
      <c r="J1158" s="29" t="s">
        <v>4137</v>
      </c>
      <c r="K1158" s="31">
        <v>9</v>
      </c>
      <c r="L1158" s="29"/>
      <c r="M1158" s="29" t="s">
        <v>29</v>
      </c>
      <c r="N1158" s="31">
        <v>2763.12</v>
      </c>
    </row>
    <row r="1159" ht="29.75" spans="1:14">
      <c r="A1159" s="29" t="s">
        <v>4138</v>
      </c>
      <c r="B1159" s="30">
        <v>45441</v>
      </c>
      <c r="C1159" s="29" t="s">
        <v>4139</v>
      </c>
      <c r="D1159" s="29" t="s">
        <v>16</v>
      </c>
      <c r="E1159" s="31">
        <v>3</v>
      </c>
      <c r="F1159" s="31">
        <v>301.55</v>
      </c>
      <c r="G1159" s="29" t="s">
        <v>914</v>
      </c>
      <c r="H1159" s="29" t="s">
        <v>18</v>
      </c>
      <c r="I1159" s="29" t="s">
        <v>50</v>
      </c>
      <c r="J1159" s="29" t="s">
        <v>4140</v>
      </c>
      <c r="K1159" s="31">
        <v>5</v>
      </c>
      <c r="L1159" s="29" t="s">
        <v>37</v>
      </c>
      <c r="M1159" s="29" t="s">
        <v>76</v>
      </c>
      <c r="N1159" s="31">
        <v>904.65</v>
      </c>
    </row>
    <row r="1160" ht="29.75" spans="1:14">
      <c r="A1160" s="29" t="s">
        <v>4141</v>
      </c>
      <c r="B1160" s="30">
        <v>45036</v>
      </c>
      <c r="C1160" s="29" t="s">
        <v>4142</v>
      </c>
      <c r="D1160" s="29" t="s">
        <v>16</v>
      </c>
      <c r="E1160" s="31">
        <v>4</v>
      </c>
      <c r="F1160" s="31">
        <v>27.42</v>
      </c>
      <c r="G1160" s="29" t="s">
        <v>1712</v>
      </c>
      <c r="H1160" s="29" t="s">
        <v>18</v>
      </c>
      <c r="I1160" s="29" t="s">
        <v>89</v>
      </c>
      <c r="J1160" s="29" t="s">
        <v>4143</v>
      </c>
      <c r="K1160" s="31">
        <v>4</v>
      </c>
      <c r="L1160" s="29" t="s">
        <v>21</v>
      </c>
      <c r="M1160" s="29" t="s">
        <v>29</v>
      </c>
      <c r="N1160" s="31">
        <v>109.68</v>
      </c>
    </row>
    <row r="1161" ht="29.75" spans="1:14">
      <c r="A1161" s="29" t="s">
        <v>4144</v>
      </c>
      <c r="B1161" s="30">
        <v>45345</v>
      </c>
      <c r="C1161" s="29" t="s">
        <v>4145</v>
      </c>
      <c r="D1161" s="29" t="s">
        <v>73</v>
      </c>
      <c r="E1161" s="31">
        <v>4</v>
      </c>
      <c r="F1161" s="31">
        <v>466.7</v>
      </c>
      <c r="G1161" s="29" t="s">
        <v>1762</v>
      </c>
      <c r="H1161" s="29" t="s">
        <v>18</v>
      </c>
      <c r="I1161" s="29" t="s">
        <v>43</v>
      </c>
      <c r="J1161" s="29" t="s">
        <v>4146</v>
      </c>
      <c r="K1161" s="31">
        <v>8</v>
      </c>
      <c r="L1161" s="29"/>
      <c r="M1161" s="29" t="s">
        <v>22</v>
      </c>
      <c r="N1161" s="31">
        <v>1866.8</v>
      </c>
    </row>
    <row r="1162" ht="29.75" spans="1:14">
      <c r="A1162" s="29" t="s">
        <v>4147</v>
      </c>
      <c r="B1162" s="30">
        <v>45539</v>
      </c>
      <c r="C1162" s="29" t="s">
        <v>4148</v>
      </c>
      <c r="D1162" s="29" t="s">
        <v>73</v>
      </c>
      <c r="E1162" s="31">
        <v>1</v>
      </c>
      <c r="F1162" s="31">
        <v>541.64</v>
      </c>
      <c r="G1162" s="29" t="s">
        <v>1827</v>
      </c>
      <c r="H1162" s="29" t="s">
        <v>18</v>
      </c>
      <c r="I1162" s="29" t="s">
        <v>19</v>
      </c>
      <c r="J1162" s="29" t="s">
        <v>4149</v>
      </c>
      <c r="K1162" s="31">
        <v>5</v>
      </c>
      <c r="L1162" s="29" t="s">
        <v>21</v>
      </c>
      <c r="M1162" s="29" t="s">
        <v>38</v>
      </c>
      <c r="N1162" s="31">
        <v>541.64</v>
      </c>
    </row>
    <row r="1163" ht="29.75" spans="1:14">
      <c r="A1163" s="29" t="s">
        <v>4150</v>
      </c>
      <c r="B1163" s="30">
        <v>45215</v>
      </c>
      <c r="C1163" s="29" t="s">
        <v>4151</v>
      </c>
      <c r="D1163" s="29" t="s">
        <v>25</v>
      </c>
      <c r="E1163" s="31">
        <v>1</v>
      </c>
      <c r="F1163" s="31">
        <v>11.39</v>
      </c>
      <c r="G1163" s="29" t="s">
        <v>1344</v>
      </c>
      <c r="H1163" s="29" t="s">
        <v>65</v>
      </c>
      <c r="I1163" s="29" t="s">
        <v>35</v>
      </c>
      <c r="J1163" s="29" t="s">
        <v>4152</v>
      </c>
      <c r="K1163" s="31">
        <v>6</v>
      </c>
      <c r="L1163" s="29" t="s">
        <v>81</v>
      </c>
      <c r="M1163" s="29" t="s">
        <v>38</v>
      </c>
      <c r="N1163" s="31">
        <v>11.39</v>
      </c>
    </row>
    <row r="1164" ht="29.75" spans="1:14">
      <c r="A1164" s="29" t="s">
        <v>4153</v>
      </c>
      <c r="B1164" s="30">
        <v>45727</v>
      </c>
      <c r="C1164" s="29" t="s">
        <v>4154</v>
      </c>
      <c r="D1164" s="29" t="s">
        <v>25</v>
      </c>
      <c r="E1164" s="31">
        <v>2</v>
      </c>
      <c r="F1164" s="31">
        <v>224.37</v>
      </c>
      <c r="G1164" s="29" t="s">
        <v>4155</v>
      </c>
      <c r="H1164" s="29" t="s">
        <v>18</v>
      </c>
      <c r="I1164" s="29" t="s">
        <v>50</v>
      </c>
      <c r="J1164" s="29" t="s">
        <v>4156</v>
      </c>
      <c r="K1164" s="31">
        <v>3</v>
      </c>
      <c r="L1164" s="29" t="s">
        <v>81</v>
      </c>
      <c r="M1164" s="29" t="s">
        <v>29</v>
      </c>
      <c r="N1164" s="31">
        <v>448.74</v>
      </c>
    </row>
    <row r="1165" ht="29.75" spans="1:14">
      <c r="A1165" s="29" t="s">
        <v>4157</v>
      </c>
      <c r="B1165" s="30">
        <v>45454</v>
      </c>
      <c r="C1165" s="29" t="s">
        <v>4158</v>
      </c>
      <c r="D1165" s="29" t="s">
        <v>58</v>
      </c>
      <c r="E1165" s="31">
        <v>3</v>
      </c>
      <c r="F1165" s="31">
        <v>306.29</v>
      </c>
      <c r="G1165" s="29" t="s">
        <v>4159</v>
      </c>
      <c r="H1165" s="29" t="s">
        <v>34</v>
      </c>
      <c r="I1165" s="29" t="s">
        <v>43</v>
      </c>
      <c r="J1165" s="29" t="s">
        <v>4160</v>
      </c>
      <c r="K1165" s="31">
        <v>7</v>
      </c>
      <c r="L1165" s="29" t="s">
        <v>81</v>
      </c>
      <c r="M1165" s="29" t="s">
        <v>22</v>
      </c>
      <c r="N1165" s="31">
        <v>918.87</v>
      </c>
    </row>
    <row r="1166" ht="29.75" spans="1:14">
      <c r="A1166" s="29" t="s">
        <v>4161</v>
      </c>
      <c r="B1166" s="30">
        <v>45299</v>
      </c>
      <c r="C1166" s="29" t="s">
        <v>4162</v>
      </c>
      <c r="D1166" s="29" t="s">
        <v>32</v>
      </c>
      <c r="E1166" s="31">
        <v>5</v>
      </c>
      <c r="F1166" s="31">
        <v>315.57</v>
      </c>
      <c r="G1166" s="29" t="s">
        <v>2197</v>
      </c>
      <c r="H1166" s="29" t="s">
        <v>18</v>
      </c>
      <c r="I1166" s="29" t="s">
        <v>50</v>
      </c>
      <c r="J1166" s="29" t="s">
        <v>4163</v>
      </c>
      <c r="K1166" s="31">
        <v>6</v>
      </c>
      <c r="L1166" s="29" t="s">
        <v>81</v>
      </c>
      <c r="M1166" s="29" t="s">
        <v>38</v>
      </c>
      <c r="N1166" s="31">
        <v>1577.85</v>
      </c>
    </row>
    <row r="1167" ht="29.75" spans="1:14">
      <c r="A1167" s="29" t="s">
        <v>4164</v>
      </c>
      <c r="B1167" s="30">
        <v>45121</v>
      </c>
      <c r="C1167" s="29" t="s">
        <v>4165</v>
      </c>
      <c r="D1167" s="29" t="s">
        <v>41</v>
      </c>
      <c r="E1167" s="31">
        <v>3</v>
      </c>
      <c r="F1167" s="31">
        <v>223.79</v>
      </c>
      <c r="G1167" s="29" t="s">
        <v>4166</v>
      </c>
      <c r="H1167" s="29" t="s">
        <v>18</v>
      </c>
      <c r="I1167" s="29" t="s">
        <v>89</v>
      </c>
      <c r="J1167" s="29" t="s">
        <v>4167</v>
      </c>
      <c r="K1167" s="31">
        <v>3</v>
      </c>
      <c r="L1167" s="29"/>
      <c r="M1167" s="29" t="s">
        <v>76</v>
      </c>
      <c r="N1167" s="31">
        <v>671.37</v>
      </c>
    </row>
    <row r="1168" ht="29.75" spans="1:14">
      <c r="A1168" s="29" t="s">
        <v>4168</v>
      </c>
      <c r="B1168" s="30">
        <v>45138</v>
      </c>
      <c r="C1168" s="29" t="s">
        <v>4169</v>
      </c>
      <c r="D1168" s="29" t="s">
        <v>41</v>
      </c>
      <c r="E1168" s="31">
        <v>3</v>
      </c>
      <c r="F1168" s="31">
        <v>324.47</v>
      </c>
      <c r="G1168" s="29" t="s">
        <v>363</v>
      </c>
      <c r="H1168" s="29" t="s">
        <v>65</v>
      </c>
      <c r="I1168" s="29" t="s">
        <v>50</v>
      </c>
      <c r="J1168" s="29" t="s">
        <v>4170</v>
      </c>
      <c r="K1168" s="31">
        <v>4</v>
      </c>
      <c r="L1168" s="29" t="s">
        <v>81</v>
      </c>
      <c r="M1168" s="29" t="s">
        <v>38</v>
      </c>
      <c r="N1168" s="31">
        <v>973.41</v>
      </c>
    </row>
    <row r="1169" ht="29.75" spans="1:14">
      <c r="A1169" s="29" t="s">
        <v>4171</v>
      </c>
      <c r="B1169" s="30">
        <v>45216</v>
      </c>
      <c r="C1169" s="29" t="s">
        <v>4172</v>
      </c>
      <c r="D1169" s="29" t="s">
        <v>48</v>
      </c>
      <c r="E1169" s="31">
        <v>2</v>
      </c>
      <c r="F1169" s="31">
        <v>92.87</v>
      </c>
      <c r="G1169" s="29" t="s">
        <v>1101</v>
      </c>
      <c r="H1169" s="29" t="s">
        <v>34</v>
      </c>
      <c r="I1169" s="29" t="s">
        <v>89</v>
      </c>
      <c r="J1169" s="29" t="s">
        <v>4173</v>
      </c>
      <c r="K1169" s="31">
        <v>5</v>
      </c>
      <c r="L1169" s="29" t="s">
        <v>37</v>
      </c>
      <c r="M1169" s="29" t="s">
        <v>45</v>
      </c>
      <c r="N1169" s="31">
        <v>185.74</v>
      </c>
    </row>
    <row r="1170" ht="29.75" spans="1:14">
      <c r="A1170" s="29" t="s">
        <v>4174</v>
      </c>
      <c r="B1170" s="30">
        <v>45024</v>
      </c>
      <c r="C1170" s="29" t="s">
        <v>4175</v>
      </c>
      <c r="D1170" s="29" t="s">
        <v>58</v>
      </c>
      <c r="E1170" s="31">
        <v>2</v>
      </c>
      <c r="F1170" s="31">
        <v>331.42</v>
      </c>
      <c r="G1170" s="29" t="s">
        <v>4176</v>
      </c>
      <c r="H1170" s="29" t="s">
        <v>34</v>
      </c>
      <c r="I1170" s="29" t="s">
        <v>50</v>
      </c>
      <c r="J1170" s="29" t="s">
        <v>4177</v>
      </c>
      <c r="K1170" s="31">
        <v>6</v>
      </c>
      <c r="L1170" s="29" t="s">
        <v>81</v>
      </c>
      <c r="M1170" s="29" t="s">
        <v>76</v>
      </c>
      <c r="N1170" s="31">
        <v>662.84</v>
      </c>
    </row>
    <row r="1171" ht="29.75" spans="1:14">
      <c r="A1171" s="29" t="s">
        <v>4178</v>
      </c>
      <c r="B1171" s="30">
        <v>45649</v>
      </c>
      <c r="C1171" s="29" t="s">
        <v>4179</v>
      </c>
      <c r="D1171" s="29" t="s">
        <v>41</v>
      </c>
      <c r="E1171" s="31">
        <v>1</v>
      </c>
      <c r="F1171" s="31">
        <v>525.43</v>
      </c>
      <c r="G1171" s="29" t="s">
        <v>4180</v>
      </c>
      <c r="H1171" s="29" t="s">
        <v>65</v>
      </c>
      <c r="I1171" s="29" t="s">
        <v>35</v>
      </c>
      <c r="J1171" s="29" t="s">
        <v>4181</v>
      </c>
      <c r="K1171" s="31">
        <v>2</v>
      </c>
      <c r="L1171" s="29" t="s">
        <v>21</v>
      </c>
      <c r="M1171" s="29" t="s">
        <v>22</v>
      </c>
      <c r="N1171" s="31">
        <v>525.43</v>
      </c>
    </row>
    <row r="1172" ht="29.75" spans="1:14">
      <c r="A1172" s="29" t="s">
        <v>4182</v>
      </c>
      <c r="B1172" s="30">
        <v>45141</v>
      </c>
      <c r="C1172" s="29" t="s">
        <v>4183</v>
      </c>
      <c r="D1172" s="29" t="s">
        <v>48</v>
      </c>
      <c r="E1172" s="31">
        <v>2</v>
      </c>
      <c r="F1172" s="31">
        <v>697.19</v>
      </c>
      <c r="G1172" s="29" t="s">
        <v>925</v>
      </c>
      <c r="H1172" s="29" t="s">
        <v>65</v>
      </c>
      <c r="I1172" s="29" t="s">
        <v>43</v>
      </c>
      <c r="J1172" s="29" t="s">
        <v>4184</v>
      </c>
      <c r="K1172" s="31">
        <v>7</v>
      </c>
      <c r="L1172" s="29" t="s">
        <v>37</v>
      </c>
      <c r="M1172" s="29" t="s">
        <v>38</v>
      </c>
      <c r="N1172" s="31">
        <v>1394.38</v>
      </c>
    </row>
    <row r="1173" ht="29.75" spans="1:14">
      <c r="A1173" s="29" t="s">
        <v>4185</v>
      </c>
      <c r="B1173" s="30">
        <v>45166</v>
      </c>
      <c r="C1173" s="29" t="s">
        <v>4186</v>
      </c>
      <c r="D1173" s="29" t="s">
        <v>25</v>
      </c>
      <c r="E1173" s="31">
        <v>4</v>
      </c>
      <c r="F1173" s="31">
        <v>518.4</v>
      </c>
      <c r="G1173" s="29" t="s">
        <v>4187</v>
      </c>
      <c r="H1173" s="29" t="s">
        <v>34</v>
      </c>
      <c r="I1173" s="29" t="s">
        <v>50</v>
      </c>
      <c r="J1173" s="29" t="s">
        <v>4188</v>
      </c>
      <c r="K1173" s="31">
        <v>7</v>
      </c>
      <c r="L1173" s="29" t="s">
        <v>21</v>
      </c>
      <c r="M1173" s="29" t="s">
        <v>45</v>
      </c>
      <c r="N1173" s="31">
        <v>2073.6</v>
      </c>
    </row>
    <row r="1174" ht="29.75" spans="1:14">
      <c r="A1174" s="29" t="s">
        <v>4189</v>
      </c>
      <c r="B1174" s="30">
        <v>45692</v>
      </c>
      <c r="C1174" s="29" t="s">
        <v>4190</v>
      </c>
      <c r="D1174" s="29" t="s">
        <v>73</v>
      </c>
      <c r="E1174" s="31">
        <v>3</v>
      </c>
      <c r="F1174" s="31">
        <v>131.96</v>
      </c>
      <c r="G1174" s="29" t="s">
        <v>1930</v>
      </c>
      <c r="H1174" s="29" t="s">
        <v>34</v>
      </c>
      <c r="I1174" s="29" t="s">
        <v>89</v>
      </c>
      <c r="J1174" s="29" t="s">
        <v>4191</v>
      </c>
      <c r="K1174" s="31">
        <v>8</v>
      </c>
      <c r="L1174" s="29"/>
      <c r="M1174" s="29" t="s">
        <v>22</v>
      </c>
      <c r="N1174" s="31">
        <v>395.88</v>
      </c>
    </row>
    <row r="1175" ht="29.75" spans="1:14">
      <c r="A1175" s="29" t="s">
        <v>4192</v>
      </c>
      <c r="B1175" s="30">
        <v>45569</v>
      </c>
      <c r="C1175" s="29" t="s">
        <v>4193</v>
      </c>
      <c r="D1175" s="29" t="s">
        <v>16</v>
      </c>
      <c r="E1175" s="31">
        <v>1</v>
      </c>
      <c r="F1175" s="31">
        <v>208.36</v>
      </c>
      <c r="G1175" s="29" t="s">
        <v>2676</v>
      </c>
      <c r="H1175" s="29" t="s">
        <v>27</v>
      </c>
      <c r="I1175" s="29" t="s">
        <v>19</v>
      </c>
      <c r="J1175" s="29" t="s">
        <v>4194</v>
      </c>
      <c r="K1175" s="31">
        <v>4</v>
      </c>
      <c r="L1175" s="29" t="s">
        <v>37</v>
      </c>
      <c r="M1175" s="29" t="s">
        <v>38</v>
      </c>
      <c r="N1175" s="31">
        <v>208.36</v>
      </c>
    </row>
    <row r="1176" ht="29.75" spans="1:14">
      <c r="A1176" s="29" t="s">
        <v>4195</v>
      </c>
      <c r="B1176" s="30">
        <v>45257</v>
      </c>
      <c r="C1176" s="29" t="s">
        <v>4196</v>
      </c>
      <c r="D1176" s="29" t="s">
        <v>48</v>
      </c>
      <c r="E1176" s="31">
        <v>3</v>
      </c>
      <c r="F1176" s="31">
        <v>222.34</v>
      </c>
      <c r="G1176" s="29" t="s">
        <v>4197</v>
      </c>
      <c r="H1176" s="29" t="s">
        <v>34</v>
      </c>
      <c r="I1176" s="29" t="s">
        <v>43</v>
      </c>
      <c r="J1176" s="29" t="s">
        <v>4198</v>
      </c>
      <c r="K1176" s="31">
        <v>5</v>
      </c>
      <c r="L1176" s="29" t="s">
        <v>81</v>
      </c>
      <c r="M1176" s="29" t="s">
        <v>38</v>
      </c>
      <c r="N1176" s="31">
        <v>667.02</v>
      </c>
    </row>
    <row r="1177" ht="29.75" spans="1:14">
      <c r="A1177" s="29" t="s">
        <v>4199</v>
      </c>
      <c r="B1177" s="30">
        <v>45545</v>
      </c>
      <c r="C1177" s="29" t="s">
        <v>4200</v>
      </c>
      <c r="D1177" s="29" t="s">
        <v>48</v>
      </c>
      <c r="E1177" s="31">
        <v>3</v>
      </c>
      <c r="F1177" s="31">
        <v>91.74</v>
      </c>
      <c r="G1177" s="29" t="s">
        <v>1206</v>
      </c>
      <c r="H1177" s="29" t="s">
        <v>18</v>
      </c>
      <c r="I1177" s="29" t="s">
        <v>43</v>
      </c>
      <c r="J1177" s="29" t="s">
        <v>4201</v>
      </c>
      <c r="K1177" s="31">
        <v>8</v>
      </c>
      <c r="L1177" s="29" t="s">
        <v>37</v>
      </c>
      <c r="M1177" s="29" t="s">
        <v>29</v>
      </c>
      <c r="N1177" s="31">
        <v>275.22</v>
      </c>
    </row>
    <row r="1178" ht="29.75" spans="1:14">
      <c r="A1178" s="29" t="s">
        <v>4202</v>
      </c>
      <c r="B1178" s="30">
        <v>45151</v>
      </c>
      <c r="C1178" s="29" t="s">
        <v>4203</v>
      </c>
      <c r="D1178" s="29" t="s">
        <v>32</v>
      </c>
      <c r="E1178" s="31">
        <v>2</v>
      </c>
      <c r="F1178" s="31">
        <v>213.83</v>
      </c>
      <c r="G1178" s="29" t="s">
        <v>4204</v>
      </c>
      <c r="H1178" s="29" t="s">
        <v>18</v>
      </c>
      <c r="I1178" s="29" t="s">
        <v>35</v>
      </c>
      <c r="J1178" s="29" t="s">
        <v>4205</v>
      </c>
      <c r="K1178" s="31">
        <v>2</v>
      </c>
      <c r="L1178" s="29" t="s">
        <v>81</v>
      </c>
      <c r="M1178" s="29" t="s">
        <v>38</v>
      </c>
      <c r="N1178" s="31">
        <v>427.66</v>
      </c>
    </row>
    <row r="1179" ht="29.75" spans="1:14">
      <c r="A1179" s="29" t="s">
        <v>4206</v>
      </c>
      <c r="B1179" s="30">
        <v>45043</v>
      </c>
      <c r="C1179" s="29" t="s">
        <v>4207</v>
      </c>
      <c r="D1179" s="29" t="s">
        <v>48</v>
      </c>
      <c r="E1179" s="31">
        <v>1</v>
      </c>
      <c r="F1179" s="31">
        <v>127.55</v>
      </c>
      <c r="G1179" s="29" t="s">
        <v>1670</v>
      </c>
      <c r="H1179" s="29" t="s">
        <v>65</v>
      </c>
      <c r="I1179" s="29" t="s">
        <v>19</v>
      </c>
      <c r="J1179" s="29" t="s">
        <v>4208</v>
      </c>
      <c r="K1179" s="31">
        <v>3</v>
      </c>
      <c r="L1179" s="29" t="s">
        <v>21</v>
      </c>
      <c r="M1179" s="29" t="s">
        <v>29</v>
      </c>
      <c r="N1179" s="31">
        <v>127.55</v>
      </c>
    </row>
    <row r="1180" ht="29.75" spans="1:14">
      <c r="A1180" s="29" t="s">
        <v>4209</v>
      </c>
      <c r="B1180" s="30">
        <v>45543</v>
      </c>
      <c r="C1180" s="29" t="s">
        <v>4210</v>
      </c>
      <c r="D1180" s="29" t="s">
        <v>16</v>
      </c>
      <c r="E1180" s="31">
        <v>1</v>
      </c>
      <c r="F1180" s="31">
        <v>70.24</v>
      </c>
      <c r="G1180" s="29" t="s">
        <v>964</v>
      </c>
      <c r="H1180" s="29" t="s">
        <v>34</v>
      </c>
      <c r="I1180" s="29" t="s">
        <v>35</v>
      </c>
      <c r="J1180" s="29" t="s">
        <v>4211</v>
      </c>
      <c r="K1180" s="31">
        <v>4</v>
      </c>
      <c r="L1180" s="29" t="s">
        <v>37</v>
      </c>
      <c r="M1180" s="29" t="s">
        <v>76</v>
      </c>
      <c r="N1180" s="31">
        <v>70.24</v>
      </c>
    </row>
    <row r="1181" ht="29.75" spans="1:14">
      <c r="A1181" s="29" t="s">
        <v>4212</v>
      </c>
      <c r="B1181" s="30">
        <v>44934</v>
      </c>
      <c r="C1181" s="29" t="s">
        <v>4213</v>
      </c>
      <c r="D1181" s="29" t="s">
        <v>58</v>
      </c>
      <c r="E1181" s="31">
        <v>5</v>
      </c>
      <c r="F1181" s="31">
        <v>518.55</v>
      </c>
      <c r="G1181" s="29" t="s">
        <v>1408</v>
      </c>
      <c r="H1181" s="29" t="s">
        <v>34</v>
      </c>
      <c r="I1181" s="29" t="s">
        <v>35</v>
      </c>
      <c r="J1181" s="29" t="s">
        <v>4214</v>
      </c>
      <c r="K1181" s="31">
        <v>6</v>
      </c>
      <c r="L1181" s="29" t="s">
        <v>81</v>
      </c>
      <c r="M1181" s="29" t="s">
        <v>22</v>
      </c>
      <c r="N1181" s="31">
        <v>2592.75</v>
      </c>
    </row>
    <row r="1182" ht="29.75" spans="1:14">
      <c r="A1182" s="29" t="s">
        <v>4215</v>
      </c>
      <c r="B1182" s="30">
        <v>45230</v>
      </c>
      <c r="C1182" s="29" t="s">
        <v>4216</v>
      </c>
      <c r="D1182" s="29" t="s">
        <v>41</v>
      </c>
      <c r="E1182" s="31">
        <v>4</v>
      </c>
      <c r="F1182" s="31">
        <v>298.36</v>
      </c>
      <c r="G1182" s="29" t="s">
        <v>2029</v>
      </c>
      <c r="H1182" s="29" t="s">
        <v>18</v>
      </c>
      <c r="I1182" s="29" t="s">
        <v>89</v>
      </c>
      <c r="J1182" s="29" t="s">
        <v>4217</v>
      </c>
      <c r="K1182" s="31">
        <v>8</v>
      </c>
      <c r="L1182" s="29" t="s">
        <v>37</v>
      </c>
      <c r="M1182" s="29" t="s">
        <v>76</v>
      </c>
      <c r="N1182" s="31">
        <v>1193.44</v>
      </c>
    </row>
    <row r="1183" ht="29.75" spans="1:14">
      <c r="A1183" s="29" t="s">
        <v>4218</v>
      </c>
      <c r="B1183" s="30">
        <v>45134</v>
      </c>
      <c r="C1183" s="29" t="s">
        <v>4219</v>
      </c>
      <c r="D1183" s="29" t="s">
        <v>73</v>
      </c>
      <c r="E1183" s="31">
        <v>3</v>
      </c>
      <c r="F1183" s="31">
        <v>158.74</v>
      </c>
      <c r="G1183" s="29" t="s">
        <v>1348</v>
      </c>
      <c r="H1183" s="29" t="s">
        <v>27</v>
      </c>
      <c r="I1183" s="29" t="s">
        <v>89</v>
      </c>
      <c r="J1183" s="29" t="s">
        <v>4220</v>
      </c>
      <c r="K1183" s="31">
        <v>7</v>
      </c>
      <c r="L1183" s="29" t="s">
        <v>37</v>
      </c>
      <c r="M1183" s="29" t="s">
        <v>22</v>
      </c>
      <c r="N1183" s="31">
        <v>476.22</v>
      </c>
    </row>
    <row r="1184" ht="29.75" spans="1:14">
      <c r="A1184" s="29" t="s">
        <v>4221</v>
      </c>
      <c r="B1184" s="30">
        <v>45822</v>
      </c>
      <c r="C1184" s="29" t="s">
        <v>4222</v>
      </c>
      <c r="D1184" s="29" t="s">
        <v>41</v>
      </c>
      <c r="E1184" s="31">
        <v>2</v>
      </c>
      <c r="F1184" s="31">
        <v>420.29</v>
      </c>
      <c r="G1184" s="29" t="s">
        <v>2257</v>
      </c>
      <c r="H1184" s="29" t="s">
        <v>60</v>
      </c>
      <c r="I1184" s="29" t="s">
        <v>43</v>
      </c>
      <c r="J1184" s="29" t="s">
        <v>4223</v>
      </c>
      <c r="K1184" s="31">
        <v>3</v>
      </c>
      <c r="L1184" s="29" t="s">
        <v>21</v>
      </c>
      <c r="M1184" s="29" t="s">
        <v>76</v>
      </c>
      <c r="N1184" s="31">
        <v>840.58</v>
      </c>
    </row>
    <row r="1185" ht="29.75" spans="1:14">
      <c r="A1185" s="29" t="s">
        <v>4224</v>
      </c>
      <c r="B1185" s="30">
        <v>45021</v>
      </c>
      <c r="C1185" s="29" t="s">
        <v>4225</v>
      </c>
      <c r="D1185" s="29" t="s">
        <v>73</v>
      </c>
      <c r="E1185" s="31">
        <v>1</v>
      </c>
      <c r="F1185" s="31">
        <v>281.52</v>
      </c>
      <c r="G1185" s="29" t="s">
        <v>1047</v>
      </c>
      <c r="H1185" s="29" t="s">
        <v>60</v>
      </c>
      <c r="I1185" s="29" t="s">
        <v>19</v>
      </c>
      <c r="J1185" s="29" t="s">
        <v>4226</v>
      </c>
      <c r="K1185" s="31">
        <v>6</v>
      </c>
      <c r="L1185" s="29" t="s">
        <v>81</v>
      </c>
      <c r="M1185" s="29" t="s">
        <v>29</v>
      </c>
      <c r="N1185" s="31">
        <v>281.52</v>
      </c>
    </row>
    <row r="1186" ht="29.75" spans="1:14">
      <c r="A1186" s="29" t="s">
        <v>4227</v>
      </c>
      <c r="B1186" s="30">
        <v>45196</v>
      </c>
      <c r="C1186" s="29" t="s">
        <v>4228</v>
      </c>
      <c r="D1186" s="29" t="s">
        <v>58</v>
      </c>
      <c r="E1186" s="31">
        <v>1</v>
      </c>
      <c r="F1186" s="31">
        <v>204.08</v>
      </c>
      <c r="G1186" s="29" t="s">
        <v>3007</v>
      </c>
      <c r="H1186" s="29" t="s">
        <v>60</v>
      </c>
      <c r="I1186" s="29" t="s">
        <v>43</v>
      </c>
      <c r="J1186" s="29" t="s">
        <v>4229</v>
      </c>
      <c r="K1186" s="31">
        <v>4</v>
      </c>
      <c r="L1186" s="29"/>
      <c r="M1186" s="29" t="s">
        <v>76</v>
      </c>
      <c r="N1186" s="31">
        <v>204.08</v>
      </c>
    </row>
    <row r="1187" ht="29.75" spans="1:14">
      <c r="A1187" s="29" t="s">
        <v>4230</v>
      </c>
      <c r="B1187" s="30">
        <v>45481</v>
      </c>
      <c r="C1187" s="29" t="s">
        <v>4231</v>
      </c>
      <c r="D1187" s="29" t="s">
        <v>41</v>
      </c>
      <c r="E1187" s="31">
        <v>1</v>
      </c>
      <c r="F1187" s="31">
        <v>343.31</v>
      </c>
      <c r="G1187" s="29" t="s">
        <v>4232</v>
      </c>
      <c r="H1187" s="29" t="s">
        <v>60</v>
      </c>
      <c r="I1187" s="29" t="s">
        <v>43</v>
      </c>
      <c r="J1187" s="29" t="s">
        <v>4233</v>
      </c>
      <c r="K1187" s="31">
        <v>6</v>
      </c>
      <c r="L1187" s="29" t="s">
        <v>21</v>
      </c>
      <c r="M1187" s="29" t="s">
        <v>76</v>
      </c>
      <c r="N1187" s="31">
        <v>343.31</v>
      </c>
    </row>
    <row r="1188" ht="29.75" spans="1:14">
      <c r="A1188" s="29" t="s">
        <v>4234</v>
      </c>
      <c r="B1188" s="30">
        <v>45248</v>
      </c>
      <c r="C1188" s="29" t="s">
        <v>4235</v>
      </c>
      <c r="D1188" s="29" t="s">
        <v>16</v>
      </c>
      <c r="E1188" s="31">
        <v>1</v>
      </c>
      <c r="F1188" s="31">
        <v>163.32</v>
      </c>
      <c r="G1188" s="29" t="s">
        <v>4236</v>
      </c>
      <c r="H1188" s="29" t="s">
        <v>65</v>
      </c>
      <c r="I1188" s="29" t="s">
        <v>19</v>
      </c>
      <c r="J1188" s="29" t="s">
        <v>4237</v>
      </c>
      <c r="K1188" s="31">
        <v>6</v>
      </c>
      <c r="L1188" s="29" t="s">
        <v>81</v>
      </c>
      <c r="M1188" s="29" t="s">
        <v>45</v>
      </c>
      <c r="N1188" s="31">
        <v>163.32</v>
      </c>
    </row>
    <row r="1189" ht="29.75" spans="1:14">
      <c r="A1189" s="29" t="s">
        <v>4238</v>
      </c>
      <c r="B1189" s="30">
        <v>45364</v>
      </c>
      <c r="C1189" s="29" t="s">
        <v>4239</v>
      </c>
      <c r="D1189" s="29" t="s">
        <v>73</v>
      </c>
      <c r="E1189" s="31">
        <v>2</v>
      </c>
      <c r="F1189" s="31">
        <v>184.6</v>
      </c>
      <c r="G1189" s="29" t="s">
        <v>952</v>
      </c>
      <c r="H1189" s="29" t="s">
        <v>60</v>
      </c>
      <c r="I1189" s="29" t="s">
        <v>50</v>
      </c>
      <c r="J1189" s="29" t="s">
        <v>4240</v>
      </c>
      <c r="K1189" s="31">
        <v>7</v>
      </c>
      <c r="L1189" s="29" t="s">
        <v>81</v>
      </c>
      <c r="M1189" s="29" t="s">
        <v>38</v>
      </c>
      <c r="N1189" s="31">
        <v>369.2</v>
      </c>
    </row>
    <row r="1190" ht="29.75" spans="1:14">
      <c r="A1190" s="29" t="s">
        <v>4241</v>
      </c>
      <c r="B1190" s="30">
        <v>45206</v>
      </c>
      <c r="C1190" s="29" t="s">
        <v>4242</v>
      </c>
      <c r="D1190" s="29" t="s">
        <v>48</v>
      </c>
      <c r="E1190" s="31">
        <v>2</v>
      </c>
      <c r="F1190" s="31">
        <v>371.29</v>
      </c>
      <c r="G1190" s="29" t="s">
        <v>4243</v>
      </c>
      <c r="H1190" s="29" t="s">
        <v>60</v>
      </c>
      <c r="I1190" s="29" t="s">
        <v>19</v>
      </c>
      <c r="J1190" s="29" t="s">
        <v>4244</v>
      </c>
      <c r="K1190" s="31">
        <v>5</v>
      </c>
      <c r="L1190" s="29" t="s">
        <v>81</v>
      </c>
      <c r="M1190" s="29" t="s">
        <v>45</v>
      </c>
      <c r="N1190" s="31">
        <v>742.58</v>
      </c>
    </row>
    <row r="1191" ht="29.75" spans="1:14">
      <c r="A1191" s="29" t="s">
        <v>4245</v>
      </c>
      <c r="B1191" s="30">
        <v>45521</v>
      </c>
      <c r="C1191" s="29" t="s">
        <v>4246</v>
      </c>
      <c r="D1191" s="29" t="s">
        <v>32</v>
      </c>
      <c r="E1191" s="31">
        <v>5</v>
      </c>
      <c r="F1191" s="31">
        <v>389.22</v>
      </c>
      <c r="G1191" s="29" t="s">
        <v>4247</v>
      </c>
      <c r="H1191" s="29" t="s">
        <v>65</v>
      </c>
      <c r="I1191" s="29" t="s">
        <v>35</v>
      </c>
      <c r="J1191" s="29" t="s">
        <v>4248</v>
      </c>
      <c r="K1191" s="31">
        <v>7</v>
      </c>
      <c r="L1191" s="29"/>
      <c r="M1191" s="29" t="s">
        <v>29</v>
      </c>
      <c r="N1191" s="31">
        <v>1946.1</v>
      </c>
    </row>
    <row r="1192" ht="29.75" spans="1:14">
      <c r="A1192" s="29" t="s">
        <v>4249</v>
      </c>
      <c r="B1192" s="30">
        <v>45816</v>
      </c>
      <c r="C1192" s="29" t="s">
        <v>4250</v>
      </c>
      <c r="D1192" s="29" t="s">
        <v>73</v>
      </c>
      <c r="E1192" s="31">
        <v>3</v>
      </c>
      <c r="F1192" s="31">
        <v>616.39</v>
      </c>
      <c r="G1192" s="29" t="s">
        <v>4251</v>
      </c>
      <c r="H1192" s="29" t="s">
        <v>34</v>
      </c>
      <c r="I1192" s="29" t="s">
        <v>19</v>
      </c>
      <c r="J1192" s="29" t="s">
        <v>4252</v>
      </c>
      <c r="K1192" s="31">
        <v>6</v>
      </c>
      <c r="L1192" s="29" t="s">
        <v>37</v>
      </c>
      <c r="M1192" s="29" t="s">
        <v>22</v>
      </c>
      <c r="N1192" s="31">
        <v>1849.17</v>
      </c>
    </row>
    <row r="1193" ht="29.75" spans="1:14">
      <c r="A1193" s="29" t="s">
        <v>4253</v>
      </c>
      <c r="B1193" s="30">
        <v>45698</v>
      </c>
      <c r="C1193" s="29" t="s">
        <v>4254</v>
      </c>
      <c r="D1193" s="29" t="s">
        <v>73</v>
      </c>
      <c r="E1193" s="31">
        <v>4</v>
      </c>
      <c r="F1193" s="31">
        <v>376.43</v>
      </c>
      <c r="G1193" s="29" t="s">
        <v>2298</v>
      </c>
      <c r="H1193" s="29" t="s">
        <v>60</v>
      </c>
      <c r="I1193" s="29" t="s">
        <v>89</v>
      </c>
      <c r="J1193" s="29" t="s">
        <v>4255</v>
      </c>
      <c r="K1193" s="31">
        <v>5</v>
      </c>
      <c r="L1193" s="29" t="s">
        <v>81</v>
      </c>
      <c r="M1193" s="29" t="s">
        <v>22</v>
      </c>
      <c r="N1193" s="31">
        <v>1505.72</v>
      </c>
    </row>
    <row r="1194" ht="29.75" spans="1:14">
      <c r="A1194" s="29" t="s">
        <v>4256</v>
      </c>
      <c r="B1194" s="30">
        <v>45350</v>
      </c>
      <c r="C1194" s="29" t="s">
        <v>4257</v>
      </c>
      <c r="D1194" s="29" t="s">
        <v>41</v>
      </c>
      <c r="E1194" s="31">
        <v>3</v>
      </c>
      <c r="F1194" s="31">
        <v>432.85</v>
      </c>
      <c r="G1194" s="29" t="s">
        <v>845</v>
      </c>
      <c r="H1194" s="29" t="s">
        <v>27</v>
      </c>
      <c r="I1194" s="29" t="s">
        <v>89</v>
      </c>
      <c r="J1194" s="29" t="s">
        <v>4258</v>
      </c>
      <c r="K1194" s="31">
        <v>4</v>
      </c>
      <c r="L1194" s="29"/>
      <c r="M1194" s="29" t="s">
        <v>22</v>
      </c>
      <c r="N1194" s="31">
        <v>1298.55</v>
      </c>
    </row>
    <row r="1195" ht="29.75" spans="1:14">
      <c r="A1195" s="29" t="s">
        <v>4259</v>
      </c>
      <c r="B1195" s="30">
        <v>45824</v>
      </c>
      <c r="C1195" s="29" t="s">
        <v>4260</v>
      </c>
      <c r="D1195" s="29" t="s">
        <v>32</v>
      </c>
      <c r="E1195" s="31">
        <v>1</v>
      </c>
      <c r="F1195" s="31">
        <v>687.89</v>
      </c>
      <c r="G1195" s="29" t="s">
        <v>343</v>
      </c>
      <c r="H1195" s="29" t="s">
        <v>65</v>
      </c>
      <c r="I1195" s="29" t="s">
        <v>43</v>
      </c>
      <c r="J1195" s="29" t="s">
        <v>4261</v>
      </c>
      <c r="K1195" s="31">
        <v>1</v>
      </c>
      <c r="L1195" s="29" t="s">
        <v>37</v>
      </c>
      <c r="M1195" s="29" t="s">
        <v>38</v>
      </c>
      <c r="N1195" s="31">
        <v>687.89</v>
      </c>
    </row>
    <row r="1196" ht="29.75" spans="1:14">
      <c r="A1196" s="29" t="s">
        <v>4262</v>
      </c>
      <c r="B1196" s="30">
        <v>45249</v>
      </c>
      <c r="C1196" s="29" t="s">
        <v>4263</v>
      </c>
      <c r="D1196" s="29" t="s">
        <v>48</v>
      </c>
      <c r="E1196" s="31">
        <v>3</v>
      </c>
      <c r="F1196" s="31">
        <v>189.44</v>
      </c>
      <c r="G1196" s="29" t="s">
        <v>783</v>
      </c>
      <c r="H1196" s="29" t="s">
        <v>65</v>
      </c>
      <c r="I1196" s="29" t="s">
        <v>89</v>
      </c>
      <c r="J1196" s="29" t="s">
        <v>4264</v>
      </c>
      <c r="K1196" s="31">
        <v>4</v>
      </c>
      <c r="L1196" s="29" t="s">
        <v>37</v>
      </c>
      <c r="M1196" s="29" t="s">
        <v>38</v>
      </c>
      <c r="N1196" s="31">
        <v>568.32</v>
      </c>
    </row>
    <row r="1197" ht="29.75" spans="1:14">
      <c r="A1197" s="29" t="s">
        <v>4265</v>
      </c>
      <c r="B1197" s="30">
        <v>45463</v>
      </c>
      <c r="C1197" s="29" t="s">
        <v>4266</v>
      </c>
      <c r="D1197" s="29" t="s">
        <v>73</v>
      </c>
      <c r="E1197" s="31">
        <v>1</v>
      </c>
      <c r="F1197" s="31">
        <v>107.04</v>
      </c>
      <c r="G1197" s="29" t="s">
        <v>4267</v>
      </c>
      <c r="H1197" s="29" t="s">
        <v>34</v>
      </c>
      <c r="I1197" s="29" t="s">
        <v>35</v>
      </c>
      <c r="J1197" s="29" t="s">
        <v>4268</v>
      </c>
      <c r="K1197" s="31">
        <v>6</v>
      </c>
      <c r="L1197" s="29" t="s">
        <v>37</v>
      </c>
      <c r="M1197" s="29" t="s">
        <v>76</v>
      </c>
      <c r="N1197" s="31">
        <v>107.04</v>
      </c>
    </row>
    <row r="1198" ht="29.75" spans="1:14">
      <c r="A1198" s="29" t="s">
        <v>4269</v>
      </c>
      <c r="B1198" s="30">
        <v>45355</v>
      </c>
      <c r="C1198" s="29" t="s">
        <v>4270</v>
      </c>
      <c r="D1198" s="29" t="s">
        <v>16</v>
      </c>
      <c r="E1198" s="31">
        <v>2</v>
      </c>
      <c r="F1198" s="31">
        <v>662.53</v>
      </c>
      <c r="G1198" s="29" t="s">
        <v>1549</v>
      </c>
      <c r="H1198" s="29" t="s">
        <v>27</v>
      </c>
      <c r="I1198" s="29" t="s">
        <v>35</v>
      </c>
      <c r="J1198" s="29" t="s">
        <v>4271</v>
      </c>
      <c r="K1198" s="31">
        <v>5</v>
      </c>
      <c r="L1198" s="29"/>
      <c r="M1198" s="29" t="s">
        <v>45</v>
      </c>
      <c r="N1198" s="31">
        <v>1325.06</v>
      </c>
    </row>
    <row r="1199" ht="29.75" spans="1:14">
      <c r="A1199" s="29" t="s">
        <v>4272</v>
      </c>
      <c r="B1199" s="30">
        <v>45120</v>
      </c>
      <c r="C1199" s="29" t="s">
        <v>4273</v>
      </c>
      <c r="D1199" s="29" t="s">
        <v>32</v>
      </c>
      <c r="E1199" s="31">
        <v>2</v>
      </c>
      <c r="F1199" s="31">
        <v>436.84</v>
      </c>
      <c r="G1199" s="29" t="s">
        <v>42</v>
      </c>
      <c r="H1199" s="29" t="s">
        <v>27</v>
      </c>
      <c r="I1199" s="29" t="s">
        <v>50</v>
      </c>
      <c r="J1199" s="29" t="s">
        <v>4274</v>
      </c>
      <c r="K1199" s="31">
        <v>2</v>
      </c>
      <c r="L1199" s="29" t="s">
        <v>37</v>
      </c>
      <c r="M1199" s="29" t="s">
        <v>22</v>
      </c>
      <c r="N1199" s="31">
        <v>873.68</v>
      </c>
    </row>
    <row r="1200" ht="29.75" spans="1:14">
      <c r="A1200" s="29" t="s">
        <v>4275</v>
      </c>
      <c r="B1200" s="30">
        <v>45526</v>
      </c>
      <c r="C1200" s="29" t="s">
        <v>4276</v>
      </c>
      <c r="D1200" s="29" t="s">
        <v>41</v>
      </c>
      <c r="E1200" s="31">
        <v>4</v>
      </c>
      <c r="F1200" s="31">
        <v>262.52</v>
      </c>
      <c r="G1200" s="29" t="s">
        <v>4277</v>
      </c>
      <c r="H1200" s="29" t="s">
        <v>18</v>
      </c>
      <c r="I1200" s="29" t="s">
        <v>35</v>
      </c>
      <c r="J1200" s="29" t="s">
        <v>4278</v>
      </c>
      <c r="K1200" s="31">
        <v>4</v>
      </c>
      <c r="L1200" s="29" t="s">
        <v>81</v>
      </c>
      <c r="M1200" s="29" t="s">
        <v>22</v>
      </c>
      <c r="N1200" s="31">
        <v>1050.08</v>
      </c>
    </row>
    <row r="1201" ht="29.75" spans="1:14">
      <c r="A1201" s="29" t="s">
        <v>4279</v>
      </c>
      <c r="B1201" s="30">
        <v>45088</v>
      </c>
      <c r="C1201" s="29" t="s">
        <v>4280</v>
      </c>
      <c r="D1201" s="29" t="s">
        <v>32</v>
      </c>
      <c r="E1201" s="31">
        <v>4</v>
      </c>
      <c r="F1201" s="31">
        <v>560.58</v>
      </c>
      <c r="G1201" s="29" t="s">
        <v>4281</v>
      </c>
      <c r="H1201" s="29" t="s">
        <v>60</v>
      </c>
      <c r="I1201" s="29" t="s">
        <v>43</v>
      </c>
      <c r="J1201" s="29" t="s">
        <v>4282</v>
      </c>
      <c r="K1201" s="31">
        <v>6</v>
      </c>
      <c r="L1201" s="29" t="s">
        <v>21</v>
      </c>
      <c r="M1201" s="29" t="s">
        <v>29</v>
      </c>
      <c r="N1201" s="31">
        <v>2242.32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1"/>
  <sheetViews>
    <sheetView workbookViewId="0">
      <selection activeCell="D7" sqref="D7"/>
    </sheetView>
  </sheetViews>
  <sheetFormatPr defaultColWidth="9" defaultRowHeight="14.5"/>
  <cols>
    <col min="1" max="1" width="11.4545454545455" customWidth="1"/>
    <col min="2" max="2" width="11" customWidth="1"/>
    <col min="3" max="3" width="11.8181818181818" customWidth="1"/>
    <col min="4" max="4" width="14.0909090909091" customWidth="1"/>
    <col min="5" max="5" width="8.90909090909091" customWidth="1"/>
    <col min="6" max="6" width="13.9090909090909" customWidth="1"/>
    <col min="7" max="7" width="16.0909090909091" customWidth="1"/>
    <col min="8" max="8" width="16.4545454545455" customWidth="1"/>
    <col min="9" max="9" width="12" customWidth="1"/>
    <col min="10" max="10" width="16.0909090909091" customWidth="1"/>
    <col min="11" max="11" width="15.2727272727273" customWidth="1"/>
    <col min="12" max="12" width="15.0909090909091" customWidth="1"/>
    <col min="13" max="13" width="14.3636363636364" customWidth="1"/>
    <col min="14" max="14" width="9.90909090909091" customWidth="1"/>
    <col min="15" max="17" width="10.5454545454545"/>
  </cols>
  <sheetData>
    <row r="1" spans="1:17">
      <c r="A1" s="22" t="s">
        <v>0</v>
      </c>
      <c r="B1" s="22" t="s">
        <v>1</v>
      </c>
      <c r="C1" s="22" t="s">
        <v>4283</v>
      </c>
      <c r="D1" s="22" t="s">
        <v>4284</v>
      </c>
      <c r="E1" s="22" t="s">
        <v>4285</v>
      </c>
      <c r="F1" s="22" t="s">
        <v>2</v>
      </c>
      <c r="G1" s="22" t="s">
        <v>3</v>
      </c>
      <c r="H1" s="22" t="s">
        <v>4</v>
      </c>
      <c r="I1" s="22" t="s">
        <v>4286</v>
      </c>
      <c r="J1" s="22" t="s">
        <v>4287</v>
      </c>
      <c r="K1" s="22" t="s">
        <v>4288</v>
      </c>
      <c r="L1" s="25" t="s">
        <v>4289</v>
      </c>
      <c r="M1" s="22" t="s">
        <v>4290</v>
      </c>
      <c r="N1" s="22" t="s">
        <v>4291</v>
      </c>
      <c r="O1" s="22" t="s">
        <v>4292</v>
      </c>
      <c r="P1" s="25" t="s">
        <v>4293</v>
      </c>
      <c r="Q1" s="22" t="s">
        <v>4294</v>
      </c>
    </row>
    <row r="2" spans="1:17">
      <c r="A2" t="s">
        <v>14</v>
      </c>
      <c r="B2" s="23">
        <v>44930</v>
      </c>
      <c r="C2" s="23" t="str">
        <f t="shared" ref="C2:C65" si="0">TEXT(B2,"MMM")</f>
        <v>Jan</v>
      </c>
      <c r="D2" s="23" t="str">
        <f t="shared" ref="D2:D65" si="1">TEXT(B2,"YYYY")</f>
        <v>2023</v>
      </c>
      <c r="E2" s="23" t="str">
        <f t="shared" ref="E2:E65" si="2">"Q"&amp;ROUNDUP(MONTH(B2)/3,0)</f>
        <v>Q1</v>
      </c>
      <c r="F2" t="s">
        <v>15</v>
      </c>
      <c r="G2" s="24" t="s">
        <v>16</v>
      </c>
      <c r="H2" s="17">
        <v>5</v>
      </c>
      <c r="I2" s="19">
        <v>570.62</v>
      </c>
      <c r="J2" t="s">
        <v>17</v>
      </c>
      <c r="K2" s="24" t="s">
        <v>18</v>
      </c>
      <c r="L2" s="24" t="s">
        <v>19</v>
      </c>
      <c r="M2" t="s">
        <v>20</v>
      </c>
      <c r="N2" s="17">
        <v>7</v>
      </c>
      <c r="O2" t="s">
        <v>21</v>
      </c>
      <c r="P2" s="24" t="s">
        <v>22</v>
      </c>
      <c r="Q2" s="19">
        <v>2853.1</v>
      </c>
    </row>
    <row r="3" spans="1:17">
      <c r="A3" t="s">
        <v>23</v>
      </c>
      <c r="B3" s="23">
        <v>45527</v>
      </c>
      <c r="C3" s="23" t="str">
        <f t="shared" si="0"/>
        <v>Aug</v>
      </c>
      <c r="D3" s="23" t="str">
        <f t="shared" si="1"/>
        <v>2024</v>
      </c>
      <c r="E3" s="23" t="str">
        <f t="shared" si="2"/>
        <v>Q3</v>
      </c>
      <c r="F3" t="s">
        <v>24</v>
      </c>
      <c r="G3" s="24" t="s">
        <v>25</v>
      </c>
      <c r="H3" s="17">
        <v>2</v>
      </c>
      <c r="I3" s="19">
        <v>151.35</v>
      </c>
      <c r="J3" t="s">
        <v>26</v>
      </c>
      <c r="K3" s="24" t="s">
        <v>27</v>
      </c>
      <c r="L3" s="24" t="s">
        <v>19</v>
      </c>
      <c r="M3" t="s">
        <v>28</v>
      </c>
      <c r="N3" s="17">
        <v>3</v>
      </c>
      <c r="O3" t="s">
        <v>21</v>
      </c>
      <c r="P3" s="24" t="s">
        <v>29</v>
      </c>
      <c r="Q3" s="19">
        <v>302.7</v>
      </c>
    </row>
    <row r="4" spans="1:17">
      <c r="A4" t="s">
        <v>30</v>
      </c>
      <c r="B4" s="23">
        <v>45349</v>
      </c>
      <c r="C4" s="23" t="str">
        <f t="shared" si="0"/>
        <v>Feb</v>
      </c>
      <c r="D4" s="23" t="str">
        <f t="shared" si="1"/>
        <v>2024</v>
      </c>
      <c r="E4" s="23" t="str">
        <f t="shared" si="2"/>
        <v>Q1</v>
      </c>
      <c r="F4" t="s">
        <v>31</v>
      </c>
      <c r="G4" s="24" t="s">
        <v>32</v>
      </c>
      <c r="H4" s="17">
        <v>5</v>
      </c>
      <c r="I4" s="19">
        <v>550.68</v>
      </c>
      <c r="J4" t="s">
        <v>33</v>
      </c>
      <c r="K4" s="24" t="s">
        <v>34</v>
      </c>
      <c r="L4" s="24" t="s">
        <v>35</v>
      </c>
      <c r="M4" t="s">
        <v>36</v>
      </c>
      <c r="N4" s="17">
        <v>8</v>
      </c>
      <c r="O4" t="s">
        <v>37</v>
      </c>
      <c r="P4" s="24" t="s">
        <v>38</v>
      </c>
      <c r="Q4" s="19">
        <v>2753.4</v>
      </c>
    </row>
    <row r="5" spans="1:17">
      <c r="A5" t="s">
        <v>39</v>
      </c>
      <c r="B5" s="23">
        <v>45214</v>
      </c>
      <c r="C5" s="23" t="str">
        <f t="shared" si="0"/>
        <v>Oct</v>
      </c>
      <c r="D5" s="23" t="str">
        <f t="shared" si="1"/>
        <v>2023</v>
      </c>
      <c r="E5" s="23" t="str">
        <f t="shared" si="2"/>
        <v>Q4</v>
      </c>
      <c r="F5" t="s">
        <v>40</v>
      </c>
      <c r="G5" s="24" t="s">
        <v>41</v>
      </c>
      <c r="H5" s="17">
        <v>1</v>
      </c>
      <c r="I5" s="19">
        <v>273.19</v>
      </c>
      <c r="J5" t="s">
        <v>42</v>
      </c>
      <c r="K5" s="24" t="s">
        <v>18</v>
      </c>
      <c r="L5" s="24" t="s">
        <v>43</v>
      </c>
      <c r="M5" t="s">
        <v>44</v>
      </c>
      <c r="N5" s="17">
        <v>5</v>
      </c>
      <c r="O5" t="s">
        <v>21</v>
      </c>
      <c r="P5" s="24" t="s">
        <v>45</v>
      </c>
      <c r="Q5" s="19">
        <v>273.19</v>
      </c>
    </row>
    <row r="6" spans="1:17">
      <c r="A6" t="s">
        <v>46</v>
      </c>
      <c r="B6" s="23">
        <v>45785</v>
      </c>
      <c r="C6" s="23" t="str">
        <f t="shared" si="0"/>
        <v>May</v>
      </c>
      <c r="D6" s="23" t="str">
        <f t="shared" si="1"/>
        <v>2025</v>
      </c>
      <c r="E6" s="23" t="str">
        <f t="shared" si="2"/>
        <v>Q2</v>
      </c>
      <c r="F6" t="s">
        <v>47</v>
      </c>
      <c r="G6" s="24" t="s">
        <v>48</v>
      </c>
      <c r="H6" s="17">
        <v>4</v>
      </c>
      <c r="I6" s="19">
        <v>626.01</v>
      </c>
      <c r="J6" t="s">
        <v>49</v>
      </c>
      <c r="K6" s="24" t="s">
        <v>27</v>
      </c>
      <c r="L6" s="24" t="s">
        <v>50</v>
      </c>
      <c r="M6" t="s">
        <v>51</v>
      </c>
      <c r="N6" s="17">
        <v>8</v>
      </c>
      <c r="O6" t="s">
        <v>21</v>
      </c>
      <c r="P6" s="24" t="s">
        <v>38</v>
      </c>
      <c r="Q6" s="19">
        <v>2504.04</v>
      </c>
    </row>
    <row r="7" spans="1:17">
      <c r="A7" t="s">
        <v>52</v>
      </c>
      <c r="B7" s="23">
        <v>45222</v>
      </c>
      <c r="C7" s="23" t="str">
        <f t="shared" si="0"/>
        <v>Oct</v>
      </c>
      <c r="D7" s="23" t="str">
        <f t="shared" si="1"/>
        <v>2023</v>
      </c>
      <c r="E7" s="23" t="str">
        <f t="shared" si="2"/>
        <v>Q4</v>
      </c>
      <c r="F7" t="s">
        <v>53</v>
      </c>
      <c r="G7" s="24" t="s">
        <v>25</v>
      </c>
      <c r="H7" s="17">
        <v>2</v>
      </c>
      <c r="I7" s="19">
        <v>245.86</v>
      </c>
      <c r="J7" t="s">
        <v>54</v>
      </c>
      <c r="K7" s="24" t="s">
        <v>34</v>
      </c>
      <c r="L7" s="24" t="s">
        <v>19</v>
      </c>
      <c r="M7" t="s">
        <v>55</v>
      </c>
      <c r="N7" s="17">
        <v>4</v>
      </c>
      <c r="O7" t="s">
        <v>21</v>
      </c>
      <c r="P7" s="24" t="s">
        <v>22</v>
      </c>
      <c r="Q7" s="19">
        <v>491.72</v>
      </c>
    </row>
    <row r="8" spans="1:17">
      <c r="A8" t="s">
        <v>56</v>
      </c>
      <c r="B8" s="23">
        <v>45825</v>
      </c>
      <c r="C8" s="23" t="str">
        <f t="shared" si="0"/>
        <v>Jun</v>
      </c>
      <c r="D8" s="23" t="str">
        <f t="shared" si="1"/>
        <v>2025</v>
      </c>
      <c r="E8" s="23" t="str">
        <f t="shared" si="2"/>
        <v>Q2</v>
      </c>
      <c r="F8" t="s">
        <v>57</v>
      </c>
      <c r="G8" s="24" t="s">
        <v>58</v>
      </c>
      <c r="H8" s="17">
        <v>1</v>
      </c>
      <c r="I8" s="19">
        <v>664.42</v>
      </c>
      <c r="J8" t="s">
        <v>59</v>
      </c>
      <c r="K8" s="24" t="s">
        <v>60</v>
      </c>
      <c r="L8" s="24" t="s">
        <v>43</v>
      </c>
      <c r="M8" t="s">
        <v>61</v>
      </c>
      <c r="N8" s="17">
        <v>6</v>
      </c>
      <c r="O8" t="s">
        <v>21</v>
      </c>
      <c r="P8" s="24" t="s">
        <v>45</v>
      </c>
      <c r="Q8" s="19">
        <v>664.42</v>
      </c>
    </row>
    <row r="9" spans="1:17">
      <c r="A9" t="s">
        <v>62</v>
      </c>
      <c r="B9" s="23">
        <v>45058</v>
      </c>
      <c r="C9" s="23" t="str">
        <f t="shared" si="0"/>
        <v>May</v>
      </c>
      <c r="D9" s="23" t="str">
        <f t="shared" si="1"/>
        <v>2023</v>
      </c>
      <c r="E9" s="23" t="str">
        <f t="shared" si="2"/>
        <v>Q2</v>
      </c>
      <c r="F9" t="s">
        <v>63</v>
      </c>
      <c r="G9" s="24" t="s">
        <v>16</v>
      </c>
      <c r="H9" s="17">
        <v>5</v>
      </c>
      <c r="I9" s="19">
        <v>149.55</v>
      </c>
      <c r="J9" t="s">
        <v>64</v>
      </c>
      <c r="K9" s="24" t="s">
        <v>65</v>
      </c>
      <c r="L9" s="24" t="s">
        <v>19</v>
      </c>
      <c r="M9" t="s">
        <v>66</v>
      </c>
      <c r="N9" s="17">
        <v>9</v>
      </c>
      <c r="O9" t="s">
        <v>37</v>
      </c>
      <c r="P9" s="24" t="s">
        <v>45</v>
      </c>
      <c r="Q9" s="19">
        <v>747.75</v>
      </c>
    </row>
    <row r="10" spans="1:17">
      <c r="A10" t="s">
        <v>67</v>
      </c>
      <c r="B10" s="23">
        <v>45749</v>
      </c>
      <c r="C10" s="23" t="str">
        <f t="shared" si="0"/>
        <v>Apr</v>
      </c>
      <c r="D10" s="23" t="str">
        <f t="shared" si="1"/>
        <v>2025</v>
      </c>
      <c r="E10" s="23" t="str">
        <f t="shared" si="2"/>
        <v>Q2</v>
      </c>
      <c r="F10" t="s">
        <v>68</v>
      </c>
      <c r="G10" s="24" t="s">
        <v>25</v>
      </c>
      <c r="H10" s="17">
        <v>2</v>
      </c>
      <c r="I10" s="19">
        <v>134.28</v>
      </c>
      <c r="J10" t="s">
        <v>69</v>
      </c>
      <c r="K10" s="24" t="s">
        <v>60</v>
      </c>
      <c r="L10" s="24" t="s">
        <v>35</v>
      </c>
      <c r="M10" t="s">
        <v>70</v>
      </c>
      <c r="N10" s="17">
        <v>2</v>
      </c>
      <c r="O10" t="s">
        <v>4295</v>
      </c>
      <c r="P10" s="24" t="s">
        <v>38</v>
      </c>
      <c r="Q10" s="19">
        <v>268.56</v>
      </c>
    </row>
    <row r="11" spans="1:17">
      <c r="A11" t="s">
        <v>71</v>
      </c>
      <c r="B11" s="23">
        <v>45251</v>
      </c>
      <c r="C11" s="23" t="str">
        <f t="shared" si="0"/>
        <v>Nov</v>
      </c>
      <c r="D11" s="23" t="str">
        <f t="shared" si="1"/>
        <v>2023</v>
      </c>
      <c r="E11" s="23" t="str">
        <f t="shared" si="2"/>
        <v>Q4</v>
      </c>
      <c r="F11" t="s">
        <v>72</v>
      </c>
      <c r="G11" s="24" t="s">
        <v>73</v>
      </c>
      <c r="H11" s="17">
        <v>4</v>
      </c>
      <c r="I11" s="19">
        <v>509.38</v>
      </c>
      <c r="J11" t="s">
        <v>74</v>
      </c>
      <c r="K11" s="24" t="s">
        <v>34</v>
      </c>
      <c r="L11" s="24" t="s">
        <v>19</v>
      </c>
      <c r="M11" t="s">
        <v>75</v>
      </c>
      <c r="N11" s="17">
        <v>6</v>
      </c>
      <c r="O11" t="s">
        <v>21</v>
      </c>
      <c r="P11" s="24" t="s">
        <v>76</v>
      </c>
      <c r="Q11" s="19">
        <v>2037.52</v>
      </c>
    </row>
    <row r="12" spans="1:17">
      <c r="A12" t="s">
        <v>77</v>
      </c>
      <c r="B12" s="23">
        <v>45289</v>
      </c>
      <c r="C12" s="23" t="str">
        <f t="shared" si="0"/>
        <v>Dec</v>
      </c>
      <c r="D12" s="23" t="str">
        <f t="shared" si="1"/>
        <v>2023</v>
      </c>
      <c r="E12" s="23" t="str">
        <f t="shared" si="2"/>
        <v>Q4</v>
      </c>
      <c r="F12" t="s">
        <v>78</v>
      </c>
      <c r="G12" s="24" t="s">
        <v>32</v>
      </c>
      <c r="H12" s="17">
        <v>5</v>
      </c>
      <c r="I12" s="19">
        <v>625.97</v>
      </c>
      <c r="J12" t="s">
        <v>79</v>
      </c>
      <c r="K12" s="24" t="s">
        <v>34</v>
      </c>
      <c r="L12" s="24" t="s">
        <v>43</v>
      </c>
      <c r="M12" t="s">
        <v>80</v>
      </c>
      <c r="N12" s="17">
        <v>9</v>
      </c>
      <c r="O12" t="s">
        <v>81</v>
      </c>
      <c r="P12" s="24" t="s">
        <v>22</v>
      </c>
      <c r="Q12" s="19">
        <v>3129.85</v>
      </c>
    </row>
    <row r="13" spans="1:17">
      <c r="A13" t="s">
        <v>82</v>
      </c>
      <c r="B13" s="23">
        <v>45339</v>
      </c>
      <c r="C13" s="23" t="str">
        <f t="shared" si="0"/>
        <v>Feb</v>
      </c>
      <c r="D13" s="23" t="str">
        <f t="shared" si="1"/>
        <v>2024</v>
      </c>
      <c r="E13" s="23" t="str">
        <f t="shared" si="2"/>
        <v>Q1</v>
      </c>
      <c r="F13" t="s">
        <v>83</v>
      </c>
      <c r="G13" s="24" t="s">
        <v>16</v>
      </c>
      <c r="H13" s="17">
        <v>3</v>
      </c>
      <c r="I13" s="19">
        <v>49.14</v>
      </c>
      <c r="J13" t="s">
        <v>84</v>
      </c>
      <c r="K13" s="24" t="s">
        <v>27</v>
      </c>
      <c r="L13" s="24" t="s">
        <v>43</v>
      </c>
      <c r="M13" t="s">
        <v>85</v>
      </c>
      <c r="N13" s="17">
        <v>7</v>
      </c>
      <c r="O13" t="s">
        <v>21</v>
      </c>
      <c r="P13" s="24" t="s">
        <v>38</v>
      </c>
      <c r="Q13" s="19">
        <v>147.42</v>
      </c>
    </row>
    <row r="14" spans="1:17">
      <c r="A14" t="s">
        <v>86</v>
      </c>
      <c r="B14" s="23">
        <v>45580</v>
      </c>
      <c r="C14" s="23" t="str">
        <f t="shared" si="0"/>
        <v>Oct</v>
      </c>
      <c r="D14" s="23" t="str">
        <f t="shared" si="1"/>
        <v>2024</v>
      </c>
      <c r="E14" s="23" t="str">
        <f t="shared" si="2"/>
        <v>Q4</v>
      </c>
      <c r="F14" t="s">
        <v>87</v>
      </c>
      <c r="G14" s="24" t="s">
        <v>16</v>
      </c>
      <c r="H14" s="17">
        <v>2</v>
      </c>
      <c r="I14" s="19">
        <v>180.5</v>
      </c>
      <c r="J14" t="s">
        <v>88</v>
      </c>
      <c r="K14" s="24" t="s">
        <v>18</v>
      </c>
      <c r="L14" s="24" t="s">
        <v>89</v>
      </c>
      <c r="M14" t="s">
        <v>90</v>
      </c>
      <c r="N14" s="17">
        <v>6</v>
      </c>
      <c r="O14" t="s">
        <v>37</v>
      </c>
      <c r="P14" s="24" t="s">
        <v>29</v>
      </c>
      <c r="Q14" s="19">
        <v>361</v>
      </c>
    </row>
    <row r="15" spans="1:17">
      <c r="A15" t="s">
        <v>91</v>
      </c>
      <c r="B15" s="23">
        <v>45168</v>
      </c>
      <c r="C15" s="23" t="str">
        <f t="shared" si="0"/>
        <v>Aug</v>
      </c>
      <c r="D15" s="23" t="str">
        <f t="shared" si="1"/>
        <v>2023</v>
      </c>
      <c r="E15" s="23" t="str">
        <f t="shared" si="2"/>
        <v>Q3</v>
      </c>
      <c r="F15" t="s">
        <v>92</v>
      </c>
      <c r="G15" s="24" t="s">
        <v>58</v>
      </c>
      <c r="H15" s="17">
        <v>3</v>
      </c>
      <c r="I15" s="19">
        <v>201.49</v>
      </c>
      <c r="J15" t="s">
        <v>93</v>
      </c>
      <c r="K15" s="24" t="s">
        <v>34</v>
      </c>
      <c r="L15" s="24" t="s">
        <v>43</v>
      </c>
      <c r="M15" t="s">
        <v>94</v>
      </c>
      <c r="N15" s="17">
        <v>4</v>
      </c>
      <c r="O15" t="s">
        <v>37</v>
      </c>
      <c r="P15" s="24" t="s">
        <v>45</v>
      </c>
      <c r="Q15" s="19">
        <v>604.47</v>
      </c>
    </row>
    <row r="16" spans="1:17">
      <c r="A16" t="s">
        <v>95</v>
      </c>
      <c r="B16" s="23">
        <v>45012</v>
      </c>
      <c r="C16" s="23" t="str">
        <f t="shared" si="0"/>
        <v>Mar</v>
      </c>
      <c r="D16" s="23" t="str">
        <f t="shared" si="1"/>
        <v>2023</v>
      </c>
      <c r="E16" s="23" t="str">
        <f t="shared" si="2"/>
        <v>Q1</v>
      </c>
      <c r="F16" t="s">
        <v>96</v>
      </c>
      <c r="G16" s="24" t="s">
        <v>32</v>
      </c>
      <c r="H16" s="17">
        <v>2</v>
      </c>
      <c r="I16" s="19">
        <v>393.33</v>
      </c>
      <c r="J16" t="s">
        <v>97</v>
      </c>
      <c r="K16" s="24" t="s">
        <v>18</v>
      </c>
      <c r="L16" s="24" t="s">
        <v>89</v>
      </c>
      <c r="M16" t="s">
        <v>98</v>
      </c>
      <c r="N16" s="17">
        <v>3</v>
      </c>
      <c r="O16" t="s">
        <v>21</v>
      </c>
      <c r="P16" s="24" t="s">
        <v>22</v>
      </c>
      <c r="Q16" s="19">
        <v>786.66</v>
      </c>
    </row>
    <row r="17" spans="1:17">
      <c r="A17" t="s">
        <v>99</v>
      </c>
      <c r="B17" s="23">
        <v>45124</v>
      </c>
      <c r="C17" s="23" t="str">
        <f t="shared" si="0"/>
        <v>Jul</v>
      </c>
      <c r="D17" s="23" t="str">
        <f t="shared" si="1"/>
        <v>2023</v>
      </c>
      <c r="E17" s="23" t="str">
        <f t="shared" si="2"/>
        <v>Q3</v>
      </c>
      <c r="F17" t="s">
        <v>100</v>
      </c>
      <c r="G17" s="24" t="s">
        <v>48</v>
      </c>
      <c r="H17" s="17">
        <v>1</v>
      </c>
      <c r="I17" s="19">
        <v>473.96</v>
      </c>
      <c r="J17" t="s">
        <v>101</v>
      </c>
      <c r="K17" s="24" t="s">
        <v>65</v>
      </c>
      <c r="L17" s="24" t="s">
        <v>50</v>
      </c>
      <c r="M17" t="s">
        <v>102</v>
      </c>
      <c r="N17" s="17">
        <v>3</v>
      </c>
      <c r="O17" t="s">
        <v>4295</v>
      </c>
      <c r="P17" s="24" t="s">
        <v>76</v>
      </c>
      <c r="Q17" s="19">
        <v>473.96</v>
      </c>
    </row>
    <row r="18" spans="1:17">
      <c r="A18" t="s">
        <v>103</v>
      </c>
      <c r="B18" s="23">
        <v>44950</v>
      </c>
      <c r="C18" s="23" t="str">
        <f t="shared" si="0"/>
        <v>Jan</v>
      </c>
      <c r="D18" s="23" t="str">
        <f t="shared" si="1"/>
        <v>2023</v>
      </c>
      <c r="E18" s="23" t="str">
        <f t="shared" si="2"/>
        <v>Q1</v>
      </c>
      <c r="F18" t="s">
        <v>104</v>
      </c>
      <c r="G18" s="24" t="s">
        <v>48</v>
      </c>
      <c r="H18" s="17">
        <v>2</v>
      </c>
      <c r="I18" s="19">
        <v>533.81</v>
      </c>
      <c r="J18" t="s">
        <v>105</v>
      </c>
      <c r="K18" s="24" t="s">
        <v>34</v>
      </c>
      <c r="L18" s="24" t="s">
        <v>89</v>
      </c>
      <c r="M18" t="s">
        <v>106</v>
      </c>
      <c r="N18" s="17">
        <v>3</v>
      </c>
      <c r="O18" t="s">
        <v>37</v>
      </c>
      <c r="P18" s="24" t="s">
        <v>38</v>
      </c>
      <c r="Q18" s="19">
        <v>1067.62</v>
      </c>
    </row>
    <row r="19" spans="1:17">
      <c r="A19" t="s">
        <v>107</v>
      </c>
      <c r="B19" s="23">
        <v>45353</v>
      </c>
      <c r="C19" s="23" t="str">
        <f t="shared" si="0"/>
        <v>Mar</v>
      </c>
      <c r="D19" s="23" t="str">
        <f t="shared" si="1"/>
        <v>2024</v>
      </c>
      <c r="E19" s="23" t="str">
        <f t="shared" si="2"/>
        <v>Q1</v>
      </c>
      <c r="F19" t="s">
        <v>108</v>
      </c>
      <c r="G19" s="24" t="s">
        <v>32</v>
      </c>
      <c r="H19" s="17">
        <v>1</v>
      </c>
      <c r="I19" s="19">
        <v>423.4</v>
      </c>
      <c r="J19" t="s">
        <v>109</v>
      </c>
      <c r="K19" s="24" t="s">
        <v>18</v>
      </c>
      <c r="L19" s="24" t="s">
        <v>19</v>
      </c>
      <c r="M19" t="s">
        <v>110</v>
      </c>
      <c r="N19" s="17">
        <v>3</v>
      </c>
      <c r="O19" t="s">
        <v>4295</v>
      </c>
      <c r="P19" s="24" t="s">
        <v>29</v>
      </c>
      <c r="Q19" s="19">
        <v>423.4</v>
      </c>
    </row>
    <row r="20" spans="1:17">
      <c r="A20" t="s">
        <v>111</v>
      </c>
      <c r="B20" s="23">
        <v>45742</v>
      </c>
      <c r="C20" s="23" t="str">
        <f t="shared" si="0"/>
        <v>Mar</v>
      </c>
      <c r="D20" s="23" t="str">
        <f t="shared" si="1"/>
        <v>2025</v>
      </c>
      <c r="E20" s="23" t="str">
        <f t="shared" si="2"/>
        <v>Q1</v>
      </c>
      <c r="F20" t="s">
        <v>112</v>
      </c>
      <c r="G20" s="24" t="s">
        <v>73</v>
      </c>
      <c r="H20" s="17">
        <v>1</v>
      </c>
      <c r="I20" s="19">
        <v>431.44</v>
      </c>
      <c r="J20" t="s">
        <v>113</v>
      </c>
      <c r="K20" s="24" t="s">
        <v>60</v>
      </c>
      <c r="L20" s="24" t="s">
        <v>89</v>
      </c>
      <c r="M20" t="s">
        <v>114</v>
      </c>
      <c r="N20" s="17">
        <v>3</v>
      </c>
      <c r="O20" t="s">
        <v>21</v>
      </c>
      <c r="P20" s="24" t="s">
        <v>45</v>
      </c>
      <c r="Q20" s="19">
        <v>431.44</v>
      </c>
    </row>
    <row r="21" spans="1:17">
      <c r="A21" t="s">
        <v>115</v>
      </c>
      <c r="B21" s="23">
        <v>44949</v>
      </c>
      <c r="C21" s="23" t="str">
        <f t="shared" si="0"/>
        <v>Jan</v>
      </c>
      <c r="D21" s="23" t="str">
        <f t="shared" si="1"/>
        <v>2023</v>
      </c>
      <c r="E21" s="23" t="str">
        <f t="shared" si="2"/>
        <v>Q1</v>
      </c>
      <c r="F21" t="s">
        <v>116</v>
      </c>
      <c r="G21" s="24" t="s">
        <v>16</v>
      </c>
      <c r="H21" s="17">
        <v>5</v>
      </c>
      <c r="I21" s="19">
        <v>224</v>
      </c>
      <c r="J21" t="s">
        <v>117</v>
      </c>
      <c r="K21" s="24" t="s">
        <v>65</v>
      </c>
      <c r="L21" s="24" t="s">
        <v>43</v>
      </c>
      <c r="M21" t="s">
        <v>118</v>
      </c>
      <c r="N21" s="17">
        <v>9</v>
      </c>
      <c r="O21" t="s">
        <v>21</v>
      </c>
      <c r="P21" s="24" t="s">
        <v>76</v>
      </c>
      <c r="Q21" s="19">
        <v>1120</v>
      </c>
    </row>
    <row r="22" spans="1:17">
      <c r="A22" t="s">
        <v>119</v>
      </c>
      <c r="B22" s="23">
        <v>45054</v>
      </c>
      <c r="C22" s="23" t="str">
        <f t="shared" si="0"/>
        <v>May</v>
      </c>
      <c r="D22" s="23" t="str">
        <f t="shared" si="1"/>
        <v>2023</v>
      </c>
      <c r="E22" s="23" t="str">
        <f t="shared" si="2"/>
        <v>Q2</v>
      </c>
      <c r="F22" t="s">
        <v>120</v>
      </c>
      <c r="G22" s="24" t="s">
        <v>41</v>
      </c>
      <c r="H22" s="17">
        <v>5</v>
      </c>
      <c r="I22" s="19">
        <v>62.51</v>
      </c>
      <c r="J22" t="s">
        <v>121</v>
      </c>
      <c r="K22" s="24" t="s">
        <v>65</v>
      </c>
      <c r="L22" s="24" t="s">
        <v>89</v>
      </c>
      <c r="M22" t="s">
        <v>122</v>
      </c>
      <c r="N22" s="17">
        <v>9</v>
      </c>
      <c r="O22" t="s">
        <v>81</v>
      </c>
      <c r="P22" s="24" t="s">
        <v>22</v>
      </c>
      <c r="Q22" s="19">
        <v>312.55</v>
      </c>
    </row>
    <row r="23" spans="1:17">
      <c r="A23" t="s">
        <v>123</v>
      </c>
      <c r="B23" s="23">
        <v>45613</v>
      </c>
      <c r="C23" s="23" t="str">
        <f t="shared" si="0"/>
        <v>Nov</v>
      </c>
      <c r="D23" s="23" t="str">
        <f t="shared" si="1"/>
        <v>2024</v>
      </c>
      <c r="E23" s="23" t="str">
        <f t="shared" si="2"/>
        <v>Q4</v>
      </c>
      <c r="F23" t="s">
        <v>124</v>
      </c>
      <c r="G23" s="24" t="s">
        <v>16</v>
      </c>
      <c r="H23" s="17">
        <v>4</v>
      </c>
      <c r="I23" s="19">
        <v>342.95</v>
      </c>
      <c r="J23" t="s">
        <v>125</v>
      </c>
      <c r="K23" s="24" t="s">
        <v>65</v>
      </c>
      <c r="L23" s="24" t="s">
        <v>50</v>
      </c>
      <c r="M23" t="s">
        <v>126</v>
      </c>
      <c r="N23" s="17">
        <v>6</v>
      </c>
      <c r="O23" t="s">
        <v>4295</v>
      </c>
      <c r="P23" s="24" t="s">
        <v>76</v>
      </c>
      <c r="Q23" s="19">
        <v>1371.8</v>
      </c>
    </row>
    <row r="24" spans="1:17">
      <c r="A24" t="s">
        <v>127</v>
      </c>
      <c r="B24" s="23">
        <v>44955</v>
      </c>
      <c r="C24" s="23" t="str">
        <f t="shared" si="0"/>
        <v>Jan</v>
      </c>
      <c r="D24" s="23" t="str">
        <f t="shared" si="1"/>
        <v>2023</v>
      </c>
      <c r="E24" s="23" t="str">
        <f t="shared" si="2"/>
        <v>Q1</v>
      </c>
      <c r="F24" t="s">
        <v>128</v>
      </c>
      <c r="G24" s="24" t="s">
        <v>16</v>
      </c>
      <c r="H24" s="17">
        <v>2</v>
      </c>
      <c r="I24" s="19">
        <v>49.62</v>
      </c>
      <c r="J24" t="s">
        <v>129</v>
      </c>
      <c r="K24" s="24" t="s">
        <v>27</v>
      </c>
      <c r="L24" s="24" t="s">
        <v>89</v>
      </c>
      <c r="M24" t="s">
        <v>130</v>
      </c>
      <c r="N24" s="17">
        <v>2</v>
      </c>
      <c r="O24" t="s">
        <v>21</v>
      </c>
      <c r="P24" s="24" t="s">
        <v>76</v>
      </c>
      <c r="Q24" s="19">
        <v>99.24</v>
      </c>
    </row>
    <row r="25" spans="1:17">
      <c r="A25" t="s">
        <v>131</v>
      </c>
      <c r="B25" s="23">
        <v>45756</v>
      </c>
      <c r="C25" s="23" t="str">
        <f t="shared" si="0"/>
        <v>Apr</v>
      </c>
      <c r="D25" s="23" t="str">
        <f t="shared" si="1"/>
        <v>2025</v>
      </c>
      <c r="E25" s="23" t="str">
        <f t="shared" si="2"/>
        <v>Q2</v>
      </c>
      <c r="F25" t="s">
        <v>132</v>
      </c>
      <c r="G25" s="24" t="s">
        <v>25</v>
      </c>
      <c r="H25" s="17">
        <v>4</v>
      </c>
      <c r="I25" s="19">
        <v>273.25</v>
      </c>
      <c r="J25" t="s">
        <v>133</v>
      </c>
      <c r="K25" s="24" t="s">
        <v>18</v>
      </c>
      <c r="L25" s="24" t="s">
        <v>35</v>
      </c>
      <c r="M25" t="s">
        <v>134</v>
      </c>
      <c r="N25" s="17">
        <v>5</v>
      </c>
      <c r="O25" t="s">
        <v>37</v>
      </c>
      <c r="P25" s="24" t="s">
        <v>29</v>
      </c>
      <c r="Q25" s="19">
        <v>1093</v>
      </c>
    </row>
    <row r="26" spans="1:17">
      <c r="A26" t="s">
        <v>135</v>
      </c>
      <c r="B26" s="23">
        <v>45595</v>
      </c>
      <c r="C26" s="23" t="str">
        <f t="shared" si="0"/>
        <v>Oct</v>
      </c>
      <c r="D26" s="23" t="str">
        <f t="shared" si="1"/>
        <v>2024</v>
      </c>
      <c r="E26" s="23" t="str">
        <f t="shared" si="2"/>
        <v>Q4</v>
      </c>
      <c r="F26" t="s">
        <v>136</v>
      </c>
      <c r="G26" s="24" t="s">
        <v>58</v>
      </c>
      <c r="H26" s="17">
        <v>2</v>
      </c>
      <c r="I26" s="19">
        <v>230.95</v>
      </c>
      <c r="J26" t="s">
        <v>137</v>
      </c>
      <c r="K26" s="24" t="s">
        <v>27</v>
      </c>
      <c r="L26" s="24" t="s">
        <v>50</v>
      </c>
      <c r="M26" t="s">
        <v>138</v>
      </c>
      <c r="N26" s="17">
        <v>3</v>
      </c>
      <c r="O26" t="s">
        <v>81</v>
      </c>
      <c r="P26" s="24" t="s">
        <v>29</v>
      </c>
      <c r="Q26" s="19">
        <v>461.9</v>
      </c>
    </row>
    <row r="27" spans="1:17">
      <c r="A27" t="s">
        <v>139</v>
      </c>
      <c r="B27" s="23">
        <v>45497</v>
      </c>
      <c r="C27" s="23" t="str">
        <f t="shared" si="0"/>
        <v>Jul</v>
      </c>
      <c r="D27" s="23" t="str">
        <f t="shared" si="1"/>
        <v>2024</v>
      </c>
      <c r="E27" s="23" t="str">
        <f t="shared" si="2"/>
        <v>Q3</v>
      </c>
      <c r="F27" t="s">
        <v>140</v>
      </c>
      <c r="G27" s="24" t="s">
        <v>16</v>
      </c>
      <c r="H27" s="17">
        <v>1</v>
      </c>
      <c r="I27" s="19">
        <v>399.98</v>
      </c>
      <c r="J27" t="s">
        <v>141</v>
      </c>
      <c r="K27" s="24" t="s">
        <v>18</v>
      </c>
      <c r="L27" s="24" t="s">
        <v>50</v>
      </c>
      <c r="M27" t="s">
        <v>142</v>
      </c>
      <c r="N27" s="17">
        <v>3</v>
      </c>
      <c r="O27" t="s">
        <v>81</v>
      </c>
      <c r="P27" s="24" t="s">
        <v>38</v>
      </c>
      <c r="Q27" s="19">
        <v>399.98</v>
      </c>
    </row>
    <row r="28" spans="1:17">
      <c r="A28" t="s">
        <v>143</v>
      </c>
      <c r="B28" s="23">
        <v>45357</v>
      </c>
      <c r="C28" s="23" t="str">
        <f t="shared" si="0"/>
        <v>Mar</v>
      </c>
      <c r="D28" s="23" t="str">
        <f t="shared" si="1"/>
        <v>2024</v>
      </c>
      <c r="E28" s="23" t="str">
        <f t="shared" si="2"/>
        <v>Q1</v>
      </c>
      <c r="F28" t="s">
        <v>144</v>
      </c>
      <c r="G28" s="24" t="s">
        <v>58</v>
      </c>
      <c r="H28" s="17">
        <v>5</v>
      </c>
      <c r="I28" s="19">
        <v>59.55</v>
      </c>
      <c r="J28" t="s">
        <v>145</v>
      </c>
      <c r="K28" s="24" t="s">
        <v>27</v>
      </c>
      <c r="L28" s="24" t="s">
        <v>50</v>
      </c>
      <c r="M28" t="s">
        <v>146</v>
      </c>
      <c r="N28" s="17">
        <v>6</v>
      </c>
      <c r="O28" t="s">
        <v>4295</v>
      </c>
      <c r="P28" s="24" t="s">
        <v>29</v>
      </c>
      <c r="Q28" s="19">
        <v>297.75</v>
      </c>
    </row>
    <row r="29" spans="1:17">
      <c r="A29" t="s">
        <v>147</v>
      </c>
      <c r="B29" s="23">
        <v>45344</v>
      </c>
      <c r="C29" s="23" t="str">
        <f t="shared" si="0"/>
        <v>Feb</v>
      </c>
      <c r="D29" s="23" t="str">
        <f t="shared" si="1"/>
        <v>2024</v>
      </c>
      <c r="E29" s="23" t="str">
        <f t="shared" si="2"/>
        <v>Q1</v>
      </c>
      <c r="F29" t="s">
        <v>148</v>
      </c>
      <c r="G29" s="24" t="s">
        <v>48</v>
      </c>
      <c r="H29" s="17">
        <v>1</v>
      </c>
      <c r="I29" s="19">
        <v>472.74</v>
      </c>
      <c r="J29" t="s">
        <v>149</v>
      </c>
      <c r="K29" s="24" t="s">
        <v>27</v>
      </c>
      <c r="L29" s="24" t="s">
        <v>19</v>
      </c>
      <c r="M29" t="s">
        <v>150</v>
      </c>
      <c r="N29" s="17">
        <v>6</v>
      </c>
      <c r="O29" t="s">
        <v>81</v>
      </c>
      <c r="P29" s="24" t="s">
        <v>76</v>
      </c>
      <c r="Q29" s="19">
        <v>472.74</v>
      </c>
    </row>
    <row r="30" spans="1:17">
      <c r="A30" t="s">
        <v>151</v>
      </c>
      <c r="B30" s="23">
        <v>45251</v>
      </c>
      <c r="C30" s="23" t="str">
        <f t="shared" si="0"/>
        <v>Nov</v>
      </c>
      <c r="D30" s="23" t="str">
        <f t="shared" si="1"/>
        <v>2023</v>
      </c>
      <c r="E30" s="23" t="str">
        <f t="shared" si="2"/>
        <v>Q4</v>
      </c>
      <c r="F30" t="s">
        <v>152</v>
      </c>
      <c r="G30" s="24" t="s">
        <v>25</v>
      </c>
      <c r="H30" s="17">
        <v>4</v>
      </c>
      <c r="I30" s="19">
        <v>160.07</v>
      </c>
      <c r="J30" t="s">
        <v>153</v>
      </c>
      <c r="K30" s="24" t="s">
        <v>27</v>
      </c>
      <c r="L30" s="24" t="s">
        <v>89</v>
      </c>
      <c r="M30" t="s">
        <v>154</v>
      </c>
      <c r="N30" s="17">
        <v>5</v>
      </c>
      <c r="O30" t="s">
        <v>4295</v>
      </c>
      <c r="P30" s="24" t="s">
        <v>38</v>
      </c>
      <c r="Q30" s="19">
        <v>640.28</v>
      </c>
    </row>
    <row r="31" spans="1:17">
      <c r="A31" t="s">
        <v>155</v>
      </c>
      <c r="B31" s="23">
        <v>45555</v>
      </c>
      <c r="C31" s="23" t="str">
        <f t="shared" si="0"/>
        <v>Sep</v>
      </c>
      <c r="D31" s="23" t="str">
        <f t="shared" si="1"/>
        <v>2024</v>
      </c>
      <c r="E31" s="23" t="str">
        <f t="shared" si="2"/>
        <v>Q3</v>
      </c>
      <c r="F31" t="s">
        <v>156</v>
      </c>
      <c r="G31" s="24" t="s">
        <v>73</v>
      </c>
      <c r="H31" s="17">
        <v>3</v>
      </c>
      <c r="I31" s="19">
        <v>423.53</v>
      </c>
      <c r="J31" t="s">
        <v>157</v>
      </c>
      <c r="K31" s="24" t="s">
        <v>34</v>
      </c>
      <c r="L31" s="24" t="s">
        <v>50</v>
      </c>
      <c r="M31" t="s">
        <v>158</v>
      </c>
      <c r="N31" s="17">
        <v>6</v>
      </c>
      <c r="O31" t="s">
        <v>21</v>
      </c>
      <c r="P31" s="24" t="s">
        <v>29</v>
      </c>
      <c r="Q31" s="19">
        <v>1270.59</v>
      </c>
    </row>
    <row r="32" spans="1:17">
      <c r="A32" t="s">
        <v>159</v>
      </c>
      <c r="B32" s="23">
        <v>45738</v>
      </c>
      <c r="C32" s="23" t="str">
        <f t="shared" si="0"/>
        <v>Mar</v>
      </c>
      <c r="D32" s="23" t="str">
        <f t="shared" si="1"/>
        <v>2025</v>
      </c>
      <c r="E32" s="23" t="str">
        <f t="shared" si="2"/>
        <v>Q1</v>
      </c>
      <c r="F32" t="s">
        <v>160</v>
      </c>
      <c r="G32" s="24" t="s">
        <v>16</v>
      </c>
      <c r="H32" s="17">
        <v>2</v>
      </c>
      <c r="I32" s="19">
        <v>426.7</v>
      </c>
      <c r="J32" t="s">
        <v>161</v>
      </c>
      <c r="K32" s="24" t="s">
        <v>27</v>
      </c>
      <c r="L32" s="24" t="s">
        <v>89</v>
      </c>
      <c r="M32" t="s">
        <v>162</v>
      </c>
      <c r="N32" s="17">
        <v>5</v>
      </c>
      <c r="O32" t="s">
        <v>21</v>
      </c>
      <c r="P32" s="24" t="s">
        <v>29</v>
      </c>
      <c r="Q32" s="19">
        <v>853.4</v>
      </c>
    </row>
    <row r="33" spans="1:17">
      <c r="A33" t="s">
        <v>163</v>
      </c>
      <c r="B33" s="23">
        <v>45107</v>
      </c>
      <c r="C33" s="23" t="str">
        <f t="shared" si="0"/>
        <v>Jun</v>
      </c>
      <c r="D33" s="23" t="str">
        <f t="shared" si="1"/>
        <v>2023</v>
      </c>
      <c r="E33" s="23" t="str">
        <f t="shared" si="2"/>
        <v>Q2</v>
      </c>
      <c r="F33" t="s">
        <v>164</v>
      </c>
      <c r="G33" s="24" t="s">
        <v>41</v>
      </c>
      <c r="H33" s="17">
        <v>3</v>
      </c>
      <c r="I33" s="19">
        <v>500.08</v>
      </c>
      <c r="J33" t="s">
        <v>165</v>
      </c>
      <c r="K33" s="24" t="s">
        <v>18</v>
      </c>
      <c r="L33" s="24" t="s">
        <v>43</v>
      </c>
      <c r="M33" t="s">
        <v>166</v>
      </c>
      <c r="N33" s="17">
        <v>6</v>
      </c>
      <c r="O33" t="s">
        <v>4295</v>
      </c>
      <c r="P33" s="24" t="s">
        <v>45</v>
      </c>
      <c r="Q33" s="19">
        <v>1500.24</v>
      </c>
    </row>
    <row r="34" spans="1:17">
      <c r="A34" t="s">
        <v>167</v>
      </c>
      <c r="B34" s="23">
        <v>45047</v>
      </c>
      <c r="C34" s="23" t="str">
        <f t="shared" si="0"/>
        <v>May</v>
      </c>
      <c r="D34" s="23" t="str">
        <f t="shared" si="1"/>
        <v>2023</v>
      </c>
      <c r="E34" s="23" t="str">
        <f t="shared" si="2"/>
        <v>Q2</v>
      </c>
      <c r="F34" t="s">
        <v>168</v>
      </c>
      <c r="G34" s="24" t="s">
        <v>32</v>
      </c>
      <c r="H34" s="17">
        <v>5</v>
      </c>
      <c r="I34" s="19">
        <v>536.72</v>
      </c>
      <c r="J34" t="s">
        <v>169</v>
      </c>
      <c r="K34" s="24" t="s">
        <v>65</v>
      </c>
      <c r="L34" s="24" t="s">
        <v>50</v>
      </c>
      <c r="M34" t="s">
        <v>170</v>
      </c>
      <c r="N34" s="17">
        <v>10</v>
      </c>
      <c r="O34" t="s">
        <v>4295</v>
      </c>
      <c r="P34" s="24" t="s">
        <v>38</v>
      </c>
      <c r="Q34" s="19">
        <v>2683.6</v>
      </c>
    </row>
    <row r="35" spans="1:17">
      <c r="A35" t="s">
        <v>171</v>
      </c>
      <c r="B35" s="23">
        <v>45082</v>
      </c>
      <c r="C35" s="23" t="str">
        <f t="shared" si="0"/>
        <v>Jun</v>
      </c>
      <c r="D35" s="23" t="str">
        <f t="shared" si="1"/>
        <v>2023</v>
      </c>
      <c r="E35" s="23" t="str">
        <f t="shared" si="2"/>
        <v>Q2</v>
      </c>
      <c r="F35" t="s">
        <v>172</v>
      </c>
      <c r="G35" s="24" t="s">
        <v>41</v>
      </c>
      <c r="H35" s="17">
        <v>1</v>
      </c>
      <c r="I35" s="19">
        <v>162.77</v>
      </c>
      <c r="J35" t="s">
        <v>173</v>
      </c>
      <c r="K35" s="24" t="s">
        <v>27</v>
      </c>
      <c r="L35" s="24" t="s">
        <v>35</v>
      </c>
      <c r="M35" t="s">
        <v>174</v>
      </c>
      <c r="N35" s="17">
        <v>4</v>
      </c>
      <c r="O35" t="s">
        <v>81</v>
      </c>
      <c r="P35" s="24" t="s">
        <v>45</v>
      </c>
      <c r="Q35" s="19">
        <v>162.77</v>
      </c>
    </row>
    <row r="36" spans="1:17">
      <c r="A36" t="s">
        <v>175</v>
      </c>
      <c r="B36" s="23">
        <v>44933</v>
      </c>
      <c r="C36" s="23" t="str">
        <f t="shared" si="0"/>
        <v>Jan</v>
      </c>
      <c r="D36" s="23" t="str">
        <f t="shared" si="1"/>
        <v>2023</v>
      </c>
      <c r="E36" s="23" t="str">
        <f t="shared" si="2"/>
        <v>Q1</v>
      </c>
      <c r="F36" t="s">
        <v>176</v>
      </c>
      <c r="G36" s="24" t="s">
        <v>41</v>
      </c>
      <c r="H36" s="17">
        <v>4</v>
      </c>
      <c r="I36" s="19">
        <v>576.52</v>
      </c>
      <c r="J36" t="s">
        <v>177</v>
      </c>
      <c r="K36" s="24" t="s">
        <v>34</v>
      </c>
      <c r="L36" s="24" t="s">
        <v>89</v>
      </c>
      <c r="M36" t="s">
        <v>178</v>
      </c>
      <c r="N36" s="17">
        <v>5</v>
      </c>
      <c r="O36" t="s">
        <v>81</v>
      </c>
      <c r="P36" s="24" t="s">
        <v>45</v>
      </c>
      <c r="Q36" s="19">
        <v>2306.08</v>
      </c>
    </row>
    <row r="37" spans="1:17">
      <c r="A37" t="s">
        <v>179</v>
      </c>
      <c r="B37" s="23">
        <v>45633</v>
      </c>
      <c r="C37" s="23" t="str">
        <f t="shared" si="0"/>
        <v>Dec</v>
      </c>
      <c r="D37" s="23" t="str">
        <f t="shared" si="1"/>
        <v>2024</v>
      </c>
      <c r="E37" s="23" t="str">
        <f t="shared" si="2"/>
        <v>Q4</v>
      </c>
      <c r="F37" t="s">
        <v>180</v>
      </c>
      <c r="G37" s="24" t="s">
        <v>16</v>
      </c>
      <c r="H37" s="17">
        <v>2</v>
      </c>
      <c r="I37" s="19">
        <v>465.15</v>
      </c>
      <c r="J37" t="s">
        <v>181</v>
      </c>
      <c r="K37" s="24" t="s">
        <v>27</v>
      </c>
      <c r="L37" s="24" t="s">
        <v>19</v>
      </c>
      <c r="M37" t="s">
        <v>182</v>
      </c>
      <c r="N37" s="17">
        <v>2</v>
      </c>
      <c r="O37" t="s">
        <v>21</v>
      </c>
      <c r="P37" s="24" t="s">
        <v>45</v>
      </c>
      <c r="Q37" s="19">
        <v>930.3</v>
      </c>
    </row>
    <row r="38" spans="1:17">
      <c r="A38" t="s">
        <v>183</v>
      </c>
      <c r="B38" s="23">
        <v>45785</v>
      </c>
      <c r="C38" s="23" t="str">
        <f t="shared" si="0"/>
        <v>May</v>
      </c>
      <c r="D38" s="23" t="str">
        <f t="shared" si="1"/>
        <v>2025</v>
      </c>
      <c r="E38" s="23" t="str">
        <f t="shared" si="2"/>
        <v>Q2</v>
      </c>
      <c r="F38" t="s">
        <v>184</v>
      </c>
      <c r="G38" s="24" t="s">
        <v>58</v>
      </c>
      <c r="H38" s="17">
        <v>2</v>
      </c>
      <c r="I38" s="19">
        <v>534.43</v>
      </c>
      <c r="J38" t="s">
        <v>185</v>
      </c>
      <c r="K38" s="24" t="s">
        <v>18</v>
      </c>
      <c r="L38" s="24" t="s">
        <v>89</v>
      </c>
      <c r="M38" t="s">
        <v>186</v>
      </c>
      <c r="N38" s="17">
        <v>5</v>
      </c>
      <c r="O38" t="s">
        <v>4295</v>
      </c>
      <c r="P38" s="24" t="s">
        <v>45</v>
      </c>
      <c r="Q38" s="19">
        <v>1068.86</v>
      </c>
    </row>
    <row r="39" spans="1:17">
      <c r="A39" t="s">
        <v>187</v>
      </c>
      <c r="B39" s="23">
        <v>45579</v>
      </c>
      <c r="C39" s="23" t="str">
        <f t="shared" si="0"/>
        <v>Oct</v>
      </c>
      <c r="D39" s="23" t="str">
        <f t="shared" si="1"/>
        <v>2024</v>
      </c>
      <c r="E39" s="23" t="str">
        <f t="shared" si="2"/>
        <v>Q4</v>
      </c>
      <c r="F39" t="s">
        <v>188</v>
      </c>
      <c r="G39" s="24" t="s">
        <v>58</v>
      </c>
      <c r="H39" s="17">
        <v>2</v>
      </c>
      <c r="I39" s="19">
        <v>76.74</v>
      </c>
      <c r="J39" t="s">
        <v>189</v>
      </c>
      <c r="K39" s="24" t="s">
        <v>65</v>
      </c>
      <c r="L39" s="24" t="s">
        <v>43</v>
      </c>
      <c r="M39" t="s">
        <v>190</v>
      </c>
      <c r="N39" s="17">
        <v>7</v>
      </c>
      <c r="O39" t="s">
        <v>21</v>
      </c>
      <c r="P39" s="24" t="s">
        <v>22</v>
      </c>
      <c r="Q39" s="19">
        <v>153.48</v>
      </c>
    </row>
    <row r="40" spans="1:17">
      <c r="A40" t="s">
        <v>191</v>
      </c>
      <c r="B40" s="23">
        <v>45645</v>
      </c>
      <c r="C40" s="23" t="str">
        <f t="shared" si="0"/>
        <v>Dec</v>
      </c>
      <c r="D40" s="23" t="str">
        <f t="shared" si="1"/>
        <v>2024</v>
      </c>
      <c r="E40" s="23" t="str">
        <f t="shared" si="2"/>
        <v>Q4</v>
      </c>
      <c r="F40" t="s">
        <v>192</v>
      </c>
      <c r="G40" s="24" t="s">
        <v>58</v>
      </c>
      <c r="H40" s="17">
        <v>1</v>
      </c>
      <c r="I40" s="19">
        <v>245.89</v>
      </c>
      <c r="J40" t="s">
        <v>193</v>
      </c>
      <c r="K40" s="24" t="s">
        <v>18</v>
      </c>
      <c r="L40" s="24" t="s">
        <v>50</v>
      </c>
      <c r="M40" t="s">
        <v>194</v>
      </c>
      <c r="N40" s="17">
        <v>3</v>
      </c>
      <c r="O40" t="s">
        <v>21</v>
      </c>
      <c r="P40" s="24" t="s">
        <v>76</v>
      </c>
      <c r="Q40" s="19">
        <v>245.89</v>
      </c>
    </row>
    <row r="41" spans="1:17">
      <c r="A41" t="s">
        <v>195</v>
      </c>
      <c r="B41" s="23">
        <v>45715</v>
      </c>
      <c r="C41" s="23" t="str">
        <f t="shared" si="0"/>
        <v>Feb</v>
      </c>
      <c r="D41" s="23" t="str">
        <f t="shared" si="1"/>
        <v>2025</v>
      </c>
      <c r="E41" s="23" t="str">
        <f t="shared" si="2"/>
        <v>Q1</v>
      </c>
      <c r="F41" t="s">
        <v>196</v>
      </c>
      <c r="G41" s="24" t="s">
        <v>48</v>
      </c>
      <c r="H41" s="17">
        <v>3</v>
      </c>
      <c r="I41" s="19">
        <v>256.46</v>
      </c>
      <c r="J41" t="s">
        <v>197</v>
      </c>
      <c r="K41" s="24" t="s">
        <v>34</v>
      </c>
      <c r="L41" s="24" t="s">
        <v>50</v>
      </c>
      <c r="M41" t="s">
        <v>198</v>
      </c>
      <c r="N41" s="17">
        <v>4</v>
      </c>
      <c r="O41" t="s">
        <v>21</v>
      </c>
      <c r="P41" s="24" t="s">
        <v>29</v>
      </c>
      <c r="Q41" s="19">
        <v>769.38</v>
      </c>
    </row>
    <row r="42" spans="1:17">
      <c r="A42" t="s">
        <v>199</v>
      </c>
      <c r="B42" s="23">
        <v>45158</v>
      </c>
      <c r="C42" s="23" t="str">
        <f t="shared" si="0"/>
        <v>Aug</v>
      </c>
      <c r="D42" s="23" t="str">
        <f t="shared" si="1"/>
        <v>2023</v>
      </c>
      <c r="E42" s="23" t="str">
        <f t="shared" si="2"/>
        <v>Q3</v>
      </c>
      <c r="F42" t="s">
        <v>200</v>
      </c>
      <c r="G42" s="24" t="s">
        <v>73</v>
      </c>
      <c r="H42" s="17">
        <v>2</v>
      </c>
      <c r="I42" s="19">
        <v>344.02</v>
      </c>
      <c r="J42" t="s">
        <v>201</v>
      </c>
      <c r="K42" s="24" t="s">
        <v>27</v>
      </c>
      <c r="L42" s="24" t="s">
        <v>50</v>
      </c>
      <c r="M42" t="s">
        <v>202</v>
      </c>
      <c r="N42" s="17">
        <v>4</v>
      </c>
      <c r="O42" t="s">
        <v>37</v>
      </c>
      <c r="P42" s="24" t="s">
        <v>22</v>
      </c>
      <c r="Q42" s="19">
        <v>688.04</v>
      </c>
    </row>
    <row r="43" spans="1:17">
      <c r="A43" t="s">
        <v>203</v>
      </c>
      <c r="B43" s="23">
        <v>45265</v>
      </c>
      <c r="C43" s="23" t="str">
        <f t="shared" si="0"/>
        <v>Dec</v>
      </c>
      <c r="D43" s="23" t="str">
        <f t="shared" si="1"/>
        <v>2023</v>
      </c>
      <c r="E43" s="23" t="str">
        <f t="shared" si="2"/>
        <v>Q4</v>
      </c>
      <c r="F43" t="s">
        <v>204</v>
      </c>
      <c r="G43" s="24" t="s">
        <v>16</v>
      </c>
      <c r="H43" s="17">
        <v>3</v>
      </c>
      <c r="I43" s="19">
        <v>611.45</v>
      </c>
      <c r="J43" t="s">
        <v>205</v>
      </c>
      <c r="K43" s="24" t="s">
        <v>60</v>
      </c>
      <c r="L43" s="24" t="s">
        <v>89</v>
      </c>
      <c r="M43" t="s">
        <v>206</v>
      </c>
      <c r="N43" s="17">
        <v>4</v>
      </c>
      <c r="O43" t="s">
        <v>37</v>
      </c>
      <c r="P43" s="24" t="s">
        <v>22</v>
      </c>
      <c r="Q43" s="19">
        <v>1834.35</v>
      </c>
    </row>
    <row r="44" spans="1:17">
      <c r="A44" t="s">
        <v>207</v>
      </c>
      <c r="B44" s="23">
        <v>45418</v>
      </c>
      <c r="C44" s="23" t="str">
        <f t="shared" si="0"/>
        <v>May</v>
      </c>
      <c r="D44" s="23" t="str">
        <f t="shared" si="1"/>
        <v>2024</v>
      </c>
      <c r="E44" s="23" t="str">
        <f t="shared" si="2"/>
        <v>Q2</v>
      </c>
      <c r="F44" t="s">
        <v>208</v>
      </c>
      <c r="G44" s="24" t="s">
        <v>48</v>
      </c>
      <c r="H44" s="17">
        <v>2</v>
      </c>
      <c r="I44" s="19">
        <v>151.66</v>
      </c>
      <c r="J44" t="s">
        <v>97</v>
      </c>
      <c r="K44" s="24" t="s">
        <v>65</v>
      </c>
      <c r="L44" s="24" t="s">
        <v>35</v>
      </c>
      <c r="M44" t="s">
        <v>209</v>
      </c>
      <c r="N44" s="17">
        <v>6</v>
      </c>
      <c r="O44" t="s">
        <v>4295</v>
      </c>
      <c r="P44" s="24" t="s">
        <v>22</v>
      </c>
      <c r="Q44" s="19">
        <v>303.32</v>
      </c>
    </row>
    <row r="45" spans="1:17">
      <c r="A45" t="s">
        <v>210</v>
      </c>
      <c r="B45" s="23">
        <v>45274</v>
      </c>
      <c r="C45" s="23" t="str">
        <f t="shared" si="0"/>
        <v>Dec</v>
      </c>
      <c r="D45" s="23" t="str">
        <f t="shared" si="1"/>
        <v>2023</v>
      </c>
      <c r="E45" s="23" t="str">
        <f t="shared" si="2"/>
        <v>Q4</v>
      </c>
      <c r="F45" t="s">
        <v>211</v>
      </c>
      <c r="G45" s="24" t="s">
        <v>41</v>
      </c>
      <c r="H45" s="17">
        <v>3</v>
      </c>
      <c r="I45" s="19">
        <v>499.21</v>
      </c>
      <c r="J45" t="s">
        <v>212</v>
      </c>
      <c r="K45" s="24" t="s">
        <v>27</v>
      </c>
      <c r="L45" s="24" t="s">
        <v>35</v>
      </c>
      <c r="M45" t="s">
        <v>213</v>
      </c>
      <c r="N45" s="17">
        <v>8</v>
      </c>
      <c r="O45" t="s">
        <v>4295</v>
      </c>
      <c r="P45" s="24" t="s">
        <v>22</v>
      </c>
      <c r="Q45" s="19">
        <v>1497.63</v>
      </c>
    </row>
    <row r="46" spans="1:17">
      <c r="A46" t="s">
        <v>214</v>
      </c>
      <c r="B46" s="23">
        <v>45768</v>
      </c>
      <c r="C46" s="23" t="str">
        <f t="shared" si="0"/>
        <v>Apr</v>
      </c>
      <c r="D46" s="23" t="str">
        <f t="shared" si="1"/>
        <v>2025</v>
      </c>
      <c r="E46" s="23" t="str">
        <f t="shared" si="2"/>
        <v>Q2</v>
      </c>
      <c r="F46" t="s">
        <v>215</v>
      </c>
      <c r="G46" s="24" t="s">
        <v>25</v>
      </c>
      <c r="H46" s="17">
        <v>2</v>
      </c>
      <c r="I46" s="19">
        <v>550.18</v>
      </c>
      <c r="J46" t="s">
        <v>165</v>
      </c>
      <c r="K46" s="24" t="s">
        <v>60</v>
      </c>
      <c r="L46" s="24" t="s">
        <v>43</v>
      </c>
      <c r="M46" t="s">
        <v>216</v>
      </c>
      <c r="N46" s="17">
        <v>3</v>
      </c>
      <c r="O46" t="s">
        <v>37</v>
      </c>
      <c r="P46" s="24" t="s">
        <v>29</v>
      </c>
      <c r="Q46" s="19">
        <v>1100.36</v>
      </c>
    </row>
    <row r="47" spans="1:17">
      <c r="A47" t="s">
        <v>217</v>
      </c>
      <c r="B47" s="23">
        <v>45332</v>
      </c>
      <c r="C47" s="23" t="str">
        <f t="shared" si="0"/>
        <v>Feb</v>
      </c>
      <c r="D47" s="23" t="str">
        <f t="shared" si="1"/>
        <v>2024</v>
      </c>
      <c r="E47" s="23" t="str">
        <f t="shared" si="2"/>
        <v>Q1</v>
      </c>
      <c r="F47" t="s">
        <v>218</v>
      </c>
      <c r="G47" s="24" t="s">
        <v>41</v>
      </c>
      <c r="H47" s="17">
        <v>1</v>
      </c>
      <c r="I47" s="19">
        <v>317.25</v>
      </c>
      <c r="J47" t="s">
        <v>219</v>
      </c>
      <c r="K47" s="24" t="s">
        <v>18</v>
      </c>
      <c r="L47" s="24" t="s">
        <v>43</v>
      </c>
      <c r="M47" t="s">
        <v>220</v>
      </c>
      <c r="N47" s="17">
        <v>1</v>
      </c>
      <c r="O47" t="s">
        <v>21</v>
      </c>
      <c r="P47" s="24" t="s">
        <v>45</v>
      </c>
      <c r="Q47" s="19">
        <v>317.25</v>
      </c>
    </row>
    <row r="48" spans="1:17">
      <c r="A48" t="s">
        <v>221</v>
      </c>
      <c r="B48" s="23">
        <v>45469</v>
      </c>
      <c r="C48" s="23" t="str">
        <f t="shared" si="0"/>
        <v>Jun</v>
      </c>
      <c r="D48" s="23" t="str">
        <f t="shared" si="1"/>
        <v>2024</v>
      </c>
      <c r="E48" s="23" t="str">
        <f t="shared" si="2"/>
        <v>Q2</v>
      </c>
      <c r="F48" t="s">
        <v>222</v>
      </c>
      <c r="G48" s="24" t="s">
        <v>16</v>
      </c>
      <c r="H48" s="17">
        <v>4</v>
      </c>
      <c r="I48" s="19">
        <v>550.14</v>
      </c>
      <c r="J48" t="s">
        <v>223</v>
      </c>
      <c r="K48" s="24" t="s">
        <v>18</v>
      </c>
      <c r="L48" s="24" t="s">
        <v>89</v>
      </c>
      <c r="M48" t="s">
        <v>224</v>
      </c>
      <c r="N48" s="17">
        <v>4</v>
      </c>
      <c r="O48" t="s">
        <v>37</v>
      </c>
      <c r="P48" s="24" t="s">
        <v>22</v>
      </c>
      <c r="Q48" s="19">
        <v>2200.56</v>
      </c>
    </row>
    <row r="49" spans="1:17">
      <c r="A49" t="s">
        <v>225</v>
      </c>
      <c r="B49" s="23">
        <v>45126</v>
      </c>
      <c r="C49" s="23" t="str">
        <f t="shared" si="0"/>
        <v>Jul</v>
      </c>
      <c r="D49" s="23" t="str">
        <f t="shared" si="1"/>
        <v>2023</v>
      </c>
      <c r="E49" s="23" t="str">
        <f t="shared" si="2"/>
        <v>Q3</v>
      </c>
      <c r="F49" t="s">
        <v>226</v>
      </c>
      <c r="G49" s="24" t="s">
        <v>73</v>
      </c>
      <c r="H49" s="17">
        <v>2</v>
      </c>
      <c r="I49" s="19">
        <v>209.94</v>
      </c>
      <c r="J49" t="s">
        <v>227</v>
      </c>
      <c r="K49" s="24" t="s">
        <v>34</v>
      </c>
      <c r="L49" s="24" t="s">
        <v>43</v>
      </c>
      <c r="M49" t="s">
        <v>228</v>
      </c>
      <c r="N49" s="17">
        <v>3</v>
      </c>
      <c r="O49" t="s">
        <v>37</v>
      </c>
      <c r="P49" s="24" t="s">
        <v>38</v>
      </c>
      <c r="Q49" s="19">
        <v>419.88</v>
      </c>
    </row>
    <row r="50" spans="1:17">
      <c r="A50" t="s">
        <v>229</v>
      </c>
      <c r="B50" s="23">
        <v>45164</v>
      </c>
      <c r="C50" s="23" t="str">
        <f t="shared" si="0"/>
        <v>Aug</v>
      </c>
      <c r="D50" s="23" t="str">
        <f t="shared" si="1"/>
        <v>2023</v>
      </c>
      <c r="E50" s="23" t="str">
        <f t="shared" si="2"/>
        <v>Q3</v>
      </c>
      <c r="F50" t="s">
        <v>230</v>
      </c>
      <c r="G50" s="24" t="s">
        <v>16</v>
      </c>
      <c r="H50" s="17">
        <v>2</v>
      </c>
      <c r="I50" s="19">
        <v>80.77</v>
      </c>
      <c r="J50" t="s">
        <v>231</v>
      </c>
      <c r="K50" s="24" t="s">
        <v>18</v>
      </c>
      <c r="L50" s="24" t="s">
        <v>19</v>
      </c>
      <c r="M50" t="s">
        <v>232</v>
      </c>
      <c r="N50" s="17">
        <v>4</v>
      </c>
      <c r="O50" t="s">
        <v>4295</v>
      </c>
      <c r="P50" s="24" t="s">
        <v>76</v>
      </c>
      <c r="Q50" s="19">
        <v>161.54</v>
      </c>
    </row>
    <row r="51" spans="1:17">
      <c r="A51" t="s">
        <v>233</v>
      </c>
      <c r="B51" s="23">
        <v>45206</v>
      </c>
      <c r="C51" s="23" t="str">
        <f t="shared" si="0"/>
        <v>Oct</v>
      </c>
      <c r="D51" s="23" t="str">
        <f t="shared" si="1"/>
        <v>2023</v>
      </c>
      <c r="E51" s="23" t="str">
        <f t="shared" si="2"/>
        <v>Q4</v>
      </c>
      <c r="F51" t="s">
        <v>234</v>
      </c>
      <c r="G51" s="24" t="s">
        <v>48</v>
      </c>
      <c r="H51" s="17">
        <v>1</v>
      </c>
      <c r="I51" s="19">
        <v>30.44</v>
      </c>
      <c r="J51" t="s">
        <v>129</v>
      </c>
      <c r="K51" s="24" t="s">
        <v>34</v>
      </c>
      <c r="L51" s="24" t="s">
        <v>19</v>
      </c>
      <c r="M51" t="s">
        <v>235</v>
      </c>
      <c r="N51" s="17">
        <v>1</v>
      </c>
      <c r="O51" t="s">
        <v>21</v>
      </c>
      <c r="P51" s="24" t="s">
        <v>38</v>
      </c>
      <c r="Q51" s="19">
        <v>30.44</v>
      </c>
    </row>
    <row r="52" spans="1:17">
      <c r="A52" t="s">
        <v>236</v>
      </c>
      <c r="B52" s="23">
        <v>45138</v>
      </c>
      <c r="C52" s="23" t="str">
        <f t="shared" si="0"/>
        <v>Jul</v>
      </c>
      <c r="D52" s="23" t="str">
        <f t="shared" si="1"/>
        <v>2023</v>
      </c>
      <c r="E52" s="23" t="str">
        <f t="shared" si="2"/>
        <v>Q3</v>
      </c>
      <c r="F52" t="s">
        <v>237</v>
      </c>
      <c r="G52" s="24" t="s">
        <v>32</v>
      </c>
      <c r="H52" s="17">
        <v>1</v>
      </c>
      <c r="I52" s="19">
        <v>179.22</v>
      </c>
      <c r="J52" t="s">
        <v>238</v>
      </c>
      <c r="K52" s="24" t="s">
        <v>27</v>
      </c>
      <c r="L52" s="24" t="s">
        <v>35</v>
      </c>
      <c r="M52" t="s">
        <v>239</v>
      </c>
      <c r="N52" s="17">
        <v>6</v>
      </c>
      <c r="O52" t="s">
        <v>37</v>
      </c>
      <c r="P52" s="24" t="s">
        <v>22</v>
      </c>
      <c r="Q52" s="19">
        <v>179.22</v>
      </c>
    </row>
    <row r="53" spans="1:17">
      <c r="A53" t="s">
        <v>240</v>
      </c>
      <c r="B53" s="23">
        <v>45656</v>
      </c>
      <c r="C53" s="23" t="str">
        <f t="shared" si="0"/>
        <v>Dec</v>
      </c>
      <c r="D53" s="23" t="str">
        <f t="shared" si="1"/>
        <v>2024</v>
      </c>
      <c r="E53" s="23" t="str">
        <f t="shared" si="2"/>
        <v>Q4</v>
      </c>
      <c r="F53" t="s">
        <v>241</v>
      </c>
      <c r="G53" s="24" t="s">
        <v>32</v>
      </c>
      <c r="H53" s="17">
        <v>1</v>
      </c>
      <c r="I53" s="19">
        <v>388.33</v>
      </c>
      <c r="J53" t="s">
        <v>242</v>
      </c>
      <c r="K53" s="24" t="s">
        <v>65</v>
      </c>
      <c r="L53" s="24" t="s">
        <v>43</v>
      </c>
      <c r="M53" t="s">
        <v>243</v>
      </c>
      <c r="N53" s="17">
        <v>2</v>
      </c>
      <c r="O53" t="s">
        <v>21</v>
      </c>
      <c r="P53" s="24" t="s">
        <v>45</v>
      </c>
      <c r="Q53" s="19">
        <v>388.33</v>
      </c>
    </row>
    <row r="54" spans="1:17">
      <c r="A54" t="s">
        <v>244</v>
      </c>
      <c r="B54" s="23">
        <v>45543</v>
      </c>
      <c r="C54" s="23" t="str">
        <f t="shared" si="0"/>
        <v>Sep</v>
      </c>
      <c r="D54" s="23" t="str">
        <f t="shared" si="1"/>
        <v>2024</v>
      </c>
      <c r="E54" s="23" t="str">
        <f t="shared" si="2"/>
        <v>Q3</v>
      </c>
      <c r="F54" t="s">
        <v>245</v>
      </c>
      <c r="G54" s="24" t="s">
        <v>32</v>
      </c>
      <c r="H54" s="17">
        <v>1</v>
      </c>
      <c r="I54" s="19">
        <v>586.44</v>
      </c>
      <c r="J54" t="s">
        <v>246</v>
      </c>
      <c r="K54" s="24" t="s">
        <v>27</v>
      </c>
      <c r="L54" s="24" t="s">
        <v>43</v>
      </c>
      <c r="M54" t="s">
        <v>247</v>
      </c>
      <c r="N54" s="17">
        <v>5</v>
      </c>
      <c r="O54" t="s">
        <v>21</v>
      </c>
      <c r="P54" s="24" t="s">
        <v>45</v>
      </c>
      <c r="Q54" s="19">
        <v>586.44</v>
      </c>
    </row>
    <row r="55" spans="1:17">
      <c r="A55" t="s">
        <v>248</v>
      </c>
      <c r="B55" s="23">
        <v>45430</v>
      </c>
      <c r="C55" s="23" t="str">
        <f t="shared" si="0"/>
        <v>May</v>
      </c>
      <c r="D55" s="23" t="str">
        <f t="shared" si="1"/>
        <v>2024</v>
      </c>
      <c r="E55" s="23" t="str">
        <f t="shared" si="2"/>
        <v>Q2</v>
      </c>
      <c r="F55" t="s">
        <v>249</v>
      </c>
      <c r="G55" s="24" t="s">
        <v>25</v>
      </c>
      <c r="H55" s="17">
        <v>4</v>
      </c>
      <c r="I55" s="19">
        <v>488.78</v>
      </c>
      <c r="J55" t="s">
        <v>33</v>
      </c>
      <c r="K55" s="24" t="s">
        <v>27</v>
      </c>
      <c r="L55" s="24" t="s">
        <v>43</v>
      </c>
      <c r="M55" t="s">
        <v>250</v>
      </c>
      <c r="N55" s="17">
        <v>5</v>
      </c>
      <c r="O55" t="s">
        <v>37</v>
      </c>
      <c r="P55" s="24" t="s">
        <v>76</v>
      </c>
      <c r="Q55" s="19">
        <v>1955.12</v>
      </c>
    </row>
    <row r="56" spans="1:17">
      <c r="A56" t="s">
        <v>251</v>
      </c>
      <c r="B56" s="23">
        <v>45743</v>
      </c>
      <c r="C56" s="23" t="str">
        <f t="shared" si="0"/>
        <v>Mar</v>
      </c>
      <c r="D56" s="23" t="str">
        <f t="shared" si="1"/>
        <v>2025</v>
      </c>
      <c r="E56" s="23" t="str">
        <f t="shared" si="2"/>
        <v>Q1</v>
      </c>
      <c r="F56" t="s">
        <v>252</v>
      </c>
      <c r="G56" s="24" t="s">
        <v>41</v>
      </c>
      <c r="H56" s="17">
        <v>1</v>
      </c>
      <c r="I56" s="19">
        <v>280.25</v>
      </c>
      <c r="J56" t="s">
        <v>253</v>
      </c>
      <c r="K56" s="24" t="s">
        <v>27</v>
      </c>
      <c r="L56" s="24" t="s">
        <v>89</v>
      </c>
      <c r="M56" t="s">
        <v>254</v>
      </c>
      <c r="N56" s="17">
        <v>5</v>
      </c>
      <c r="O56" t="s">
        <v>81</v>
      </c>
      <c r="P56" s="24" t="s">
        <v>38</v>
      </c>
      <c r="Q56" s="19">
        <v>280.25</v>
      </c>
    </row>
    <row r="57" spans="1:17">
      <c r="A57" t="s">
        <v>255</v>
      </c>
      <c r="B57" s="23">
        <v>45832</v>
      </c>
      <c r="C57" s="23" t="str">
        <f t="shared" si="0"/>
        <v>Jun</v>
      </c>
      <c r="D57" s="23" t="str">
        <f t="shared" si="1"/>
        <v>2025</v>
      </c>
      <c r="E57" s="23" t="str">
        <f t="shared" si="2"/>
        <v>Q2</v>
      </c>
      <c r="F57" t="s">
        <v>256</v>
      </c>
      <c r="G57" s="24" t="s">
        <v>48</v>
      </c>
      <c r="H57" s="17">
        <v>3</v>
      </c>
      <c r="I57" s="19">
        <v>344.4</v>
      </c>
      <c r="J57" t="s">
        <v>257</v>
      </c>
      <c r="K57" s="24" t="s">
        <v>27</v>
      </c>
      <c r="L57" s="24" t="s">
        <v>35</v>
      </c>
      <c r="M57" t="s">
        <v>258</v>
      </c>
      <c r="N57" s="17">
        <v>3</v>
      </c>
      <c r="O57" t="s">
        <v>4295</v>
      </c>
      <c r="P57" s="24" t="s">
        <v>45</v>
      </c>
      <c r="Q57" s="19">
        <v>1033.2</v>
      </c>
    </row>
    <row r="58" spans="1:17">
      <c r="A58" t="s">
        <v>259</v>
      </c>
      <c r="B58" s="23">
        <v>45067</v>
      </c>
      <c r="C58" s="23" t="str">
        <f t="shared" si="0"/>
        <v>May</v>
      </c>
      <c r="D58" s="23" t="str">
        <f t="shared" si="1"/>
        <v>2023</v>
      </c>
      <c r="E58" s="23" t="str">
        <f t="shared" si="2"/>
        <v>Q2</v>
      </c>
      <c r="F58" t="s">
        <v>260</v>
      </c>
      <c r="G58" s="24" t="s">
        <v>32</v>
      </c>
      <c r="H58" s="17">
        <v>3</v>
      </c>
      <c r="I58" s="19">
        <v>479.21</v>
      </c>
      <c r="J58" t="s">
        <v>261</v>
      </c>
      <c r="K58" s="24" t="s">
        <v>65</v>
      </c>
      <c r="L58" s="24" t="s">
        <v>35</v>
      </c>
      <c r="M58" t="s">
        <v>262</v>
      </c>
      <c r="N58" s="17">
        <v>5</v>
      </c>
      <c r="O58" t="s">
        <v>81</v>
      </c>
      <c r="P58" s="24" t="s">
        <v>29</v>
      </c>
      <c r="Q58" s="19">
        <v>1437.63</v>
      </c>
    </row>
    <row r="59" spans="1:17">
      <c r="A59" t="s">
        <v>263</v>
      </c>
      <c r="B59" s="23">
        <v>44948</v>
      </c>
      <c r="C59" s="23" t="str">
        <f t="shared" si="0"/>
        <v>Jan</v>
      </c>
      <c r="D59" s="23" t="str">
        <f t="shared" si="1"/>
        <v>2023</v>
      </c>
      <c r="E59" s="23" t="str">
        <f t="shared" si="2"/>
        <v>Q1</v>
      </c>
      <c r="F59" t="s">
        <v>264</v>
      </c>
      <c r="G59" s="24" t="s">
        <v>48</v>
      </c>
      <c r="H59" s="17">
        <v>5</v>
      </c>
      <c r="I59" s="19">
        <v>314.27</v>
      </c>
      <c r="J59" t="s">
        <v>265</v>
      </c>
      <c r="K59" s="24" t="s">
        <v>65</v>
      </c>
      <c r="L59" s="24" t="s">
        <v>43</v>
      </c>
      <c r="M59" t="s">
        <v>266</v>
      </c>
      <c r="N59" s="17">
        <v>6</v>
      </c>
      <c r="O59" t="s">
        <v>21</v>
      </c>
      <c r="P59" s="24" t="s">
        <v>22</v>
      </c>
      <c r="Q59" s="19">
        <v>1571.35</v>
      </c>
    </row>
    <row r="60" spans="1:17">
      <c r="A60" t="s">
        <v>267</v>
      </c>
      <c r="B60" s="23">
        <v>44941</v>
      </c>
      <c r="C60" s="23" t="str">
        <f t="shared" si="0"/>
        <v>Jan</v>
      </c>
      <c r="D60" s="23" t="str">
        <f t="shared" si="1"/>
        <v>2023</v>
      </c>
      <c r="E60" s="23" t="str">
        <f t="shared" si="2"/>
        <v>Q1</v>
      </c>
      <c r="F60" t="s">
        <v>268</v>
      </c>
      <c r="G60" s="24" t="s">
        <v>25</v>
      </c>
      <c r="H60" s="17">
        <v>4</v>
      </c>
      <c r="I60" s="19">
        <v>474.69</v>
      </c>
      <c r="J60" t="s">
        <v>269</v>
      </c>
      <c r="K60" s="24" t="s">
        <v>60</v>
      </c>
      <c r="L60" s="24" t="s">
        <v>35</v>
      </c>
      <c r="M60" t="s">
        <v>270</v>
      </c>
      <c r="N60" s="17">
        <v>6</v>
      </c>
      <c r="O60" t="s">
        <v>21</v>
      </c>
      <c r="P60" s="24" t="s">
        <v>76</v>
      </c>
      <c r="Q60" s="19">
        <v>1898.76</v>
      </c>
    </row>
    <row r="61" spans="1:17">
      <c r="A61" t="s">
        <v>271</v>
      </c>
      <c r="B61" s="23">
        <v>45546</v>
      </c>
      <c r="C61" s="23" t="str">
        <f t="shared" si="0"/>
        <v>Sep</v>
      </c>
      <c r="D61" s="23" t="str">
        <f t="shared" si="1"/>
        <v>2024</v>
      </c>
      <c r="E61" s="23" t="str">
        <f t="shared" si="2"/>
        <v>Q3</v>
      </c>
      <c r="F61" t="s">
        <v>272</v>
      </c>
      <c r="G61" s="24" t="s">
        <v>41</v>
      </c>
      <c r="H61" s="17">
        <v>4</v>
      </c>
      <c r="I61" s="19">
        <v>593.27</v>
      </c>
      <c r="J61" t="s">
        <v>273</v>
      </c>
      <c r="K61" s="24" t="s">
        <v>27</v>
      </c>
      <c r="L61" s="24" t="s">
        <v>19</v>
      </c>
      <c r="M61" t="s">
        <v>274</v>
      </c>
      <c r="N61" s="17">
        <v>5</v>
      </c>
      <c r="O61" t="s">
        <v>4295</v>
      </c>
      <c r="P61" s="24" t="s">
        <v>45</v>
      </c>
      <c r="Q61" s="19">
        <v>2373.08</v>
      </c>
    </row>
    <row r="62" spans="1:17">
      <c r="A62" t="s">
        <v>275</v>
      </c>
      <c r="B62" s="23">
        <v>45525</v>
      </c>
      <c r="C62" s="23" t="str">
        <f t="shared" si="0"/>
        <v>Aug</v>
      </c>
      <c r="D62" s="23" t="str">
        <f t="shared" si="1"/>
        <v>2024</v>
      </c>
      <c r="E62" s="23" t="str">
        <f t="shared" si="2"/>
        <v>Q3</v>
      </c>
      <c r="F62" t="s">
        <v>276</v>
      </c>
      <c r="G62" s="24" t="s">
        <v>73</v>
      </c>
      <c r="H62" s="17">
        <v>1</v>
      </c>
      <c r="I62" s="19">
        <v>417.1</v>
      </c>
      <c r="J62" t="s">
        <v>277</v>
      </c>
      <c r="K62" s="24" t="s">
        <v>18</v>
      </c>
      <c r="L62" s="24" t="s">
        <v>43</v>
      </c>
      <c r="M62" t="s">
        <v>278</v>
      </c>
      <c r="N62" s="17">
        <v>3</v>
      </c>
      <c r="O62" t="s">
        <v>37</v>
      </c>
      <c r="P62" s="24" t="s">
        <v>29</v>
      </c>
      <c r="Q62" s="19">
        <v>417.1</v>
      </c>
    </row>
    <row r="63" spans="1:17">
      <c r="A63" t="s">
        <v>279</v>
      </c>
      <c r="B63" s="23">
        <v>45375</v>
      </c>
      <c r="C63" s="23" t="str">
        <f t="shared" si="0"/>
        <v>Mar</v>
      </c>
      <c r="D63" s="23" t="str">
        <f t="shared" si="1"/>
        <v>2024</v>
      </c>
      <c r="E63" s="23" t="str">
        <f t="shared" si="2"/>
        <v>Q1</v>
      </c>
      <c r="F63" t="s">
        <v>280</v>
      </c>
      <c r="G63" s="24" t="s">
        <v>73</v>
      </c>
      <c r="H63" s="17">
        <v>4</v>
      </c>
      <c r="I63" s="19">
        <v>122.2</v>
      </c>
      <c r="J63" t="s">
        <v>281</v>
      </c>
      <c r="K63" s="24" t="s">
        <v>65</v>
      </c>
      <c r="L63" s="24" t="s">
        <v>50</v>
      </c>
      <c r="M63" t="s">
        <v>282</v>
      </c>
      <c r="N63" s="17">
        <v>7</v>
      </c>
      <c r="O63" t="s">
        <v>37</v>
      </c>
      <c r="P63" s="24" t="s">
        <v>45</v>
      </c>
      <c r="Q63" s="19">
        <v>488.8</v>
      </c>
    </row>
    <row r="64" spans="1:17">
      <c r="A64" t="s">
        <v>283</v>
      </c>
      <c r="B64" s="23">
        <v>45160</v>
      </c>
      <c r="C64" s="23" t="str">
        <f t="shared" si="0"/>
        <v>Aug</v>
      </c>
      <c r="D64" s="23" t="str">
        <f t="shared" si="1"/>
        <v>2023</v>
      </c>
      <c r="E64" s="23" t="str">
        <f t="shared" si="2"/>
        <v>Q3</v>
      </c>
      <c r="F64" t="s">
        <v>284</v>
      </c>
      <c r="G64" s="24" t="s">
        <v>73</v>
      </c>
      <c r="H64" s="17">
        <v>2</v>
      </c>
      <c r="I64" s="19">
        <v>43.15</v>
      </c>
      <c r="J64" t="s">
        <v>285</v>
      </c>
      <c r="K64" s="24" t="s">
        <v>18</v>
      </c>
      <c r="L64" s="24" t="s">
        <v>89</v>
      </c>
      <c r="M64" t="s">
        <v>286</v>
      </c>
      <c r="N64" s="17">
        <v>3</v>
      </c>
      <c r="O64" t="s">
        <v>81</v>
      </c>
      <c r="P64" s="24" t="s">
        <v>38</v>
      </c>
      <c r="Q64" s="19">
        <v>86.3</v>
      </c>
    </row>
    <row r="65" spans="1:17">
      <c r="A65" t="s">
        <v>287</v>
      </c>
      <c r="B65" s="23">
        <v>45690</v>
      </c>
      <c r="C65" s="23" t="str">
        <f t="shared" si="0"/>
        <v>Feb</v>
      </c>
      <c r="D65" s="23" t="str">
        <f t="shared" si="1"/>
        <v>2025</v>
      </c>
      <c r="E65" s="23" t="str">
        <f t="shared" si="2"/>
        <v>Q1</v>
      </c>
      <c r="F65" t="s">
        <v>288</v>
      </c>
      <c r="G65" s="24" t="s">
        <v>41</v>
      </c>
      <c r="H65" s="17">
        <v>1</v>
      </c>
      <c r="I65" s="19">
        <v>564.86</v>
      </c>
      <c r="J65" t="s">
        <v>289</v>
      </c>
      <c r="K65" s="24" t="s">
        <v>18</v>
      </c>
      <c r="L65" s="24" t="s">
        <v>19</v>
      </c>
      <c r="M65" t="s">
        <v>290</v>
      </c>
      <c r="N65" s="17">
        <v>6</v>
      </c>
      <c r="O65" t="s">
        <v>81</v>
      </c>
      <c r="P65" s="24" t="s">
        <v>29</v>
      </c>
      <c r="Q65" s="19">
        <v>564.86</v>
      </c>
    </row>
    <row r="66" spans="1:17">
      <c r="A66" t="s">
        <v>291</v>
      </c>
      <c r="B66" s="23">
        <v>45833</v>
      </c>
      <c r="C66" s="23" t="str">
        <f t="shared" ref="C66:C129" si="3">TEXT(B66,"MMM")</f>
        <v>Jun</v>
      </c>
      <c r="D66" s="23" t="str">
        <f t="shared" ref="D66:D129" si="4">TEXT(B66,"YYYY")</f>
        <v>2025</v>
      </c>
      <c r="E66" s="23" t="str">
        <f t="shared" ref="E66:E129" si="5">"Q"&amp;ROUNDUP(MONTH(B66)/3,0)</f>
        <v>Q2</v>
      </c>
      <c r="F66" t="s">
        <v>292</v>
      </c>
      <c r="G66" s="24" t="s">
        <v>48</v>
      </c>
      <c r="H66" s="17">
        <v>3</v>
      </c>
      <c r="I66" s="19">
        <v>130.61</v>
      </c>
      <c r="J66" t="s">
        <v>293</v>
      </c>
      <c r="K66" s="24" t="s">
        <v>18</v>
      </c>
      <c r="L66" s="24" t="s">
        <v>35</v>
      </c>
      <c r="M66" t="s">
        <v>294</v>
      </c>
      <c r="N66" s="17">
        <v>4</v>
      </c>
      <c r="O66" t="s">
        <v>37</v>
      </c>
      <c r="P66" s="24" t="s">
        <v>45</v>
      </c>
      <c r="Q66" s="19">
        <v>391.83</v>
      </c>
    </row>
    <row r="67" spans="1:17">
      <c r="A67" t="s">
        <v>295</v>
      </c>
      <c r="B67" s="23">
        <v>45290</v>
      </c>
      <c r="C67" s="23" t="str">
        <f t="shared" si="3"/>
        <v>Dec</v>
      </c>
      <c r="D67" s="23" t="str">
        <f t="shared" si="4"/>
        <v>2023</v>
      </c>
      <c r="E67" s="23" t="str">
        <f t="shared" si="5"/>
        <v>Q4</v>
      </c>
      <c r="F67" t="s">
        <v>296</v>
      </c>
      <c r="G67" s="24" t="s">
        <v>16</v>
      </c>
      <c r="H67" s="17">
        <v>5</v>
      </c>
      <c r="I67" s="19">
        <v>81.7</v>
      </c>
      <c r="J67" t="s">
        <v>297</v>
      </c>
      <c r="K67" s="24" t="s">
        <v>34</v>
      </c>
      <c r="L67" s="24" t="s">
        <v>50</v>
      </c>
      <c r="M67" t="s">
        <v>298</v>
      </c>
      <c r="N67" s="17">
        <v>6</v>
      </c>
      <c r="O67" t="s">
        <v>4295</v>
      </c>
      <c r="P67" s="24" t="s">
        <v>22</v>
      </c>
      <c r="Q67" s="19">
        <v>408.5</v>
      </c>
    </row>
    <row r="68" spans="1:17">
      <c r="A68" t="s">
        <v>299</v>
      </c>
      <c r="B68" s="23">
        <v>45611</v>
      </c>
      <c r="C68" s="23" t="str">
        <f t="shared" si="3"/>
        <v>Nov</v>
      </c>
      <c r="D68" s="23" t="str">
        <f t="shared" si="4"/>
        <v>2024</v>
      </c>
      <c r="E68" s="23" t="str">
        <f t="shared" si="5"/>
        <v>Q4</v>
      </c>
      <c r="F68" t="s">
        <v>300</v>
      </c>
      <c r="G68" s="24" t="s">
        <v>41</v>
      </c>
      <c r="H68" s="17">
        <v>5</v>
      </c>
      <c r="I68" s="19">
        <v>127.18</v>
      </c>
      <c r="J68" t="s">
        <v>301</v>
      </c>
      <c r="K68" s="24" t="s">
        <v>65</v>
      </c>
      <c r="L68" s="24" t="s">
        <v>35</v>
      </c>
      <c r="M68" t="s">
        <v>302</v>
      </c>
      <c r="N68" s="17">
        <v>9</v>
      </c>
      <c r="O68" t="s">
        <v>21</v>
      </c>
      <c r="P68" s="24" t="s">
        <v>29</v>
      </c>
      <c r="Q68" s="19">
        <v>635.9</v>
      </c>
    </row>
    <row r="69" spans="1:17">
      <c r="A69" t="s">
        <v>303</v>
      </c>
      <c r="B69" s="23">
        <v>45635</v>
      </c>
      <c r="C69" s="23" t="str">
        <f t="shared" si="3"/>
        <v>Dec</v>
      </c>
      <c r="D69" s="23" t="str">
        <f t="shared" si="4"/>
        <v>2024</v>
      </c>
      <c r="E69" s="23" t="str">
        <f t="shared" si="5"/>
        <v>Q4</v>
      </c>
      <c r="F69" t="s">
        <v>304</v>
      </c>
      <c r="G69" s="24" t="s">
        <v>48</v>
      </c>
      <c r="H69" s="17">
        <v>4</v>
      </c>
      <c r="I69" s="19">
        <v>12.1</v>
      </c>
      <c r="J69" t="s">
        <v>305</v>
      </c>
      <c r="K69" s="24" t="s">
        <v>18</v>
      </c>
      <c r="L69" s="24" t="s">
        <v>35</v>
      </c>
      <c r="M69" t="s">
        <v>306</v>
      </c>
      <c r="N69" s="17">
        <v>8</v>
      </c>
      <c r="O69" t="s">
        <v>4295</v>
      </c>
      <c r="P69" s="24" t="s">
        <v>76</v>
      </c>
      <c r="Q69" s="19">
        <v>48.4</v>
      </c>
    </row>
    <row r="70" spans="1:17">
      <c r="A70" t="s">
        <v>307</v>
      </c>
      <c r="B70" s="23">
        <v>45271</v>
      </c>
      <c r="C70" s="23" t="str">
        <f t="shared" si="3"/>
        <v>Dec</v>
      </c>
      <c r="D70" s="23" t="str">
        <f t="shared" si="4"/>
        <v>2023</v>
      </c>
      <c r="E70" s="23" t="str">
        <f t="shared" si="5"/>
        <v>Q4</v>
      </c>
      <c r="F70" t="s">
        <v>308</v>
      </c>
      <c r="G70" s="24" t="s">
        <v>41</v>
      </c>
      <c r="H70" s="17">
        <v>3</v>
      </c>
      <c r="I70" s="19">
        <v>490.92</v>
      </c>
      <c r="J70" t="s">
        <v>141</v>
      </c>
      <c r="K70" s="24" t="s">
        <v>34</v>
      </c>
      <c r="L70" s="24" t="s">
        <v>89</v>
      </c>
      <c r="M70" t="s">
        <v>309</v>
      </c>
      <c r="N70" s="17">
        <v>5</v>
      </c>
      <c r="O70" t="s">
        <v>37</v>
      </c>
      <c r="P70" s="24" t="s">
        <v>38</v>
      </c>
      <c r="Q70" s="19">
        <v>1472.76</v>
      </c>
    </row>
    <row r="71" spans="1:17">
      <c r="A71" t="s">
        <v>310</v>
      </c>
      <c r="B71" s="23">
        <v>45057</v>
      </c>
      <c r="C71" s="23" t="str">
        <f t="shared" si="3"/>
        <v>May</v>
      </c>
      <c r="D71" s="23" t="str">
        <f t="shared" si="4"/>
        <v>2023</v>
      </c>
      <c r="E71" s="23" t="str">
        <f t="shared" si="5"/>
        <v>Q2</v>
      </c>
      <c r="F71" t="s">
        <v>311</v>
      </c>
      <c r="G71" s="24" t="s">
        <v>16</v>
      </c>
      <c r="H71" s="17">
        <v>3</v>
      </c>
      <c r="I71" s="19">
        <v>478.65</v>
      </c>
      <c r="J71" t="s">
        <v>312</v>
      </c>
      <c r="K71" s="24" t="s">
        <v>27</v>
      </c>
      <c r="L71" s="24" t="s">
        <v>19</v>
      </c>
      <c r="M71" t="s">
        <v>313</v>
      </c>
      <c r="N71" s="17">
        <v>4</v>
      </c>
      <c r="O71" t="s">
        <v>4295</v>
      </c>
      <c r="P71" s="24" t="s">
        <v>29</v>
      </c>
      <c r="Q71" s="19">
        <v>1435.95</v>
      </c>
    </row>
    <row r="72" spans="1:17">
      <c r="A72" t="s">
        <v>314</v>
      </c>
      <c r="B72" s="23">
        <v>45072</v>
      </c>
      <c r="C72" s="23" t="str">
        <f t="shared" si="3"/>
        <v>May</v>
      </c>
      <c r="D72" s="23" t="str">
        <f t="shared" si="4"/>
        <v>2023</v>
      </c>
      <c r="E72" s="23" t="str">
        <f t="shared" si="5"/>
        <v>Q2</v>
      </c>
      <c r="F72" t="s">
        <v>315</v>
      </c>
      <c r="G72" s="24" t="s">
        <v>73</v>
      </c>
      <c r="H72" s="17">
        <v>1</v>
      </c>
      <c r="I72" s="19">
        <v>629.21</v>
      </c>
      <c r="J72" t="s">
        <v>316</v>
      </c>
      <c r="K72" s="24" t="s">
        <v>60</v>
      </c>
      <c r="L72" s="24" t="s">
        <v>89</v>
      </c>
      <c r="M72" t="s">
        <v>317</v>
      </c>
      <c r="N72" s="17">
        <v>2</v>
      </c>
      <c r="O72" t="s">
        <v>37</v>
      </c>
      <c r="P72" s="24" t="s">
        <v>22</v>
      </c>
      <c r="Q72" s="19">
        <v>629.21</v>
      </c>
    </row>
    <row r="73" spans="1:17">
      <c r="A73" t="s">
        <v>318</v>
      </c>
      <c r="B73" s="23">
        <v>45818</v>
      </c>
      <c r="C73" s="23" t="str">
        <f t="shared" si="3"/>
        <v>Jun</v>
      </c>
      <c r="D73" s="23" t="str">
        <f t="shared" si="4"/>
        <v>2025</v>
      </c>
      <c r="E73" s="23" t="str">
        <f t="shared" si="5"/>
        <v>Q2</v>
      </c>
      <c r="F73" t="s">
        <v>319</v>
      </c>
      <c r="G73" s="24" t="s">
        <v>16</v>
      </c>
      <c r="H73" s="17">
        <v>3</v>
      </c>
      <c r="I73" s="19">
        <v>434.45</v>
      </c>
      <c r="J73" t="s">
        <v>320</v>
      </c>
      <c r="K73" s="24" t="s">
        <v>34</v>
      </c>
      <c r="L73" s="24" t="s">
        <v>89</v>
      </c>
      <c r="M73" t="s">
        <v>321</v>
      </c>
      <c r="N73" s="17">
        <v>4</v>
      </c>
      <c r="O73" t="s">
        <v>4295</v>
      </c>
      <c r="P73" s="24" t="s">
        <v>29</v>
      </c>
      <c r="Q73" s="19">
        <v>1303.35</v>
      </c>
    </row>
    <row r="74" spans="1:17">
      <c r="A74" t="s">
        <v>322</v>
      </c>
      <c r="B74" s="23">
        <v>45648</v>
      </c>
      <c r="C74" s="23" t="str">
        <f t="shared" si="3"/>
        <v>Dec</v>
      </c>
      <c r="D74" s="23" t="str">
        <f t="shared" si="4"/>
        <v>2024</v>
      </c>
      <c r="E74" s="23" t="str">
        <f t="shared" si="5"/>
        <v>Q4</v>
      </c>
      <c r="F74" t="s">
        <v>323</v>
      </c>
      <c r="G74" s="24" t="s">
        <v>32</v>
      </c>
      <c r="H74" s="17">
        <v>4</v>
      </c>
      <c r="I74" s="19">
        <v>589.44</v>
      </c>
      <c r="J74" t="s">
        <v>101</v>
      </c>
      <c r="K74" s="24" t="s">
        <v>60</v>
      </c>
      <c r="L74" s="24" t="s">
        <v>43</v>
      </c>
      <c r="M74" t="s">
        <v>324</v>
      </c>
      <c r="N74" s="17">
        <v>5</v>
      </c>
      <c r="O74" t="s">
        <v>4295</v>
      </c>
      <c r="P74" s="24" t="s">
        <v>45</v>
      </c>
      <c r="Q74" s="19">
        <v>2357.76</v>
      </c>
    </row>
    <row r="75" spans="1:17">
      <c r="A75" t="s">
        <v>325</v>
      </c>
      <c r="B75" s="23">
        <v>45049</v>
      </c>
      <c r="C75" s="23" t="str">
        <f t="shared" si="3"/>
        <v>May</v>
      </c>
      <c r="D75" s="23" t="str">
        <f t="shared" si="4"/>
        <v>2023</v>
      </c>
      <c r="E75" s="23" t="str">
        <f t="shared" si="5"/>
        <v>Q2</v>
      </c>
      <c r="F75" t="s">
        <v>326</v>
      </c>
      <c r="G75" s="24" t="s">
        <v>16</v>
      </c>
      <c r="H75" s="17">
        <v>4</v>
      </c>
      <c r="I75" s="19">
        <v>433.45</v>
      </c>
      <c r="J75" t="s">
        <v>327</v>
      </c>
      <c r="K75" s="24" t="s">
        <v>60</v>
      </c>
      <c r="L75" s="24" t="s">
        <v>35</v>
      </c>
      <c r="M75" t="s">
        <v>328</v>
      </c>
      <c r="N75" s="17">
        <v>4</v>
      </c>
      <c r="O75" t="s">
        <v>4295</v>
      </c>
      <c r="P75" s="24" t="s">
        <v>45</v>
      </c>
      <c r="Q75" s="19">
        <v>1733.8</v>
      </c>
    </row>
    <row r="76" spans="1:17">
      <c r="A76" t="s">
        <v>329</v>
      </c>
      <c r="B76" s="23">
        <v>45101</v>
      </c>
      <c r="C76" s="23" t="str">
        <f t="shared" si="3"/>
        <v>Jun</v>
      </c>
      <c r="D76" s="23" t="str">
        <f t="shared" si="4"/>
        <v>2023</v>
      </c>
      <c r="E76" s="23" t="str">
        <f t="shared" si="5"/>
        <v>Q2</v>
      </c>
      <c r="F76" t="s">
        <v>330</v>
      </c>
      <c r="G76" s="24" t="s">
        <v>25</v>
      </c>
      <c r="H76" s="17">
        <v>5</v>
      </c>
      <c r="I76" s="19">
        <v>90.87</v>
      </c>
      <c r="J76" t="s">
        <v>331</v>
      </c>
      <c r="K76" s="24" t="s">
        <v>65</v>
      </c>
      <c r="L76" s="24" t="s">
        <v>89</v>
      </c>
      <c r="M76" t="s">
        <v>332</v>
      </c>
      <c r="N76" s="17">
        <v>5</v>
      </c>
      <c r="O76" t="s">
        <v>4295</v>
      </c>
      <c r="P76" s="24" t="s">
        <v>22</v>
      </c>
      <c r="Q76" s="19">
        <v>454.35</v>
      </c>
    </row>
    <row r="77" spans="1:17">
      <c r="A77" t="s">
        <v>333</v>
      </c>
      <c r="B77" s="23">
        <v>45195</v>
      </c>
      <c r="C77" s="23" t="str">
        <f t="shared" si="3"/>
        <v>Sep</v>
      </c>
      <c r="D77" s="23" t="str">
        <f t="shared" si="4"/>
        <v>2023</v>
      </c>
      <c r="E77" s="23" t="str">
        <f t="shared" si="5"/>
        <v>Q3</v>
      </c>
      <c r="F77" t="s">
        <v>334</v>
      </c>
      <c r="G77" s="24" t="s">
        <v>32</v>
      </c>
      <c r="H77" s="17">
        <v>3</v>
      </c>
      <c r="I77" s="19">
        <v>398.17</v>
      </c>
      <c r="J77" t="s">
        <v>335</v>
      </c>
      <c r="K77" s="24" t="s">
        <v>18</v>
      </c>
      <c r="L77" s="24" t="s">
        <v>50</v>
      </c>
      <c r="M77" t="s">
        <v>336</v>
      </c>
      <c r="N77" s="17">
        <v>5</v>
      </c>
      <c r="O77" t="s">
        <v>21</v>
      </c>
      <c r="P77" s="24" t="s">
        <v>38</v>
      </c>
      <c r="Q77" s="19">
        <v>1194.51</v>
      </c>
    </row>
    <row r="78" spans="1:17">
      <c r="A78" t="s">
        <v>337</v>
      </c>
      <c r="B78" s="23">
        <v>45382</v>
      </c>
      <c r="C78" s="23" t="str">
        <f t="shared" si="3"/>
        <v>Mar</v>
      </c>
      <c r="D78" s="23" t="str">
        <f t="shared" si="4"/>
        <v>2024</v>
      </c>
      <c r="E78" s="23" t="str">
        <f t="shared" si="5"/>
        <v>Q1</v>
      </c>
      <c r="F78" t="s">
        <v>338</v>
      </c>
      <c r="G78" s="24" t="s">
        <v>58</v>
      </c>
      <c r="H78" s="17">
        <v>4</v>
      </c>
      <c r="I78" s="19">
        <v>382.88</v>
      </c>
      <c r="J78" t="s">
        <v>339</v>
      </c>
      <c r="K78" s="24" t="s">
        <v>65</v>
      </c>
      <c r="L78" s="24" t="s">
        <v>35</v>
      </c>
      <c r="M78" t="s">
        <v>340</v>
      </c>
      <c r="N78" s="17">
        <v>6</v>
      </c>
      <c r="O78" t="s">
        <v>81</v>
      </c>
      <c r="P78" s="24" t="s">
        <v>38</v>
      </c>
      <c r="Q78" s="19">
        <v>1531.52</v>
      </c>
    </row>
    <row r="79" spans="1:17">
      <c r="A79" t="s">
        <v>341</v>
      </c>
      <c r="B79" s="23">
        <v>45436</v>
      </c>
      <c r="C79" s="23" t="str">
        <f t="shared" si="3"/>
        <v>May</v>
      </c>
      <c r="D79" s="23" t="str">
        <f t="shared" si="4"/>
        <v>2024</v>
      </c>
      <c r="E79" s="23" t="str">
        <f t="shared" si="5"/>
        <v>Q2</v>
      </c>
      <c r="F79" t="s">
        <v>342</v>
      </c>
      <c r="G79" s="24" t="s">
        <v>25</v>
      </c>
      <c r="H79" s="17">
        <v>1</v>
      </c>
      <c r="I79" s="19">
        <v>583.18</v>
      </c>
      <c r="J79" t="s">
        <v>343</v>
      </c>
      <c r="K79" s="24" t="s">
        <v>34</v>
      </c>
      <c r="L79" s="24" t="s">
        <v>43</v>
      </c>
      <c r="M79" t="s">
        <v>344</v>
      </c>
      <c r="N79" s="17">
        <v>5</v>
      </c>
      <c r="O79" t="s">
        <v>4295</v>
      </c>
      <c r="P79" s="24" t="s">
        <v>76</v>
      </c>
      <c r="Q79" s="19">
        <v>583.18</v>
      </c>
    </row>
    <row r="80" spans="1:17">
      <c r="A80" t="s">
        <v>345</v>
      </c>
      <c r="B80" s="23">
        <v>45510</v>
      </c>
      <c r="C80" s="23" t="str">
        <f t="shared" si="3"/>
        <v>Aug</v>
      </c>
      <c r="D80" s="23" t="str">
        <f t="shared" si="4"/>
        <v>2024</v>
      </c>
      <c r="E80" s="23" t="str">
        <f t="shared" si="5"/>
        <v>Q3</v>
      </c>
      <c r="F80" t="s">
        <v>346</v>
      </c>
      <c r="G80" s="24" t="s">
        <v>48</v>
      </c>
      <c r="H80" s="17">
        <v>4</v>
      </c>
      <c r="I80" s="19">
        <v>175.36</v>
      </c>
      <c r="J80" t="s">
        <v>347</v>
      </c>
      <c r="K80" s="24" t="s">
        <v>18</v>
      </c>
      <c r="L80" s="24" t="s">
        <v>50</v>
      </c>
      <c r="M80" t="s">
        <v>348</v>
      </c>
      <c r="N80" s="17">
        <v>4</v>
      </c>
      <c r="O80" t="s">
        <v>37</v>
      </c>
      <c r="P80" s="24" t="s">
        <v>22</v>
      </c>
      <c r="Q80" s="19">
        <v>701.44</v>
      </c>
    </row>
    <row r="81" spans="1:17">
      <c r="A81" t="s">
        <v>349</v>
      </c>
      <c r="B81" s="23">
        <v>45726</v>
      </c>
      <c r="C81" s="23" t="str">
        <f t="shared" si="3"/>
        <v>Mar</v>
      </c>
      <c r="D81" s="23" t="str">
        <f t="shared" si="4"/>
        <v>2025</v>
      </c>
      <c r="E81" s="23" t="str">
        <f t="shared" si="5"/>
        <v>Q1</v>
      </c>
      <c r="F81" t="s">
        <v>350</v>
      </c>
      <c r="G81" s="24" t="s">
        <v>32</v>
      </c>
      <c r="H81" s="17">
        <v>2</v>
      </c>
      <c r="I81" s="19">
        <v>311.91</v>
      </c>
      <c r="J81" t="s">
        <v>351</v>
      </c>
      <c r="K81" s="24" t="s">
        <v>27</v>
      </c>
      <c r="L81" s="24" t="s">
        <v>19</v>
      </c>
      <c r="M81" t="s">
        <v>352</v>
      </c>
      <c r="N81" s="17">
        <v>2</v>
      </c>
      <c r="O81" t="s">
        <v>4295</v>
      </c>
      <c r="P81" s="24" t="s">
        <v>45</v>
      </c>
      <c r="Q81" s="19">
        <v>623.82</v>
      </c>
    </row>
    <row r="82" spans="1:17">
      <c r="A82" t="s">
        <v>353</v>
      </c>
      <c r="B82" s="23">
        <v>45104</v>
      </c>
      <c r="C82" s="23" t="str">
        <f t="shared" si="3"/>
        <v>Jun</v>
      </c>
      <c r="D82" s="23" t="str">
        <f t="shared" si="4"/>
        <v>2023</v>
      </c>
      <c r="E82" s="23" t="str">
        <f t="shared" si="5"/>
        <v>Q2</v>
      </c>
      <c r="F82" t="s">
        <v>354</v>
      </c>
      <c r="G82" s="24" t="s">
        <v>25</v>
      </c>
      <c r="H82" s="17">
        <v>3</v>
      </c>
      <c r="I82" s="19">
        <v>589.56</v>
      </c>
      <c r="J82" t="s">
        <v>355</v>
      </c>
      <c r="K82" s="24" t="s">
        <v>27</v>
      </c>
      <c r="L82" s="24" t="s">
        <v>43</v>
      </c>
      <c r="M82" t="s">
        <v>356</v>
      </c>
      <c r="N82" s="17">
        <v>6</v>
      </c>
      <c r="O82" t="s">
        <v>4295</v>
      </c>
      <c r="P82" s="24" t="s">
        <v>45</v>
      </c>
      <c r="Q82" s="19">
        <v>1768.68</v>
      </c>
    </row>
    <row r="83" spans="1:17">
      <c r="A83" t="s">
        <v>357</v>
      </c>
      <c r="B83" s="23">
        <v>45085</v>
      </c>
      <c r="C83" s="23" t="str">
        <f t="shared" si="3"/>
        <v>Jun</v>
      </c>
      <c r="D83" s="23" t="str">
        <f t="shared" si="4"/>
        <v>2023</v>
      </c>
      <c r="E83" s="23" t="str">
        <f t="shared" si="5"/>
        <v>Q2</v>
      </c>
      <c r="F83" t="s">
        <v>358</v>
      </c>
      <c r="G83" s="24" t="s">
        <v>16</v>
      </c>
      <c r="H83" s="17">
        <v>2</v>
      </c>
      <c r="I83" s="19">
        <v>394.3</v>
      </c>
      <c r="J83" t="s">
        <v>359</v>
      </c>
      <c r="K83" s="24" t="s">
        <v>65</v>
      </c>
      <c r="L83" s="24" t="s">
        <v>19</v>
      </c>
      <c r="M83" t="s">
        <v>360</v>
      </c>
      <c r="N83" s="17">
        <v>6</v>
      </c>
      <c r="O83" t="s">
        <v>37</v>
      </c>
      <c r="P83" s="24" t="s">
        <v>38</v>
      </c>
      <c r="Q83" s="19">
        <v>788.6</v>
      </c>
    </row>
    <row r="84" spans="1:17">
      <c r="A84" t="s">
        <v>361</v>
      </c>
      <c r="B84" s="23">
        <v>45296</v>
      </c>
      <c r="C84" s="23" t="str">
        <f t="shared" si="3"/>
        <v>Jan</v>
      </c>
      <c r="D84" s="23" t="str">
        <f t="shared" si="4"/>
        <v>2024</v>
      </c>
      <c r="E84" s="23" t="str">
        <f t="shared" si="5"/>
        <v>Q1</v>
      </c>
      <c r="F84" t="s">
        <v>362</v>
      </c>
      <c r="G84" s="24" t="s">
        <v>32</v>
      </c>
      <c r="H84" s="17">
        <v>4</v>
      </c>
      <c r="I84" s="19">
        <v>565.2</v>
      </c>
      <c r="J84" t="s">
        <v>363</v>
      </c>
      <c r="K84" s="24" t="s">
        <v>18</v>
      </c>
      <c r="L84" s="24" t="s">
        <v>19</v>
      </c>
      <c r="M84" t="s">
        <v>364</v>
      </c>
      <c r="N84" s="17">
        <v>9</v>
      </c>
      <c r="O84" t="s">
        <v>21</v>
      </c>
      <c r="P84" s="24" t="s">
        <v>76</v>
      </c>
      <c r="Q84" s="19">
        <v>2260.8</v>
      </c>
    </row>
    <row r="85" spans="1:17">
      <c r="A85" t="s">
        <v>365</v>
      </c>
      <c r="B85" s="23">
        <v>45160</v>
      </c>
      <c r="C85" s="23" t="str">
        <f t="shared" si="3"/>
        <v>Aug</v>
      </c>
      <c r="D85" s="23" t="str">
        <f t="shared" si="4"/>
        <v>2023</v>
      </c>
      <c r="E85" s="23" t="str">
        <f t="shared" si="5"/>
        <v>Q3</v>
      </c>
      <c r="F85" t="s">
        <v>366</v>
      </c>
      <c r="G85" s="24" t="s">
        <v>58</v>
      </c>
      <c r="H85" s="17">
        <v>4</v>
      </c>
      <c r="I85" s="19">
        <v>540.41</v>
      </c>
      <c r="J85" t="s">
        <v>367</v>
      </c>
      <c r="K85" s="24" t="s">
        <v>34</v>
      </c>
      <c r="L85" s="24" t="s">
        <v>35</v>
      </c>
      <c r="M85" t="s">
        <v>368</v>
      </c>
      <c r="N85" s="17">
        <v>6</v>
      </c>
      <c r="O85" t="s">
        <v>4295</v>
      </c>
      <c r="P85" s="24" t="s">
        <v>29</v>
      </c>
      <c r="Q85" s="19">
        <v>2161.64</v>
      </c>
    </row>
    <row r="86" spans="1:17">
      <c r="A86" t="s">
        <v>369</v>
      </c>
      <c r="B86" s="23">
        <v>45166</v>
      </c>
      <c r="C86" s="23" t="str">
        <f t="shared" si="3"/>
        <v>Aug</v>
      </c>
      <c r="D86" s="23" t="str">
        <f t="shared" si="4"/>
        <v>2023</v>
      </c>
      <c r="E86" s="23" t="str">
        <f t="shared" si="5"/>
        <v>Q3</v>
      </c>
      <c r="F86" t="s">
        <v>370</v>
      </c>
      <c r="G86" s="24" t="s">
        <v>16</v>
      </c>
      <c r="H86" s="17">
        <v>2</v>
      </c>
      <c r="I86" s="19">
        <v>165.49</v>
      </c>
      <c r="J86" t="s">
        <v>371</v>
      </c>
      <c r="K86" s="24" t="s">
        <v>27</v>
      </c>
      <c r="L86" s="24" t="s">
        <v>19</v>
      </c>
      <c r="M86" t="s">
        <v>372</v>
      </c>
      <c r="N86" s="17">
        <v>4</v>
      </c>
      <c r="O86" t="s">
        <v>81</v>
      </c>
      <c r="P86" s="24" t="s">
        <v>22</v>
      </c>
      <c r="Q86" s="19">
        <v>330.98</v>
      </c>
    </row>
    <row r="87" spans="1:17">
      <c r="A87" t="s">
        <v>373</v>
      </c>
      <c r="B87" s="23">
        <v>45544</v>
      </c>
      <c r="C87" s="23" t="str">
        <f t="shared" si="3"/>
        <v>Sep</v>
      </c>
      <c r="D87" s="23" t="str">
        <f t="shared" si="4"/>
        <v>2024</v>
      </c>
      <c r="E87" s="23" t="str">
        <f t="shared" si="5"/>
        <v>Q3</v>
      </c>
      <c r="F87" t="s">
        <v>374</v>
      </c>
      <c r="G87" s="24" t="s">
        <v>32</v>
      </c>
      <c r="H87" s="17">
        <v>3</v>
      </c>
      <c r="I87" s="19">
        <v>146.73</v>
      </c>
      <c r="J87" t="s">
        <v>375</v>
      </c>
      <c r="K87" s="24" t="s">
        <v>65</v>
      </c>
      <c r="L87" s="24" t="s">
        <v>50</v>
      </c>
      <c r="M87" t="s">
        <v>376</v>
      </c>
      <c r="N87" s="17">
        <v>8</v>
      </c>
      <c r="O87" t="s">
        <v>37</v>
      </c>
      <c r="P87" s="24" t="s">
        <v>38</v>
      </c>
      <c r="Q87" s="19">
        <v>440.19</v>
      </c>
    </row>
    <row r="88" spans="1:17">
      <c r="A88" t="s">
        <v>377</v>
      </c>
      <c r="B88" s="23">
        <v>45462</v>
      </c>
      <c r="C88" s="23" t="str">
        <f t="shared" si="3"/>
        <v>Jun</v>
      </c>
      <c r="D88" s="23" t="str">
        <f t="shared" si="4"/>
        <v>2024</v>
      </c>
      <c r="E88" s="23" t="str">
        <f t="shared" si="5"/>
        <v>Q2</v>
      </c>
      <c r="F88" t="s">
        <v>378</v>
      </c>
      <c r="G88" s="24" t="s">
        <v>48</v>
      </c>
      <c r="H88" s="17">
        <v>5</v>
      </c>
      <c r="I88" s="19">
        <v>643.03</v>
      </c>
      <c r="J88" t="s">
        <v>379</v>
      </c>
      <c r="K88" s="24" t="s">
        <v>27</v>
      </c>
      <c r="L88" s="24" t="s">
        <v>35</v>
      </c>
      <c r="M88" t="s">
        <v>380</v>
      </c>
      <c r="N88" s="17">
        <v>5</v>
      </c>
      <c r="O88" t="s">
        <v>37</v>
      </c>
      <c r="P88" s="24" t="s">
        <v>29</v>
      </c>
      <c r="Q88" s="19">
        <v>3215.15</v>
      </c>
    </row>
    <row r="89" spans="1:17">
      <c r="A89" t="s">
        <v>381</v>
      </c>
      <c r="B89" s="23">
        <v>45575</v>
      </c>
      <c r="C89" s="23" t="str">
        <f t="shared" si="3"/>
        <v>Oct</v>
      </c>
      <c r="D89" s="23" t="str">
        <f t="shared" si="4"/>
        <v>2024</v>
      </c>
      <c r="E89" s="23" t="str">
        <f t="shared" si="5"/>
        <v>Q4</v>
      </c>
      <c r="F89" t="s">
        <v>382</v>
      </c>
      <c r="G89" s="24" t="s">
        <v>32</v>
      </c>
      <c r="H89" s="17">
        <v>3</v>
      </c>
      <c r="I89" s="19">
        <v>225.11</v>
      </c>
      <c r="J89" t="s">
        <v>383</v>
      </c>
      <c r="K89" s="24" t="s">
        <v>65</v>
      </c>
      <c r="L89" s="24" t="s">
        <v>19</v>
      </c>
      <c r="M89" t="s">
        <v>384</v>
      </c>
      <c r="N89" s="17">
        <v>4</v>
      </c>
      <c r="O89" t="s">
        <v>21</v>
      </c>
      <c r="P89" s="24" t="s">
        <v>45</v>
      </c>
      <c r="Q89" s="19">
        <v>675.33</v>
      </c>
    </row>
    <row r="90" spans="1:17">
      <c r="A90" t="s">
        <v>385</v>
      </c>
      <c r="B90" s="23">
        <v>45813</v>
      </c>
      <c r="C90" s="23" t="str">
        <f t="shared" si="3"/>
        <v>Jun</v>
      </c>
      <c r="D90" s="23" t="str">
        <f t="shared" si="4"/>
        <v>2025</v>
      </c>
      <c r="E90" s="23" t="str">
        <f t="shared" si="5"/>
        <v>Q2</v>
      </c>
      <c r="F90" t="s">
        <v>386</v>
      </c>
      <c r="G90" s="24" t="s">
        <v>73</v>
      </c>
      <c r="H90" s="17">
        <v>3</v>
      </c>
      <c r="I90" s="19">
        <v>114.81</v>
      </c>
      <c r="J90" t="s">
        <v>387</v>
      </c>
      <c r="K90" s="24" t="s">
        <v>60</v>
      </c>
      <c r="L90" s="24" t="s">
        <v>35</v>
      </c>
      <c r="M90" t="s">
        <v>388</v>
      </c>
      <c r="N90" s="17">
        <v>7</v>
      </c>
      <c r="O90" t="s">
        <v>4295</v>
      </c>
      <c r="P90" s="24" t="s">
        <v>76</v>
      </c>
      <c r="Q90" s="19">
        <v>344.43</v>
      </c>
    </row>
    <row r="91" spans="1:17">
      <c r="A91" t="s">
        <v>389</v>
      </c>
      <c r="B91" s="23">
        <v>45713</v>
      </c>
      <c r="C91" s="23" t="str">
        <f t="shared" si="3"/>
        <v>Feb</v>
      </c>
      <c r="D91" s="23" t="str">
        <f t="shared" si="4"/>
        <v>2025</v>
      </c>
      <c r="E91" s="23" t="str">
        <f t="shared" si="5"/>
        <v>Q1</v>
      </c>
      <c r="F91" t="s">
        <v>390</v>
      </c>
      <c r="G91" s="24" t="s">
        <v>48</v>
      </c>
      <c r="H91" s="17">
        <v>5</v>
      </c>
      <c r="I91" s="19">
        <v>455.33</v>
      </c>
      <c r="J91" t="s">
        <v>391</v>
      </c>
      <c r="K91" s="24" t="s">
        <v>34</v>
      </c>
      <c r="L91" s="24" t="s">
        <v>35</v>
      </c>
      <c r="M91" t="s">
        <v>392</v>
      </c>
      <c r="N91" s="17">
        <v>8</v>
      </c>
      <c r="O91" t="s">
        <v>37</v>
      </c>
      <c r="P91" s="24" t="s">
        <v>76</v>
      </c>
      <c r="Q91" s="19">
        <v>2276.65</v>
      </c>
    </row>
    <row r="92" spans="1:17">
      <c r="A92" t="s">
        <v>393</v>
      </c>
      <c r="B92" s="23">
        <v>45187</v>
      </c>
      <c r="C92" s="23" t="str">
        <f t="shared" si="3"/>
        <v>Sep</v>
      </c>
      <c r="D92" s="23" t="str">
        <f t="shared" si="4"/>
        <v>2023</v>
      </c>
      <c r="E92" s="23" t="str">
        <f t="shared" si="5"/>
        <v>Q3</v>
      </c>
      <c r="F92" t="s">
        <v>394</v>
      </c>
      <c r="G92" s="24" t="s">
        <v>41</v>
      </c>
      <c r="H92" s="17">
        <v>4</v>
      </c>
      <c r="I92" s="19">
        <v>182.08</v>
      </c>
      <c r="J92" t="s">
        <v>395</v>
      </c>
      <c r="K92" s="24" t="s">
        <v>60</v>
      </c>
      <c r="L92" s="24" t="s">
        <v>50</v>
      </c>
      <c r="M92" t="s">
        <v>396</v>
      </c>
      <c r="N92" s="17">
        <v>4</v>
      </c>
      <c r="O92" t="s">
        <v>21</v>
      </c>
      <c r="P92" s="24" t="s">
        <v>38</v>
      </c>
      <c r="Q92" s="19">
        <v>728.32</v>
      </c>
    </row>
    <row r="93" spans="1:17">
      <c r="A93" t="s">
        <v>397</v>
      </c>
      <c r="B93" s="23">
        <v>45000</v>
      </c>
      <c r="C93" s="23" t="str">
        <f t="shared" si="3"/>
        <v>Mar</v>
      </c>
      <c r="D93" s="23" t="str">
        <f t="shared" si="4"/>
        <v>2023</v>
      </c>
      <c r="E93" s="23" t="str">
        <f t="shared" si="5"/>
        <v>Q1</v>
      </c>
      <c r="F93" t="s">
        <v>398</v>
      </c>
      <c r="G93" s="24" t="s">
        <v>58</v>
      </c>
      <c r="H93" s="17">
        <v>5</v>
      </c>
      <c r="I93" s="19">
        <v>492.75</v>
      </c>
      <c r="J93" t="s">
        <v>399</v>
      </c>
      <c r="K93" s="24" t="s">
        <v>65</v>
      </c>
      <c r="L93" s="24" t="s">
        <v>19</v>
      </c>
      <c r="M93" t="s">
        <v>400</v>
      </c>
      <c r="N93" s="17">
        <v>6</v>
      </c>
      <c r="O93" t="s">
        <v>81</v>
      </c>
      <c r="P93" s="24" t="s">
        <v>29</v>
      </c>
      <c r="Q93" s="19">
        <v>2463.75</v>
      </c>
    </row>
    <row r="94" spans="1:17">
      <c r="A94" t="s">
        <v>401</v>
      </c>
      <c r="B94" s="23">
        <v>45453</v>
      </c>
      <c r="C94" s="23" t="str">
        <f t="shared" si="3"/>
        <v>Jun</v>
      </c>
      <c r="D94" s="23" t="str">
        <f t="shared" si="4"/>
        <v>2024</v>
      </c>
      <c r="E94" s="23" t="str">
        <f t="shared" si="5"/>
        <v>Q2</v>
      </c>
      <c r="F94" t="s">
        <v>402</v>
      </c>
      <c r="G94" s="24" t="s">
        <v>48</v>
      </c>
      <c r="H94" s="17">
        <v>4</v>
      </c>
      <c r="I94" s="19">
        <v>48.61</v>
      </c>
      <c r="J94" t="s">
        <v>403</v>
      </c>
      <c r="K94" s="24" t="s">
        <v>27</v>
      </c>
      <c r="L94" s="24" t="s">
        <v>19</v>
      </c>
      <c r="M94" t="s">
        <v>404</v>
      </c>
      <c r="N94" s="17">
        <v>7</v>
      </c>
      <c r="O94" t="s">
        <v>37</v>
      </c>
      <c r="P94" s="24" t="s">
        <v>45</v>
      </c>
      <c r="Q94" s="19">
        <v>194.44</v>
      </c>
    </row>
    <row r="95" spans="1:17">
      <c r="A95" t="s">
        <v>405</v>
      </c>
      <c r="B95" s="23">
        <v>44940</v>
      </c>
      <c r="C95" s="23" t="str">
        <f t="shared" si="3"/>
        <v>Jan</v>
      </c>
      <c r="D95" s="23" t="str">
        <f t="shared" si="4"/>
        <v>2023</v>
      </c>
      <c r="E95" s="23" t="str">
        <f t="shared" si="5"/>
        <v>Q1</v>
      </c>
      <c r="F95" t="s">
        <v>406</v>
      </c>
      <c r="G95" s="24" t="s">
        <v>73</v>
      </c>
      <c r="H95" s="17">
        <v>4</v>
      </c>
      <c r="I95" s="19">
        <v>431.01</v>
      </c>
      <c r="J95" t="s">
        <v>407</v>
      </c>
      <c r="K95" s="24" t="s">
        <v>34</v>
      </c>
      <c r="L95" s="24" t="s">
        <v>43</v>
      </c>
      <c r="M95" t="s">
        <v>408</v>
      </c>
      <c r="N95" s="17">
        <v>7</v>
      </c>
      <c r="O95" t="s">
        <v>4295</v>
      </c>
      <c r="P95" s="24" t="s">
        <v>29</v>
      </c>
      <c r="Q95" s="19">
        <v>1724.04</v>
      </c>
    </row>
    <row r="96" spans="1:17">
      <c r="A96" t="s">
        <v>409</v>
      </c>
      <c r="B96" s="23">
        <v>44968</v>
      </c>
      <c r="C96" s="23" t="str">
        <f t="shared" si="3"/>
        <v>Feb</v>
      </c>
      <c r="D96" s="23" t="str">
        <f t="shared" si="4"/>
        <v>2023</v>
      </c>
      <c r="E96" s="23" t="str">
        <f t="shared" si="5"/>
        <v>Q1</v>
      </c>
      <c r="F96" t="s">
        <v>410</v>
      </c>
      <c r="G96" s="24" t="s">
        <v>41</v>
      </c>
      <c r="H96" s="17">
        <v>1</v>
      </c>
      <c r="I96" s="19">
        <v>531.18</v>
      </c>
      <c r="J96" t="s">
        <v>411</v>
      </c>
      <c r="K96" s="24" t="s">
        <v>60</v>
      </c>
      <c r="L96" s="24" t="s">
        <v>43</v>
      </c>
      <c r="M96" t="s">
        <v>412</v>
      </c>
      <c r="N96" s="17">
        <v>6</v>
      </c>
      <c r="O96" t="s">
        <v>81</v>
      </c>
      <c r="P96" s="24" t="s">
        <v>22</v>
      </c>
      <c r="Q96" s="19">
        <v>531.18</v>
      </c>
    </row>
    <row r="97" spans="1:17">
      <c r="A97" t="s">
        <v>413</v>
      </c>
      <c r="B97" s="23">
        <v>45009</v>
      </c>
      <c r="C97" s="23" t="str">
        <f t="shared" si="3"/>
        <v>Mar</v>
      </c>
      <c r="D97" s="23" t="str">
        <f t="shared" si="4"/>
        <v>2023</v>
      </c>
      <c r="E97" s="23" t="str">
        <f t="shared" si="5"/>
        <v>Q1</v>
      </c>
      <c r="F97" t="s">
        <v>414</v>
      </c>
      <c r="G97" s="24" t="s">
        <v>48</v>
      </c>
      <c r="H97" s="17">
        <v>4</v>
      </c>
      <c r="I97" s="19">
        <v>117.51</v>
      </c>
      <c r="J97" t="s">
        <v>415</v>
      </c>
      <c r="K97" s="24" t="s">
        <v>18</v>
      </c>
      <c r="L97" s="24" t="s">
        <v>43</v>
      </c>
      <c r="M97" t="s">
        <v>416</v>
      </c>
      <c r="N97" s="17">
        <v>7</v>
      </c>
      <c r="O97" t="s">
        <v>4295</v>
      </c>
      <c r="P97" s="24" t="s">
        <v>29</v>
      </c>
      <c r="Q97" s="19">
        <v>470.04</v>
      </c>
    </row>
    <row r="98" spans="1:17">
      <c r="A98" t="s">
        <v>417</v>
      </c>
      <c r="B98" s="23">
        <v>45444</v>
      </c>
      <c r="C98" s="23" t="str">
        <f t="shared" si="3"/>
        <v>Jun</v>
      </c>
      <c r="D98" s="23" t="str">
        <f t="shared" si="4"/>
        <v>2024</v>
      </c>
      <c r="E98" s="23" t="str">
        <f t="shared" si="5"/>
        <v>Q2</v>
      </c>
      <c r="F98" t="s">
        <v>418</v>
      </c>
      <c r="G98" s="24" t="s">
        <v>25</v>
      </c>
      <c r="H98" s="17">
        <v>2</v>
      </c>
      <c r="I98" s="19">
        <v>232.83</v>
      </c>
      <c r="J98" t="s">
        <v>351</v>
      </c>
      <c r="K98" s="24" t="s">
        <v>60</v>
      </c>
      <c r="L98" s="24" t="s">
        <v>50</v>
      </c>
      <c r="M98" t="s">
        <v>419</v>
      </c>
      <c r="N98" s="17">
        <v>7</v>
      </c>
      <c r="O98" t="s">
        <v>4295</v>
      </c>
      <c r="P98" s="24" t="s">
        <v>22</v>
      </c>
      <c r="Q98" s="19">
        <v>465.66</v>
      </c>
    </row>
    <row r="99" spans="1:17">
      <c r="A99" t="s">
        <v>420</v>
      </c>
      <c r="B99" s="23">
        <v>45678</v>
      </c>
      <c r="C99" s="23" t="str">
        <f t="shared" si="3"/>
        <v>Jan</v>
      </c>
      <c r="D99" s="23" t="str">
        <f t="shared" si="4"/>
        <v>2025</v>
      </c>
      <c r="E99" s="23" t="str">
        <f t="shared" si="5"/>
        <v>Q1</v>
      </c>
      <c r="F99" t="s">
        <v>421</v>
      </c>
      <c r="G99" s="24" t="s">
        <v>32</v>
      </c>
      <c r="H99" s="17">
        <v>5</v>
      </c>
      <c r="I99" s="19">
        <v>619.52</v>
      </c>
      <c r="J99" t="s">
        <v>422</v>
      </c>
      <c r="K99" s="24" t="s">
        <v>18</v>
      </c>
      <c r="L99" s="24" t="s">
        <v>89</v>
      </c>
      <c r="M99" t="s">
        <v>423</v>
      </c>
      <c r="N99" s="17">
        <v>9</v>
      </c>
      <c r="O99" t="s">
        <v>4295</v>
      </c>
      <c r="P99" s="24" t="s">
        <v>38</v>
      </c>
      <c r="Q99" s="19">
        <v>3097.6</v>
      </c>
    </row>
    <row r="100" spans="1:17">
      <c r="A100" t="s">
        <v>424</v>
      </c>
      <c r="B100" s="23">
        <v>44940</v>
      </c>
      <c r="C100" s="23" t="str">
        <f t="shared" si="3"/>
        <v>Jan</v>
      </c>
      <c r="D100" s="23" t="str">
        <f t="shared" si="4"/>
        <v>2023</v>
      </c>
      <c r="E100" s="23" t="str">
        <f t="shared" si="5"/>
        <v>Q1</v>
      </c>
      <c r="F100" t="s">
        <v>425</v>
      </c>
      <c r="G100" s="24" t="s">
        <v>48</v>
      </c>
      <c r="H100" s="17">
        <v>2</v>
      </c>
      <c r="I100" s="19">
        <v>228.54</v>
      </c>
      <c r="J100" t="s">
        <v>426</v>
      </c>
      <c r="K100" s="24" t="s">
        <v>18</v>
      </c>
      <c r="L100" s="24" t="s">
        <v>89</v>
      </c>
      <c r="M100" t="s">
        <v>427</v>
      </c>
      <c r="N100" s="17">
        <v>3</v>
      </c>
      <c r="O100" t="s">
        <v>4295</v>
      </c>
      <c r="P100" s="24" t="s">
        <v>38</v>
      </c>
      <c r="Q100" s="19">
        <v>457.08</v>
      </c>
    </row>
    <row r="101" spans="1:17">
      <c r="A101" t="s">
        <v>428</v>
      </c>
      <c r="B101" s="23">
        <v>45759</v>
      </c>
      <c r="C101" s="23" t="str">
        <f t="shared" si="3"/>
        <v>Apr</v>
      </c>
      <c r="D101" s="23" t="str">
        <f t="shared" si="4"/>
        <v>2025</v>
      </c>
      <c r="E101" s="23" t="str">
        <f t="shared" si="5"/>
        <v>Q2</v>
      </c>
      <c r="F101" t="s">
        <v>429</v>
      </c>
      <c r="G101" s="24" t="s">
        <v>48</v>
      </c>
      <c r="H101" s="17">
        <v>1</v>
      </c>
      <c r="I101" s="19">
        <v>201.58</v>
      </c>
      <c r="J101" t="s">
        <v>430</v>
      </c>
      <c r="K101" s="24" t="s">
        <v>18</v>
      </c>
      <c r="L101" s="24" t="s">
        <v>35</v>
      </c>
      <c r="M101" t="s">
        <v>431</v>
      </c>
      <c r="N101" s="17">
        <v>2</v>
      </c>
      <c r="O101" t="s">
        <v>81</v>
      </c>
      <c r="P101" s="24" t="s">
        <v>38</v>
      </c>
      <c r="Q101" s="19">
        <v>201.58</v>
      </c>
    </row>
    <row r="102" spans="1:17">
      <c r="A102" t="s">
        <v>432</v>
      </c>
      <c r="B102" s="23">
        <v>44974</v>
      </c>
      <c r="C102" s="23" t="str">
        <f t="shared" si="3"/>
        <v>Feb</v>
      </c>
      <c r="D102" s="23" t="str">
        <f t="shared" si="4"/>
        <v>2023</v>
      </c>
      <c r="E102" s="23" t="str">
        <f t="shared" si="5"/>
        <v>Q1</v>
      </c>
      <c r="F102" t="s">
        <v>433</v>
      </c>
      <c r="G102" s="24" t="s">
        <v>25</v>
      </c>
      <c r="H102" s="17">
        <v>3</v>
      </c>
      <c r="I102" s="19">
        <v>664.79</v>
      </c>
      <c r="J102" t="s">
        <v>434</v>
      </c>
      <c r="K102" s="24" t="s">
        <v>27</v>
      </c>
      <c r="L102" s="24" t="s">
        <v>50</v>
      </c>
      <c r="M102" t="s">
        <v>435</v>
      </c>
      <c r="N102" s="17">
        <v>6</v>
      </c>
      <c r="O102" t="s">
        <v>4295</v>
      </c>
      <c r="P102" s="24" t="s">
        <v>45</v>
      </c>
      <c r="Q102" s="19">
        <v>1994.37</v>
      </c>
    </row>
    <row r="103" spans="1:17">
      <c r="A103" t="s">
        <v>436</v>
      </c>
      <c r="B103" s="23">
        <v>45255</v>
      </c>
      <c r="C103" s="23" t="str">
        <f t="shared" si="3"/>
        <v>Nov</v>
      </c>
      <c r="D103" s="23" t="str">
        <f t="shared" si="4"/>
        <v>2023</v>
      </c>
      <c r="E103" s="23" t="str">
        <f t="shared" si="5"/>
        <v>Q4</v>
      </c>
      <c r="F103" t="s">
        <v>437</v>
      </c>
      <c r="G103" s="24" t="s">
        <v>48</v>
      </c>
      <c r="H103" s="17">
        <v>1</v>
      </c>
      <c r="I103" s="19">
        <v>381.02</v>
      </c>
      <c r="J103" t="s">
        <v>438</v>
      </c>
      <c r="K103" s="24" t="s">
        <v>65</v>
      </c>
      <c r="L103" s="24" t="s">
        <v>19</v>
      </c>
      <c r="M103" t="s">
        <v>439</v>
      </c>
      <c r="N103" s="17">
        <v>6</v>
      </c>
      <c r="O103" t="s">
        <v>4295</v>
      </c>
      <c r="P103" s="24" t="s">
        <v>76</v>
      </c>
      <c r="Q103" s="19">
        <v>381.02</v>
      </c>
    </row>
    <row r="104" spans="1:17">
      <c r="A104" t="s">
        <v>440</v>
      </c>
      <c r="B104" s="23">
        <v>44993</v>
      </c>
      <c r="C104" s="23" t="str">
        <f t="shared" si="3"/>
        <v>Mar</v>
      </c>
      <c r="D104" s="23" t="str">
        <f t="shared" si="4"/>
        <v>2023</v>
      </c>
      <c r="E104" s="23" t="str">
        <f t="shared" si="5"/>
        <v>Q1</v>
      </c>
      <c r="F104" t="s">
        <v>441</v>
      </c>
      <c r="G104" s="24" t="s">
        <v>58</v>
      </c>
      <c r="H104" s="17">
        <v>2</v>
      </c>
      <c r="I104" s="19">
        <v>70.34</v>
      </c>
      <c r="J104" t="s">
        <v>442</v>
      </c>
      <c r="K104" s="24" t="s">
        <v>60</v>
      </c>
      <c r="L104" s="24" t="s">
        <v>35</v>
      </c>
      <c r="M104" t="s">
        <v>443</v>
      </c>
      <c r="N104" s="17">
        <v>3</v>
      </c>
      <c r="O104" t="s">
        <v>37</v>
      </c>
      <c r="P104" s="24" t="s">
        <v>38</v>
      </c>
      <c r="Q104" s="19">
        <v>140.68</v>
      </c>
    </row>
    <row r="105" spans="1:17">
      <c r="A105" t="s">
        <v>444</v>
      </c>
      <c r="B105" s="23">
        <v>45682</v>
      </c>
      <c r="C105" s="23" t="str">
        <f t="shared" si="3"/>
        <v>Jan</v>
      </c>
      <c r="D105" s="23" t="str">
        <f t="shared" si="4"/>
        <v>2025</v>
      </c>
      <c r="E105" s="23" t="str">
        <f t="shared" si="5"/>
        <v>Q1</v>
      </c>
      <c r="F105" t="s">
        <v>445</v>
      </c>
      <c r="G105" s="24" t="s">
        <v>25</v>
      </c>
      <c r="H105" s="17">
        <v>4</v>
      </c>
      <c r="I105" s="19">
        <v>218.43</v>
      </c>
      <c r="J105" t="s">
        <v>446</v>
      </c>
      <c r="K105" s="24" t="s">
        <v>34</v>
      </c>
      <c r="L105" s="24" t="s">
        <v>35</v>
      </c>
      <c r="M105" t="s">
        <v>447</v>
      </c>
      <c r="N105" s="17">
        <v>9</v>
      </c>
      <c r="O105" t="s">
        <v>21</v>
      </c>
      <c r="P105" s="24" t="s">
        <v>38</v>
      </c>
      <c r="Q105" s="19">
        <v>873.72</v>
      </c>
    </row>
    <row r="106" spans="1:17">
      <c r="A106" t="s">
        <v>448</v>
      </c>
      <c r="B106" s="23">
        <v>45503</v>
      </c>
      <c r="C106" s="23" t="str">
        <f t="shared" si="3"/>
        <v>Jul</v>
      </c>
      <c r="D106" s="23" t="str">
        <f t="shared" si="4"/>
        <v>2024</v>
      </c>
      <c r="E106" s="23" t="str">
        <f t="shared" si="5"/>
        <v>Q3</v>
      </c>
      <c r="F106" t="s">
        <v>449</v>
      </c>
      <c r="G106" s="24" t="s">
        <v>25</v>
      </c>
      <c r="H106" s="17">
        <v>1</v>
      </c>
      <c r="I106" s="19">
        <v>582.04</v>
      </c>
      <c r="J106" t="s">
        <v>450</v>
      </c>
      <c r="K106" s="24" t="s">
        <v>60</v>
      </c>
      <c r="L106" s="24" t="s">
        <v>50</v>
      </c>
      <c r="M106" t="s">
        <v>451</v>
      </c>
      <c r="N106" s="17">
        <v>1</v>
      </c>
      <c r="O106" t="s">
        <v>37</v>
      </c>
      <c r="P106" s="24" t="s">
        <v>38</v>
      </c>
      <c r="Q106" s="19">
        <v>582.04</v>
      </c>
    </row>
    <row r="107" spans="1:17">
      <c r="A107" t="s">
        <v>452</v>
      </c>
      <c r="B107" s="23">
        <v>45589</v>
      </c>
      <c r="C107" s="23" t="str">
        <f t="shared" si="3"/>
        <v>Oct</v>
      </c>
      <c r="D107" s="23" t="str">
        <f t="shared" si="4"/>
        <v>2024</v>
      </c>
      <c r="E107" s="23" t="str">
        <f t="shared" si="5"/>
        <v>Q4</v>
      </c>
      <c r="F107" t="s">
        <v>453</v>
      </c>
      <c r="G107" s="24" t="s">
        <v>48</v>
      </c>
      <c r="H107" s="17">
        <v>3</v>
      </c>
      <c r="I107" s="19">
        <v>185.4</v>
      </c>
      <c r="J107" t="s">
        <v>454</v>
      </c>
      <c r="K107" s="24" t="s">
        <v>60</v>
      </c>
      <c r="L107" s="24" t="s">
        <v>35</v>
      </c>
      <c r="M107" t="s">
        <v>455</v>
      </c>
      <c r="N107" s="17">
        <v>7</v>
      </c>
      <c r="O107" t="s">
        <v>4295</v>
      </c>
      <c r="P107" s="24" t="s">
        <v>45</v>
      </c>
      <c r="Q107" s="19">
        <v>556.2</v>
      </c>
    </row>
    <row r="108" spans="1:17">
      <c r="A108" t="s">
        <v>456</v>
      </c>
      <c r="B108" s="23">
        <v>45177</v>
      </c>
      <c r="C108" s="23" t="str">
        <f t="shared" si="3"/>
        <v>Sep</v>
      </c>
      <c r="D108" s="23" t="str">
        <f t="shared" si="4"/>
        <v>2023</v>
      </c>
      <c r="E108" s="23" t="str">
        <f t="shared" si="5"/>
        <v>Q3</v>
      </c>
      <c r="F108" t="s">
        <v>457</v>
      </c>
      <c r="G108" s="24" t="s">
        <v>73</v>
      </c>
      <c r="H108" s="17">
        <v>3</v>
      </c>
      <c r="I108" s="19">
        <v>465.05</v>
      </c>
      <c r="J108" t="s">
        <v>458</v>
      </c>
      <c r="K108" s="24" t="s">
        <v>34</v>
      </c>
      <c r="L108" s="24" t="s">
        <v>35</v>
      </c>
      <c r="M108" t="s">
        <v>459</v>
      </c>
      <c r="N108" s="17">
        <v>3</v>
      </c>
      <c r="O108" t="s">
        <v>21</v>
      </c>
      <c r="P108" s="24" t="s">
        <v>38</v>
      </c>
      <c r="Q108" s="19">
        <v>1395.15</v>
      </c>
    </row>
    <row r="109" spans="1:17">
      <c r="A109" t="s">
        <v>460</v>
      </c>
      <c r="B109" s="23">
        <v>45012</v>
      </c>
      <c r="C109" s="23" t="str">
        <f t="shared" si="3"/>
        <v>Mar</v>
      </c>
      <c r="D109" s="23" t="str">
        <f t="shared" si="4"/>
        <v>2023</v>
      </c>
      <c r="E109" s="23" t="str">
        <f t="shared" si="5"/>
        <v>Q1</v>
      </c>
      <c r="F109" t="s">
        <v>461</v>
      </c>
      <c r="G109" s="24" t="s">
        <v>48</v>
      </c>
      <c r="H109" s="17">
        <v>5</v>
      </c>
      <c r="I109" s="19">
        <v>670.75</v>
      </c>
      <c r="J109" t="s">
        <v>462</v>
      </c>
      <c r="K109" s="24" t="s">
        <v>60</v>
      </c>
      <c r="L109" s="24" t="s">
        <v>19</v>
      </c>
      <c r="M109" t="s">
        <v>463</v>
      </c>
      <c r="N109" s="17">
        <v>8</v>
      </c>
      <c r="O109" t="s">
        <v>37</v>
      </c>
      <c r="P109" s="24" t="s">
        <v>22</v>
      </c>
      <c r="Q109" s="19">
        <v>3353.75</v>
      </c>
    </row>
    <row r="110" spans="1:17">
      <c r="A110" t="s">
        <v>464</v>
      </c>
      <c r="B110" s="23">
        <v>45654</v>
      </c>
      <c r="C110" s="23" t="str">
        <f t="shared" si="3"/>
        <v>Dec</v>
      </c>
      <c r="D110" s="23" t="str">
        <f t="shared" si="4"/>
        <v>2024</v>
      </c>
      <c r="E110" s="23" t="str">
        <f t="shared" si="5"/>
        <v>Q4</v>
      </c>
      <c r="F110" t="s">
        <v>465</v>
      </c>
      <c r="G110" s="24" t="s">
        <v>58</v>
      </c>
      <c r="H110" s="17">
        <v>5</v>
      </c>
      <c r="I110" s="19">
        <v>48.38</v>
      </c>
      <c r="J110" t="s">
        <v>466</v>
      </c>
      <c r="K110" s="24" t="s">
        <v>60</v>
      </c>
      <c r="L110" s="24" t="s">
        <v>50</v>
      </c>
      <c r="M110" t="s">
        <v>467</v>
      </c>
      <c r="N110" s="17">
        <v>9</v>
      </c>
      <c r="O110" t="s">
        <v>81</v>
      </c>
      <c r="P110" s="24" t="s">
        <v>38</v>
      </c>
      <c r="Q110" s="19">
        <v>241.9</v>
      </c>
    </row>
    <row r="111" spans="1:17">
      <c r="A111" t="s">
        <v>468</v>
      </c>
      <c r="B111" s="23">
        <v>45186</v>
      </c>
      <c r="C111" s="23" t="str">
        <f t="shared" si="3"/>
        <v>Sep</v>
      </c>
      <c r="D111" s="23" t="str">
        <f t="shared" si="4"/>
        <v>2023</v>
      </c>
      <c r="E111" s="23" t="str">
        <f t="shared" si="5"/>
        <v>Q3</v>
      </c>
      <c r="F111" t="s">
        <v>469</v>
      </c>
      <c r="G111" s="24" t="s">
        <v>73</v>
      </c>
      <c r="H111" s="17">
        <v>3</v>
      </c>
      <c r="I111" s="19">
        <v>592.87</v>
      </c>
      <c r="J111" t="s">
        <v>470</v>
      </c>
      <c r="K111" s="24" t="s">
        <v>60</v>
      </c>
      <c r="L111" s="24" t="s">
        <v>19</v>
      </c>
      <c r="M111" t="s">
        <v>471</v>
      </c>
      <c r="N111" s="17">
        <v>3</v>
      </c>
      <c r="O111" t="s">
        <v>37</v>
      </c>
      <c r="P111" s="24" t="s">
        <v>29</v>
      </c>
      <c r="Q111" s="19">
        <v>1778.61</v>
      </c>
    </row>
    <row r="112" spans="1:17">
      <c r="A112" t="s">
        <v>472</v>
      </c>
      <c r="B112" s="23">
        <v>45403</v>
      </c>
      <c r="C112" s="23" t="str">
        <f t="shared" si="3"/>
        <v>Apr</v>
      </c>
      <c r="D112" s="23" t="str">
        <f t="shared" si="4"/>
        <v>2024</v>
      </c>
      <c r="E112" s="23" t="str">
        <f t="shared" si="5"/>
        <v>Q2</v>
      </c>
      <c r="F112" t="s">
        <v>473</v>
      </c>
      <c r="G112" s="24" t="s">
        <v>32</v>
      </c>
      <c r="H112" s="17">
        <v>1</v>
      </c>
      <c r="I112" s="19">
        <v>220.77</v>
      </c>
      <c r="J112" t="s">
        <v>474</v>
      </c>
      <c r="K112" s="24" t="s">
        <v>60</v>
      </c>
      <c r="L112" s="24" t="s">
        <v>89</v>
      </c>
      <c r="M112" t="s">
        <v>475</v>
      </c>
      <c r="N112" s="17">
        <v>5</v>
      </c>
      <c r="O112" t="s">
        <v>37</v>
      </c>
      <c r="P112" s="24" t="s">
        <v>22</v>
      </c>
      <c r="Q112" s="19">
        <v>220.77</v>
      </c>
    </row>
    <row r="113" spans="1:17">
      <c r="A113" t="s">
        <v>476</v>
      </c>
      <c r="B113" s="23">
        <v>45784</v>
      </c>
      <c r="C113" s="23" t="str">
        <f t="shared" si="3"/>
        <v>May</v>
      </c>
      <c r="D113" s="23" t="str">
        <f t="shared" si="4"/>
        <v>2025</v>
      </c>
      <c r="E113" s="23" t="str">
        <f t="shared" si="5"/>
        <v>Q2</v>
      </c>
      <c r="F113" t="s">
        <v>477</v>
      </c>
      <c r="G113" s="24" t="s">
        <v>73</v>
      </c>
      <c r="H113" s="17">
        <v>3</v>
      </c>
      <c r="I113" s="19">
        <v>309.22</v>
      </c>
      <c r="J113" t="s">
        <v>478</v>
      </c>
      <c r="K113" s="24" t="s">
        <v>27</v>
      </c>
      <c r="L113" s="24" t="s">
        <v>35</v>
      </c>
      <c r="M113" t="s">
        <v>479</v>
      </c>
      <c r="N113" s="17">
        <v>7</v>
      </c>
      <c r="O113" t="s">
        <v>37</v>
      </c>
      <c r="P113" s="24" t="s">
        <v>76</v>
      </c>
      <c r="Q113" s="19">
        <v>927.66</v>
      </c>
    </row>
    <row r="114" spans="1:17">
      <c r="A114" t="s">
        <v>480</v>
      </c>
      <c r="B114" s="23">
        <v>44927</v>
      </c>
      <c r="C114" s="23" t="str">
        <f t="shared" si="3"/>
        <v>Jan</v>
      </c>
      <c r="D114" s="23" t="str">
        <f t="shared" si="4"/>
        <v>2023</v>
      </c>
      <c r="E114" s="23" t="str">
        <f t="shared" si="5"/>
        <v>Q1</v>
      </c>
      <c r="F114" t="s">
        <v>481</v>
      </c>
      <c r="G114" s="24" t="s">
        <v>16</v>
      </c>
      <c r="H114" s="17">
        <v>1</v>
      </c>
      <c r="I114" s="19">
        <v>410.6</v>
      </c>
      <c r="J114" t="s">
        <v>482</v>
      </c>
      <c r="K114" s="24" t="s">
        <v>27</v>
      </c>
      <c r="L114" s="24" t="s">
        <v>35</v>
      </c>
      <c r="M114" t="s">
        <v>483</v>
      </c>
      <c r="N114" s="17">
        <v>2</v>
      </c>
      <c r="O114" t="s">
        <v>81</v>
      </c>
      <c r="P114" s="24" t="s">
        <v>29</v>
      </c>
      <c r="Q114" s="19">
        <v>410.6</v>
      </c>
    </row>
    <row r="115" spans="1:17">
      <c r="A115" t="s">
        <v>484</v>
      </c>
      <c r="B115" s="23">
        <v>45308</v>
      </c>
      <c r="C115" s="23" t="str">
        <f t="shared" si="3"/>
        <v>Jan</v>
      </c>
      <c r="D115" s="23" t="str">
        <f t="shared" si="4"/>
        <v>2024</v>
      </c>
      <c r="E115" s="23" t="str">
        <f t="shared" si="5"/>
        <v>Q1</v>
      </c>
      <c r="F115" t="s">
        <v>485</v>
      </c>
      <c r="G115" s="24" t="s">
        <v>58</v>
      </c>
      <c r="H115" s="17">
        <v>5</v>
      </c>
      <c r="I115" s="19">
        <v>190.08</v>
      </c>
      <c r="J115" t="s">
        <v>486</v>
      </c>
      <c r="K115" s="24" t="s">
        <v>65</v>
      </c>
      <c r="L115" s="24" t="s">
        <v>19</v>
      </c>
      <c r="M115" t="s">
        <v>487</v>
      </c>
      <c r="N115" s="17">
        <v>9</v>
      </c>
      <c r="O115" t="s">
        <v>37</v>
      </c>
      <c r="P115" s="24" t="s">
        <v>22</v>
      </c>
      <c r="Q115" s="19">
        <v>950.4</v>
      </c>
    </row>
    <row r="116" spans="1:17">
      <c r="A116" t="s">
        <v>488</v>
      </c>
      <c r="B116" s="23">
        <v>45684</v>
      </c>
      <c r="C116" s="23" t="str">
        <f t="shared" si="3"/>
        <v>Jan</v>
      </c>
      <c r="D116" s="23" t="str">
        <f t="shared" si="4"/>
        <v>2025</v>
      </c>
      <c r="E116" s="23" t="str">
        <f t="shared" si="5"/>
        <v>Q1</v>
      </c>
      <c r="F116" t="s">
        <v>489</v>
      </c>
      <c r="G116" s="24" t="s">
        <v>16</v>
      </c>
      <c r="H116" s="17">
        <v>5</v>
      </c>
      <c r="I116" s="19">
        <v>498.48</v>
      </c>
      <c r="J116" t="s">
        <v>490</v>
      </c>
      <c r="K116" s="24" t="s">
        <v>27</v>
      </c>
      <c r="L116" s="24" t="s">
        <v>89</v>
      </c>
      <c r="M116" t="s">
        <v>491</v>
      </c>
      <c r="N116" s="17">
        <v>8</v>
      </c>
      <c r="O116" t="s">
        <v>21</v>
      </c>
      <c r="P116" s="24" t="s">
        <v>76</v>
      </c>
      <c r="Q116" s="19">
        <v>2492.4</v>
      </c>
    </row>
    <row r="117" spans="1:17">
      <c r="A117" t="s">
        <v>492</v>
      </c>
      <c r="B117" s="23">
        <v>45257</v>
      </c>
      <c r="C117" s="23" t="str">
        <f t="shared" si="3"/>
        <v>Nov</v>
      </c>
      <c r="D117" s="23" t="str">
        <f t="shared" si="4"/>
        <v>2023</v>
      </c>
      <c r="E117" s="23" t="str">
        <f t="shared" si="5"/>
        <v>Q4</v>
      </c>
      <c r="F117" t="s">
        <v>493</v>
      </c>
      <c r="G117" s="24" t="s">
        <v>25</v>
      </c>
      <c r="H117" s="17">
        <v>5</v>
      </c>
      <c r="I117" s="19">
        <v>374.99</v>
      </c>
      <c r="J117" t="s">
        <v>494</v>
      </c>
      <c r="K117" s="24" t="s">
        <v>27</v>
      </c>
      <c r="L117" s="24" t="s">
        <v>19</v>
      </c>
      <c r="M117" t="s">
        <v>495</v>
      </c>
      <c r="N117" s="17">
        <v>9</v>
      </c>
      <c r="O117" t="s">
        <v>21</v>
      </c>
      <c r="P117" s="24" t="s">
        <v>45</v>
      </c>
      <c r="Q117" s="19">
        <v>1874.95</v>
      </c>
    </row>
    <row r="118" spans="1:17">
      <c r="A118" t="s">
        <v>496</v>
      </c>
      <c r="B118" s="23">
        <v>45004</v>
      </c>
      <c r="C118" s="23" t="str">
        <f t="shared" si="3"/>
        <v>Mar</v>
      </c>
      <c r="D118" s="23" t="str">
        <f t="shared" si="4"/>
        <v>2023</v>
      </c>
      <c r="E118" s="23" t="str">
        <f t="shared" si="5"/>
        <v>Q1</v>
      </c>
      <c r="F118" t="s">
        <v>497</v>
      </c>
      <c r="G118" s="24" t="s">
        <v>48</v>
      </c>
      <c r="H118" s="17">
        <v>4</v>
      </c>
      <c r="I118" s="19">
        <v>291.35</v>
      </c>
      <c r="J118" t="s">
        <v>498</v>
      </c>
      <c r="K118" s="24" t="s">
        <v>34</v>
      </c>
      <c r="L118" s="24" t="s">
        <v>35</v>
      </c>
      <c r="M118" t="s">
        <v>499</v>
      </c>
      <c r="N118" s="17">
        <v>6</v>
      </c>
      <c r="O118" t="s">
        <v>81</v>
      </c>
      <c r="P118" s="24" t="s">
        <v>45</v>
      </c>
      <c r="Q118" s="19">
        <v>1165.4</v>
      </c>
    </row>
    <row r="119" spans="1:17">
      <c r="A119" t="s">
        <v>500</v>
      </c>
      <c r="B119" s="23">
        <v>44993</v>
      </c>
      <c r="C119" s="23" t="str">
        <f t="shared" si="3"/>
        <v>Mar</v>
      </c>
      <c r="D119" s="23" t="str">
        <f t="shared" si="4"/>
        <v>2023</v>
      </c>
      <c r="E119" s="23" t="str">
        <f t="shared" si="5"/>
        <v>Q1</v>
      </c>
      <c r="F119" t="s">
        <v>501</v>
      </c>
      <c r="G119" s="24" t="s">
        <v>32</v>
      </c>
      <c r="H119" s="17">
        <v>1</v>
      </c>
      <c r="I119" s="19">
        <v>535.5</v>
      </c>
      <c r="J119" t="s">
        <v>502</v>
      </c>
      <c r="K119" s="24" t="s">
        <v>60</v>
      </c>
      <c r="L119" s="24" t="s">
        <v>35</v>
      </c>
      <c r="M119" t="s">
        <v>503</v>
      </c>
      <c r="N119" s="17">
        <v>5</v>
      </c>
      <c r="O119" t="s">
        <v>81</v>
      </c>
      <c r="P119" s="24" t="s">
        <v>29</v>
      </c>
      <c r="Q119" s="19">
        <v>535.5</v>
      </c>
    </row>
    <row r="120" spans="1:17">
      <c r="A120" t="s">
        <v>504</v>
      </c>
      <c r="B120" s="23">
        <v>45208</v>
      </c>
      <c r="C120" s="23" t="str">
        <f t="shared" si="3"/>
        <v>Oct</v>
      </c>
      <c r="D120" s="23" t="str">
        <f t="shared" si="4"/>
        <v>2023</v>
      </c>
      <c r="E120" s="23" t="str">
        <f t="shared" si="5"/>
        <v>Q4</v>
      </c>
      <c r="F120" t="s">
        <v>505</v>
      </c>
      <c r="G120" s="24" t="s">
        <v>48</v>
      </c>
      <c r="H120" s="17">
        <v>5</v>
      </c>
      <c r="I120" s="19">
        <v>502.71</v>
      </c>
      <c r="J120" t="s">
        <v>506</v>
      </c>
      <c r="K120" s="24" t="s">
        <v>60</v>
      </c>
      <c r="L120" s="24" t="s">
        <v>19</v>
      </c>
      <c r="M120" t="s">
        <v>507</v>
      </c>
      <c r="N120" s="17">
        <v>7</v>
      </c>
      <c r="O120" t="s">
        <v>37</v>
      </c>
      <c r="P120" s="24" t="s">
        <v>76</v>
      </c>
      <c r="Q120" s="19">
        <v>2513.55</v>
      </c>
    </row>
    <row r="121" spans="1:17">
      <c r="A121" t="s">
        <v>508</v>
      </c>
      <c r="B121" s="23">
        <v>45819</v>
      </c>
      <c r="C121" s="23" t="str">
        <f t="shared" si="3"/>
        <v>Jun</v>
      </c>
      <c r="D121" s="23" t="str">
        <f t="shared" si="4"/>
        <v>2025</v>
      </c>
      <c r="E121" s="23" t="str">
        <f t="shared" si="5"/>
        <v>Q2</v>
      </c>
      <c r="F121" t="s">
        <v>509</v>
      </c>
      <c r="G121" s="24" t="s">
        <v>73</v>
      </c>
      <c r="H121" s="17">
        <v>2</v>
      </c>
      <c r="I121" s="19">
        <v>534.67</v>
      </c>
      <c r="J121" t="s">
        <v>510</v>
      </c>
      <c r="K121" s="24" t="s">
        <v>18</v>
      </c>
      <c r="L121" s="24" t="s">
        <v>19</v>
      </c>
      <c r="M121" t="s">
        <v>511</v>
      </c>
      <c r="N121" s="17">
        <v>7</v>
      </c>
      <c r="O121" t="s">
        <v>37</v>
      </c>
      <c r="P121" s="24" t="s">
        <v>29</v>
      </c>
      <c r="Q121" s="19">
        <v>1069.34</v>
      </c>
    </row>
    <row r="122" spans="1:17">
      <c r="A122" t="s">
        <v>512</v>
      </c>
      <c r="B122" s="23">
        <v>45027</v>
      </c>
      <c r="C122" s="23" t="str">
        <f t="shared" si="3"/>
        <v>Apr</v>
      </c>
      <c r="D122" s="23" t="str">
        <f t="shared" si="4"/>
        <v>2023</v>
      </c>
      <c r="E122" s="23" t="str">
        <f t="shared" si="5"/>
        <v>Q2</v>
      </c>
      <c r="F122" t="s">
        <v>513</v>
      </c>
      <c r="G122" s="24" t="s">
        <v>32</v>
      </c>
      <c r="H122" s="17">
        <v>4</v>
      </c>
      <c r="I122" s="19">
        <v>629.34</v>
      </c>
      <c r="J122" t="s">
        <v>59</v>
      </c>
      <c r="K122" s="24" t="s">
        <v>65</v>
      </c>
      <c r="L122" s="24" t="s">
        <v>35</v>
      </c>
      <c r="M122" t="s">
        <v>514</v>
      </c>
      <c r="N122" s="17">
        <v>4</v>
      </c>
      <c r="O122" t="s">
        <v>81</v>
      </c>
      <c r="P122" s="24" t="s">
        <v>22</v>
      </c>
      <c r="Q122" s="19">
        <v>2517.36</v>
      </c>
    </row>
    <row r="123" spans="1:17">
      <c r="A123" t="s">
        <v>515</v>
      </c>
      <c r="B123" s="23">
        <v>45260</v>
      </c>
      <c r="C123" s="23" t="str">
        <f t="shared" si="3"/>
        <v>Nov</v>
      </c>
      <c r="D123" s="23" t="str">
        <f t="shared" si="4"/>
        <v>2023</v>
      </c>
      <c r="E123" s="23" t="str">
        <f t="shared" si="5"/>
        <v>Q4</v>
      </c>
      <c r="F123" t="s">
        <v>516</v>
      </c>
      <c r="G123" s="24" t="s">
        <v>73</v>
      </c>
      <c r="H123" s="17">
        <v>1</v>
      </c>
      <c r="I123" s="19">
        <v>410.78</v>
      </c>
      <c r="J123" t="s">
        <v>517</v>
      </c>
      <c r="K123" s="24" t="s">
        <v>65</v>
      </c>
      <c r="L123" s="24" t="s">
        <v>35</v>
      </c>
      <c r="M123" t="s">
        <v>518</v>
      </c>
      <c r="N123" s="17">
        <v>1</v>
      </c>
      <c r="O123" t="s">
        <v>37</v>
      </c>
      <c r="P123" s="24" t="s">
        <v>22</v>
      </c>
      <c r="Q123" s="19">
        <v>410.78</v>
      </c>
    </row>
    <row r="124" spans="1:17">
      <c r="A124" t="s">
        <v>519</v>
      </c>
      <c r="B124" s="23">
        <v>45397</v>
      </c>
      <c r="C124" s="23" t="str">
        <f t="shared" si="3"/>
        <v>Apr</v>
      </c>
      <c r="D124" s="23" t="str">
        <f t="shared" si="4"/>
        <v>2024</v>
      </c>
      <c r="E124" s="23" t="str">
        <f t="shared" si="5"/>
        <v>Q2</v>
      </c>
      <c r="F124" t="s">
        <v>520</v>
      </c>
      <c r="G124" s="24" t="s">
        <v>58</v>
      </c>
      <c r="H124" s="17">
        <v>2</v>
      </c>
      <c r="I124" s="19">
        <v>533.02</v>
      </c>
      <c r="J124" t="s">
        <v>521</v>
      </c>
      <c r="K124" s="24" t="s">
        <v>60</v>
      </c>
      <c r="L124" s="24" t="s">
        <v>19</v>
      </c>
      <c r="M124" t="s">
        <v>522</v>
      </c>
      <c r="N124" s="17">
        <v>2</v>
      </c>
      <c r="O124" t="s">
        <v>4295</v>
      </c>
      <c r="P124" s="24" t="s">
        <v>45</v>
      </c>
      <c r="Q124" s="19">
        <v>1066.04</v>
      </c>
    </row>
    <row r="125" spans="1:17">
      <c r="A125" t="s">
        <v>523</v>
      </c>
      <c r="B125" s="23">
        <v>45113</v>
      </c>
      <c r="C125" s="23" t="str">
        <f t="shared" si="3"/>
        <v>Jul</v>
      </c>
      <c r="D125" s="23" t="str">
        <f t="shared" si="4"/>
        <v>2023</v>
      </c>
      <c r="E125" s="23" t="str">
        <f t="shared" si="5"/>
        <v>Q3</v>
      </c>
      <c r="F125" t="s">
        <v>524</v>
      </c>
      <c r="G125" s="24" t="s">
        <v>73</v>
      </c>
      <c r="H125" s="17">
        <v>3</v>
      </c>
      <c r="I125" s="19">
        <v>278.04</v>
      </c>
      <c r="J125" t="s">
        <v>525</v>
      </c>
      <c r="K125" s="24" t="s">
        <v>27</v>
      </c>
      <c r="L125" s="24" t="s">
        <v>50</v>
      </c>
      <c r="M125" t="s">
        <v>526</v>
      </c>
      <c r="N125" s="17">
        <v>5</v>
      </c>
      <c r="O125" t="s">
        <v>4295</v>
      </c>
      <c r="P125" s="24" t="s">
        <v>22</v>
      </c>
      <c r="Q125" s="19">
        <v>834.12</v>
      </c>
    </row>
    <row r="126" spans="1:17">
      <c r="A126" t="s">
        <v>527</v>
      </c>
      <c r="B126" s="23">
        <v>45501</v>
      </c>
      <c r="C126" s="23" t="str">
        <f t="shared" si="3"/>
        <v>Jul</v>
      </c>
      <c r="D126" s="23" t="str">
        <f t="shared" si="4"/>
        <v>2024</v>
      </c>
      <c r="E126" s="23" t="str">
        <f t="shared" si="5"/>
        <v>Q3</v>
      </c>
      <c r="F126" t="s">
        <v>528</v>
      </c>
      <c r="G126" s="24" t="s">
        <v>48</v>
      </c>
      <c r="H126" s="17">
        <v>4</v>
      </c>
      <c r="I126" s="19">
        <v>283.79</v>
      </c>
      <c r="J126" t="s">
        <v>529</v>
      </c>
      <c r="K126" s="24" t="s">
        <v>27</v>
      </c>
      <c r="L126" s="24" t="s">
        <v>89</v>
      </c>
      <c r="M126" t="s">
        <v>530</v>
      </c>
      <c r="N126" s="17">
        <v>8</v>
      </c>
      <c r="O126" t="s">
        <v>4295</v>
      </c>
      <c r="P126" s="24" t="s">
        <v>76</v>
      </c>
      <c r="Q126" s="19">
        <v>1135.16</v>
      </c>
    </row>
    <row r="127" spans="1:17">
      <c r="A127" t="s">
        <v>531</v>
      </c>
      <c r="B127" s="23">
        <v>45602</v>
      </c>
      <c r="C127" s="23" t="str">
        <f t="shared" si="3"/>
        <v>Nov</v>
      </c>
      <c r="D127" s="23" t="str">
        <f t="shared" si="4"/>
        <v>2024</v>
      </c>
      <c r="E127" s="23" t="str">
        <f t="shared" si="5"/>
        <v>Q4</v>
      </c>
      <c r="F127" t="s">
        <v>532</v>
      </c>
      <c r="G127" s="24" t="s">
        <v>25</v>
      </c>
      <c r="H127" s="17">
        <v>2</v>
      </c>
      <c r="I127" s="19">
        <v>512.65</v>
      </c>
      <c r="J127" t="s">
        <v>533</v>
      </c>
      <c r="K127" s="24" t="s">
        <v>34</v>
      </c>
      <c r="L127" s="24" t="s">
        <v>19</v>
      </c>
      <c r="M127" t="s">
        <v>534</v>
      </c>
      <c r="N127" s="17">
        <v>5</v>
      </c>
      <c r="O127" t="s">
        <v>21</v>
      </c>
      <c r="P127" s="24" t="s">
        <v>38</v>
      </c>
      <c r="Q127" s="19">
        <v>1025.3</v>
      </c>
    </row>
    <row r="128" spans="1:17">
      <c r="A128" t="s">
        <v>535</v>
      </c>
      <c r="B128" s="23">
        <v>45780</v>
      </c>
      <c r="C128" s="23" t="str">
        <f t="shared" si="3"/>
        <v>May</v>
      </c>
      <c r="D128" s="23" t="str">
        <f t="shared" si="4"/>
        <v>2025</v>
      </c>
      <c r="E128" s="23" t="str">
        <f t="shared" si="5"/>
        <v>Q2</v>
      </c>
      <c r="F128" t="s">
        <v>536</v>
      </c>
      <c r="G128" s="24" t="s">
        <v>73</v>
      </c>
      <c r="H128" s="17">
        <v>4</v>
      </c>
      <c r="I128" s="19">
        <v>275.5</v>
      </c>
      <c r="J128" t="s">
        <v>537</v>
      </c>
      <c r="K128" s="24" t="s">
        <v>60</v>
      </c>
      <c r="L128" s="24" t="s">
        <v>19</v>
      </c>
      <c r="M128" t="s">
        <v>538</v>
      </c>
      <c r="N128" s="17">
        <v>8</v>
      </c>
      <c r="O128" t="s">
        <v>37</v>
      </c>
      <c r="P128" s="24" t="s">
        <v>76</v>
      </c>
      <c r="Q128" s="19">
        <v>1102</v>
      </c>
    </row>
    <row r="129" spans="1:17">
      <c r="A129" t="s">
        <v>539</v>
      </c>
      <c r="B129" s="23">
        <v>45148</v>
      </c>
      <c r="C129" s="23" t="str">
        <f t="shared" si="3"/>
        <v>Aug</v>
      </c>
      <c r="D129" s="23" t="str">
        <f t="shared" si="4"/>
        <v>2023</v>
      </c>
      <c r="E129" s="23" t="str">
        <f t="shared" si="5"/>
        <v>Q3</v>
      </c>
      <c r="F129" t="s">
        <v>540</v>
      </c>
      <c r="G129" s="24" t="s">
        <v>73</v>
      </c>
      <c r="H129" s="17">
        <v>3</v>
      </c>
      <c r="I129" s="19">
        <v>469.32</v>
      </c>
      <c r="J129" t="s">
        <v>541</v>
      </c>
      <c r="K129" s="24" t="s">
        <v>18</v>
      </c>
      <c r="L129" s="24" t="s">
        <v>19</v>
      </c>
      <c r="M129" t="s">
        <v>542</v>
      </c>
      <c r="N129" s="17">
        <v>3</v>
      </c>
      <c r="O129" t="s">
        <v>4295</v>
      </c>
      <c r="P129" s="24" t="s">
        <v>76</v>
      </c>
      <c r="Q129" s="19">
        <v>1407.96</v>
      </c>
    </row>
    <row r="130" spans="1:17">
      <c r="A130" t="s">
        <v>543</v>
      </c>
      <c r="B130" s="23">
        <v>44974</v>
      </c>
      <c r="C130" s="23" t="str">
        <f t="shared" ref="C130:C193" si="6">TEXT(B130,"MMM")</f>
        <v>Feb</v>
      </c>
      <c r="D130" s="23" t="str">
        <f t="shared" ref="D130:D193" si="7">TEXT(B130,"YYYY")</f>
        <v>2023</v>
      </c>
      <c r="E130" s="23" t="str">
        <f t="shared" ref="E130:E193" si="8">"Q"&amp;ROUNDUP(MONTH(B130)/3,0)</f>
        <v>Q1</v>
      </c>
      <c r="F130" t="s">
        <v>544</v>
      </c>
      <c r="G130" s="24" t="s">
        <v>32</v>
      </c>
      <c r="H130" s="17">
        <v>4</v>
      </c>
      <c r="I130" s="19">
        <v>21.07</v>
      </c>
      <c r="J130" t="s">
        <v>545</v>
      </c>
      <c r="K130" s="24" t="s">
        <v>60</v>
      </c>
      <c r="L130" s="24" t="s">
        <v>50</v>
      </c>
      <c r="M130" t="s">
        <v>546</v>
      </c>
      <c r="N130" s="17">
        <v>4</v>
      </c>
      <c r="O130" t="s">
        <v>37</v>
      </c>
      <c r="P130" s="24" t="s">
        <v>76</v>
      </c>
      <c r="Q130" s="19">
        <v>84.28</v>
      </c>
    </row>
    <row r="131" spans="1:17">
      <c r="A131" t="s">
        <v>547</v>
      </c>
      <c r="B131" s="23">
        <v>45226</v>
      </c>
      <c r="C131" s="23" t="str">
        <f t="shared" si="6"/>
        <v>Oct</v>
      </c>
      <c r="D131" s="23" t="str">
        <f t="shared" si="7"/>
        <v>2023</v>
      </c>
      <c r="E131" s="23" t="str">
        <f t="shared" si="8"/>
        <v>Q4</v>
      </c>
      <c r="F131" t="s">
        <v>548</v>
      </c>
      <c r="G131" s="24" t="s">
        <v>58</v>
      </c>
      <c r="H131" s="17">
        <v>4</v>
      </c>
      <c r="I131" s="19">
        <v>263.93</v>
      </c>
      <c r="J131" t="s">
        <v>549</v>
      </c>
      <c r="K131" s="24" t="s">
        <v>18</v>
      </c>
      <c r="L131" s="24" t="s">
        <v>19</v>
      </c>
      <c r="M131" t="s">
        <v>550</v>
      </c>
      <c r="N131" s="17">
        <v>4</v>
      </c>
      <c r="O131" t="s">
        <v>37</v>
      </c>
      <c r="P131" s="24" t="s">
        <v>45</v>
      </c>
      <c r="Q131" s="19">
        <v>1055.72</v>
      </c>
    </row>
    <row r="132" spans="1:17">
      <c r="A132" t="s">
        <v>551</v>
      </c>
      <c r="B132" s="23">
        <v>45679</v>
      </c>
      <c r="C132" s="23" t="str">
        <f t="shared" si="6"/>
        <v>Jan</v>
      </c>
      <c r="D132" s="23" t="str">
        <f t="shared" si="7"/>
        <v>2025</v>
      </c>
      <c r="E132" s="23" t="str">
        <f t="shared" si="8"/>
        <v>Q1</v>
      </c>
      <c r="F132" t="s">
        <v>552</v>
      </c>
      <c r="G132" s="24" t="s">
        <v>73</v>
      </c>
      <c r="H132" s="17">
        <v>3</v>
      </c>
      <c r="I132" s="19">
        <v>501.3</v>
      </c>
      <c r="J132" t="s">
        <v>553</v>
      </c>
      <c r="K132" s="24" t="s">
        <v>27</v>
      </c>
      <c r="L132" s="24" t="s">
        <v>35</v>
      </c>
      <c r="M132" t="s">
        <v>554</v>
      </c>
      <c r="N132" s="17">
        <v>3</v>
      </c>
      <c r="O132" t="s">
        <v>81</v>
      </c>
      <c r="P132" s="24" t="s">
        <v>45</v>
      </c>
      <c r="Q132" s="19">
        <v>1503.9</v>
      </c>
    </row>
    <row r="133" spans="1:17">
      <c r="A133" t="s">
        <v>555</v>
      </c>
      <c r="B133" s="23">
        <v>44934</v>
      </c>
      <c r="C133" s="23" t="str">
        <f t="shared" si="6"/>
        <v>Jan</v>
      </c>
      <c r="D133" s="23" t="str">
        <f t="shared" si="7"/>
        <v>2023</v>
      </c>
      <c r="E133" s="23" t="str">
        <f t="shared" si="8"/>
        <v>Q1</v>
      </c>
      <c r="F133" t="s">
        <v>556</v>
      </c>
      <c r="G133" s="24" t="s">
        <v>32</v>
      </c>
      <c r="H133" s="17">
        <v>1</v>
      </c>
      <c r="I133" s="19">
        <v>84.8</v>
      </c>
      <c r="J133" t="s">
        <v>557</v>
      </c>
      <c r="K133" s="24" t="s">
        <v>60</v>
      </c>
      <c r="L133" s="24" t="s">
        <v>89</v>
      </c>
      <c r="M133" t="s">
        <v>558</v>
      </c>
      <c r="N133" s="17">
        <v>5</v>
      </c>
      <c r="O133" t="s">
        <v>4295</v>
      </c>
      <c r="P133" s="24" t="s">
        <v>22</v>
      </c>
      <c r="Q133" s="19">
        <v>84.8</v>
      </c>
    </row>
    <row r="134" spans="1:17">
      <c r="A134" t="s">
        <v>559</v>
      </c>
      <c r="B134" s="23">
        <v>45013</v>
      </c>
      <c r="C134" s="23" t="str">
        <f t="shared" si="6"/>
        <v>Mar</v>
      </c>
      <c r="D134" s="23" t="str">
        <f t="shared" si="7"/>
        <v>2023</v>
      </c>
      <c r="E134" s="23" t="str">
        <f t="shared" si="8"/>
        <v>Q1</v>
      </c>
      <c r="F134" t="s">
        <v>560</v>
      </c>
      <c r="G134" s="24" t="s">
        <v>32</v>
      </c>
      <c r="H134" s="17">
        <v>4</v>
      </c>
      <c r="I134" s="19">
        <v>450.75</v>
      </c>
      <c r="J134" t="s">
        <v>561</v>
      </c>
      <c r="K134" s="24" t="s">
        <v>34</v>
      </c>
      <c r="L134" s="24" t="s">
        <v>19</v>
      </c>
      <c r="M134" t="s">
        <v>562</v>
      </c>
      <c r="N134" s="17">
        <v>6</v>
      </c>
      <c r="O134" t="s">
        <v>81</v>
      </c>
      <c r="P134" s="24" t="s">
        <v>38</v>
      </c>
      <c r="Q134" s="19">
        <v>1803</v>
      </c>
    </row>
    <row r="135" spans="1:17">
      <c r="A135" t="s">
        <v>563</v>
      </c>
      <c r="B135" s="23">
        <v>45828</v>
      </c>
      <c r="C135" s="23" t="str">
        <f t="shared" si="6"/>
        <v>Jun</v>
      </c>
      <c r="D135" s="23" t="str">
        <f t="shared" si="7"/>
        <v>2025</v>
      </c>
      <c r="E135" s="23" t="str">
        <f t="shared" si="8"/>
        <v>Q2</v>
      </c>
      <c r="F135" t="s">
        <v>564</v>
      </c>
      <c r="G135" s="24" t="s">
        <v>41</v>
      </c>
      <c r="H135" s="17">
        <v>4</v>
      </c>
      <c r="I135" s="19">
        <v>302.05</v>
      </c>
      <c r="J135" t="s">
        <v>565</v>
      </c>
      <c r="K135" s="24" t="s">
        <v>18</v>
      </c>
      <c r="L135" s="24" t="s">
        <v>35</v>
      </c>
      <c r="M135" t="s">
        <v>566</v>
      </c>
      <c r="N135" s="17">
        <v>6</v>
      </c>
      <c r="O135" t="s">
        <v>21</v>
      </c>
      <c r="P135" s="24" t="s">
        <v>76</v>
      </c>
      <c r="Q135" s="19">
        <v>1208.2</v>
      </c>
    </row>
    <row r="136" spans="1:17">
      <c r="A136" t="s">
        <v>567</v>
      </c>
      <c r="B136" s="23">
        <v>45831</v>
      </c>
      <c r="C136" s="23" t="str">
        <f t="shared" si="6"/>
        <v>Jun</v>
      </c>
      <c r="D136" s="23" t="str">
        <f t="shared" si="7"/>
        <v>2025</v>
      </c>
      <c r="E136" s="23" t="str">
        <f t="shared" si="8"/>
        <v>Q2</v>
      </c>
      <c r="F136" t="s">
        <v>568</v>
      </c>
      <c r="G136" s="24" t="s">
        <v>58</v>
      </c>
      <c r="H136" s="17">
        <v>2</v>
      </c>
      <c r="I136" s="19">
        <v>199.7</v>
      </c>
      <c r="J136" t="s">
        <v>561</v>
      </c>
      <c r="K136" s="24" t="s">
        <v>65</v>
      </c>
      <c r="L136" s="24" t="s">
        <v>89</v>
      </c>
      <c r="M136" t="s">
        <v>569</v>
      </c>
      <c r="N136" s="17">
        <v>4</v>
      </c>
      <c r="O136" t="s">
        <v>4295</v>
      </c>
      <c r="P136" s="24" t="s">
        <v>38</v>
      </c>
      <c r="Q136" s="19">
        <v>399.4</v>
      </c>
    </row>
    <row r="137" spans="1:17">
      <c r="A137" t="s">
        <v>570</v>
      </c>
      <c r="B137" s="23">
        <v>45142</v>
      </c>
      <c r="C137" s="23" t="str">
        <f t="shared" si="6"/>
        <v>Aug</v>
      </c>
      <c r="D137" s="23" t="str">
        <f t="shared" si="7"/>
        <v>2023</v>
      </c>
      <c r="E137" s="23" t="str">
        <f t="shared" si="8"/>
        <v>Q3</v>
      </c>
      <c r="F137" t="s">
        <v>571</v>
      </c>
      <c r="G137" s="24" t="s">
        <v>48</v>
      </c>
      <c r="H137" s="17">
        <v>2</v>
      </c>
      <c r="I137" s="19">
        <v>68.81</v>
      </c>
      <c r="J137" t="s">
        <v>572</v>
      </c>
      <c r="K137" s="24" t="s">
        <v>60</v>
      </c>
      <c r="L137" s="24" t="s">
        <v>19</v>
      </c>
      <c r="M137" t="s">
        <v>573</v>
      </c>
      <c r="N137" s="17">
        <v>5</v>
      </c>
      <c r="O137" t="s">
        <v>21</v>
      </c>
      <c r="P137" s="24" t="s">
        <v>29</v>
      </c>
      <c r="Q137" s="19">
        <v>137.62</v>
      </c>
    </row>
    <row r="138" spans="1:17">
      <c r="A138" t="s">
        <v>574</v>
      </c>
      <c r="B138" s="23">
        <v>45409</v>
      </c>
      <c r="C138" s="23" t="str">
        <f t="shared" si="6"/>
        <v>Apr</v>
      </c>
      <c r="D138" s="23" t="str">
        <f t="shared" si="7"/>
        <v>2024</v>
      </c>
      <c r="E138" s="23" t="str">
        <f t="shared" si="8"/>
        <v>Q2</v>
      </c>
      <c r="F138" t="s">
        <v>575</v>
      </c>
      <c r="G138" s="24" t="s">
        <v>58</v>
      </c>
      <c r="H138" s="17">
        <v>1</v>
      </c>
      <c r="I138" s="19">
        <v>44.35</v>
      </c>
      <c r="J138" t="s">
        <v>576</v>
      </c>
      <c r="K138" s="24" t="s">
        <v>60</v>
      </c>
      <c r="L138" s="24" t="s">
        <v>35</v>
      </c>
      <c r="M138" t="s">
        <v>577</v>
      </c>
      <c r="N138" s="17">
        <v>1</v>
      </c>
      <c r="O138" t="s">
        <v>21</v>
      </c>
      <c r="P138" s="24" t="s">
        <v>22</v>
      </c>
      <c r="Q138" s="19">
        <v>44.35</v>
      </c>
    </row>
    <row r="139" spans="1:17">
      <c r="A139" t="s">
        <v>578</v>
      </c>
      <c r="B139" s="23">
        <v>45622</v>
      </c>
      <c r="C139" s="23" t="str">
        <f t="shared" si="6"/>
        <v>Nov</v>
      </c>
      <c r="D139" s="23" t="str">
        <f t="shared" si="7"/>
        <v>2024</v>
      </c>
      <c r="E139" s="23" t="str">
        <f t="shared" si="8"/>
        <v>Q4</v>
      </c>
      <c r="F139" t="s">
        <v>579</v>
      </c>
      <c r="G139" s="24" t="s">
        <v>16</v>
      </c>
      <c r="H139" s="17">
        <v>2</v>
      </c>
      <c r="I139" s="19">
        <v>250.98</v>
      </c>
      <c r="J139" t="s">
        <v>580</v>
      </c>
      <c r="K139" s="24" t="s">
        <v>34</v>
      </c>
      <c r="L139" s="24" t="s">
        <v>50</v>
      </c>
      <c r="M139" t="s">
        <v>581</v>
      </c>
      <c r="N139" s="17">
        <v>5</v>
      </c>
      <c r="O139" t="s">
        <v>4295</v>
      </c>
      <c r="P139" s="24" t="s">
        <v>76</v>
      </c>
      <c r="Q139" s="19">
        <v>501.96</v>
      </c>
    </row>
    <row r="140" spans="1:17">
      <c r="A140" t="s">
        <v>582</v>
      </c>
      <c r="B140" s="23">
        <v>45281</v>
      </c>
      <c r="C140" s="23" t="str">
        <f t="shared" si="6"/>
        <v>Dec</v>
      </c>
      <c r="D140" s="23" t="str">
        <f t="shared" si="7"/>
        <v>2023</v>
      </c>
      <c r="E140" s="23" t="str">
        <f t="shared" si="8"/>
        <v>Q4</v>
      </c>
      <c r="F140" t="s">
        <v>583</v>
      </c>
      <c r="G140" s="24" t="s">
        <v>32</v>
      </c>
      <c r="H140" s="17">
        <v>1</v>
      </c>
      <c r="I140" s="19">
        <v>298.06</v>
      </c>
      <c r="J140" t="s">
        <v>584</v>
      </c>
      <c r="K140" s="24" t="s">
        <v>18</v>
      </c>
      <c r="L140" s="24" t="s">
        <v>89</v>
      </c>
      <c r="M140" t="s">
        <v>585</v>
      </c>
      <c r="N140" s="17">
        <v>3</v>
      </c>
      <c r="O140" t="s">
        <v>81</v>
      </c>
      <c r="P140" s="24" t="s">
        <v>76</v>
      </c>
      <c r="Q140" s="19">
        <v>298.06</v>
      </c>
    </row>
    <row r="141" spans="1:17">
      <c r="A141" t="s">
        <v>586</v>
      </c>
      <c r="B141" s="23">
        <v>45026</v>
      </c>
      <c r="C141" s="23" t="str">
        <f t="shared" si="6"/>
        <v>Apr</v>
      </c>
      <c r="D141" s="23" t="str">
        <f t="shared" si="7"/>
        <v>2023</v>
      </c>
      <c r="E141" s="23" t="str">
        <f t="shared" si="8"/>
        <v>Q2</v>
      </c>
      <c r="F141" t="s">
        <v>587</v>
      </c>
      <c r="G141" s="24" t="s">
        <v>25</v>
      </c>
      <c r="H141" s="17">
        <v>1</v>
      </c>
      <c r="I141" s="19">
        <v>583.9</v>
      </c>
      <c r="J141" t="s">
        <v>588</v>
      </c>
      <c r="K141" s="24" t="s">
        <v>65</v>
      </c>
      <c r="L141" s="24" t="s">
        <v>43</v>
      </c>
      <c r="M141" t="s">
        <v>589</v>
      </c>
      <c r="N141" s="17">
        <v>1</v>
      </c>
      <c r="O141" t="s">
        <v>4295</v>
      </c>
      <c r="P141" s="24" t="s">
        <v>38</v>
      </c>
      <c r="Q141" s="19">
        <v>583.9</v>
      </c>
    </row>
    <row r="142" spans="1:17">
      <c r="A142" t="s">
        <v>590</v>
      </c>
      <c r="B142" s="23">
        <v>45808</v>
      </c>
      <c r="C142" s="23" t="str">
        <f t="shared" si="6"/>
        <v>May</v>
      </c>
      <c r="D142" s="23" t="str">
        <f t="shared" si="7"/>
        <v>2025</v>
      </c>
      <c r="E142" s="23" t="str">
        <f t="shared" si="8"/>
        <v>Q2</v>
      </c>
      <c r="F142" t="s">
        <v>591</v>
      </c>
      <c r="G142" s="24" t="s">
        <v>41</v>
      </c>
      <c r="H142" s="17">
        <v>3</v>
      </c>
      <c r="I142" s="19">
        <v>528.14</v>
      </c>
      <c r="J142" t="s">
        <v>474</v>
      </c>
      <c r="K142" s="24" t="s">
        <v>27</v>
      </c>
      <c r="L142" s="24" t="s">
        <v>50</v>
      </c>
      <c r="M142" t="s">
        <v>592</v>
      </c>
      <c r="N142" s="17">
        <v>3</v>
      </c>
      <c r="O142" t="s">
        <v>37</v>
      </c>
      <c r="P142" s="24" t="s">
        <v>38</v>
      </c>
      <c r="Q142" s="19">
        <v>1584.42</v>
      </c>
    </row>
    <row r="143" spans="1:17">
      <c r="A143" t="s">
        <v>593</v>
      </c>
      <c r="B143" s="23">
        <v>45248</v>
      </c>
      <c r="C143" s="23" t="str">
        <f t="shared" si="6"/>
        <v>Nov</v>
      </c>
      <c r="D143" s="23" t="str">
        <f t="shared" si="7"/>
        <v>2023</v>
      </c>
      <c r="E143" s="23" t="str">
        <f t="shared" si="8"/>
        <v>Q4</v>
      </c>
      <c r="F143" t="s">
        <v>594</v>
      </c>
      <c r="G143" s="24" t="s">
        <v>48</v>
      </c>
      <c r="H143" s="17">
        <v>3</v>
      </c>
      <c r="I143" s="19">
        <v>684.14</v>
      </c>
      <c r="J143" t="s">
        <v>595</v>
      </c>
      <c r="K143" s="24" t="s">
        <v>65</v>
      </c>
      <c r="L143" s="24" t="s">
        <v>35</v>
      </c>
      <c r="M143" t="s">
        <v>596</v>
      </c>
      <c r="N143" s="17">
        <v>3</v>
      </c>
      <c r="O143" t="s">
        <v>81</v>
      </c>
      <c r="P143" s="24" t="s">
        <v>22</v>
      </c>
      <c r="Q143" s="19">
        <v>2052.42</v>
      </c>
    </row>
    <row r="144" spans="1:17">
      <c r="A144" t="s">
        <v>597</v>
      </c>
      <c r="B144" s="23">
        <v>45175</v>
      </c>
      <c r="C144" s="23" t="str">
        <f t="shared" si="6"/>
        <v>Sep</v>
      </c>
      <c r="D144" s="23" t="str">
        <f t="shared" si="7"/>
        <v>2023</v>
      </c>
      <c r="E144" s="23" t="str">
        <f t="shared" si="8"/>
        <v>Q3</v>
      </c>
      <c r="F144" t="s">
        <v>598</v>
      </c>
      <c r="G144" s="24" t="s">
        <v>73</v>
      </c>
      <c r="H144" s="17">
        <v>5</v>
      </c>
      <c r="I144" s="19">
        <v>272.77</v>
      </c>
      <c r="J144" t="s">
        <v>599</v>
      </c>
      <c r="K144" s="24" t="s">
        <v>65</v>
      </c>
      <c r="L144" s="24" t="s">
        <v>89</v>
      </c>
      <c r="M144" t="s">
        <v>600</v>
      </c>
      <c r="N144" s="17">
        <v>7</v>
      </c>
      <c r="O144" t="s">
        <v>81</v>
      </c>
      <c r="P144" s="24" t="s">
        <v>38</v>
      </c>
      <c r="Q144" s="19">
        <v>1363.85</v>
      </c>
    </row>
    <row r="145" spans="1:17">
      <c r="A145" t="s">
        <v>601</v>
      </c>
      <c r="B145" s="23">
        <v>45456</v>
      </c>
      <c r="C145" s="23" t="str">
        <f t="shared" si="6"/>
        <v>Jun</v>
      </c>
      <c r="D145" s="23" t="str">
        <f t="shared" si="7"/>
        <v>2024</v>
      </c>
      <c r="E145" s="23" t="str">
        <f t="shared" si="8"/>
        <v>Q2</v>
      </c>
      <c r="F145" t="s">
        <v>602</v>
      </c>
      <c r="G145" s="24" t="s">
        <v>41</v>
      </c>
      <c r="H145" s="17">
        <v>4</v>
      </c>
      <c r="I145" s="19">
        <v>400.07</v>
      </c>
      <c r="J145" t="s">
        <v>603</v>
      </c>
      <c r="K145" s="24" t="s">
        <v>27</v>
      </c>
      <c r="L145" s="24" t="s">
        <v>19</v>
      </c>
      <c r="M145" t="s">
        <v>604</v>
      </c>
      <c r="N145" s="17">
        <v>5</v>
      </c>
      <c r="O145" t="s">
        <v>4295</v>
      </c>
      <c r="P145" s="24" t="s">
        <v>29</v>
      </c>
      <c r="Q145" s="19">
        <v>1600.28</v>
      </c>
    </row>
    <row r="146" spans="1:17">
      <c r="A146" t="s">
        <v>605</v>
      </c>
      <c r="B146" s="23">
        <v>45142</v>
      </c>
      <c r="C146" s="23" t="str">
        <f t="shared" si="6"/>
        <v>Aug</v>
      </c>
      <c r="D146" s="23" t="str">
        <f t="shared" si="7"/>
        <v>2023</v>
      </c>
      <c r="E146" s="23" t="str">
        <f t="shared" si="8"/>
        <v>Q3</v>
      </c>
      <c r="F146" t="s">
        <v>606</v>
      </c>
      <c r="G146" s="24" t="s">
        <v>73</v>
      </c>
      <c r="H146" s="17">
        <v>5</v>
      </c>
      <c r="I146" s="19">
        <v>219.78</v>
      </c>
      <c r="J146" t="s">
        <v>161</v>
      </c>
      <c r="K146" s="24" t="s">
        <v>34</v>
      </c>
      <c r="L146" s="24" t="s">
        <v>89</v>
      </c>
      <c r="M146" t="s">
        <v>607</v>
      </c>
      <c r="N146" s="17">
        <v>8</v>
      </c>
      <c r="O146" t="s">
        <v>4295</v>
      </c>
      <c r="P146" s="24" t="s">
        <v>45</v>
      </c>
      <c r="Q146" s="19">
        <v>1098.9</v>
      </c>
    </row>
    <row r="147" spans="1:17">
      <c r="A147" t="s">
        <v>608</v>
      </c>
      <c r="B147" s="23">
        <v>45353</v>
      </c>
      <c r="C147" s="23" t="str">
        <f t="shared" si="6"/>
        <v>Mar</v>
      </c>
      <c r="D147" s="23" t="str">
        <f t="shared" si="7"/>
        <v>2024</v>
      </c>
      <c r="E147" s="23" t="str">
        <f t="shared" si="8"/>
        <v>Q1</v>
      </c>
      <c r="F147" t="s">
        <v>609</v>
      </c>
      <c r="G147" s="24" t="s">
        <v>48</v>
      </c>
      <c r="H147" s="17">
        <v>3</v>
      </c>
      <c r="I147" s="19">
        <v>146.91</v>
      </c>
      <c r="J147" t="s">
        <v>610</v>
      </c>
      <c r="K147" s="24" t="s">
        <v>34</v>
      </c>
      <c r="L147" s="24" t="s">
        <v>50</v>
      </c>
      <c r="M147" t="s">
        <v>611</v>
      </c>
      <c r="N147" s="17">
        <v>6</v>
      </c>
      <c r="O147" t="s">
        <v>37</v>
      </c>
      <c r="P147" s="24" t="s">
        <v>76</v>
      </c>
      <c r="Q147" s="19">
        <v>440.73</v>
      </c>
    </row>
    <row r="148" spans="1:17">
      <c r="A148" t="s">
        <v>612</v>
      </c>
      <c r="B148" s="23">
        <v>45777</v>
      </c>
      <c r="C148" s="23" t="str">
        <f t="shared" si="6"/>
        <v>Apr</v>
      </c>
      <c r="D148" s="23" t="str">
        <f t="shared" si="7"/>
        <v>2025</v>
      </c>
      <c r="E148" s="23" t="str">
        <f t="shared" si="8"/>
        <v>Q2</v>
      </c>
      <c r="F148" t="s">
        <v>613</v>
      </c>
      <c r="G148" s="24" t="s">
        <v>32</v>
      </c>
      <c r="H148" s="17">
        <v>2</v>
      </c>
      <c r="I148" s="19">
        <v>411.49</v>
      </c>
      <c r="J148" t="s">
        <v>614</v>
      </c>
      <c r="K148" s="24" t="s">
        <v>34</v>
      </c>
      <c r="L148" s="24" t="s">
        <v>43</v>
      </c>
      <c r="M148" t="s">
        <v>615</v>
      </c>
      <c r="N148" s="17">
        <v>4</v>
      </c>
      <c r="O148" t="s">
        <v>4295</v>
      </c>
      <c r="P148" s="24" t="s">
        <v>22</v>
      </c>
      <c r="Q148" s="19">
        <v>822.98</v>
      </c>
    </row>
    <row r="149" spans="1:17">
      <c r="A149" t="s">
        <v>616</v>
      </c>
      <c r="B149" s="23">
        <v>45783</v>
      </c>
      <c r="C149" s="23" t="str">
        <f t="shared" si="6"/>
        <v>May</v>
      </c>
      <c r="D149" s="23" t="str">
        <f t="shared" si="7"/>
        <v>2025</v>
      </c>
      <c r="E149" s="23" t="str">
        <f t="shared" si="8"/>
        <v>Q2</v>
      </c>
      <c r="F149" t="s">
        <v>617</v>
      </c>
      <c r="G149" s="24" t="s">
        <v>58</v>
      </c>
      <c r="H149" s="17">
        <v>2</v>
      </c>
      <c r="I149" s="19">
        <v>465.18</v>
      </c>
      <c r="J149" t="s">
        <v>618</v>
      </c>
      <c r="K149" s="24" t="s">
        <v>34</v>
      </c>
      <c r="L149" s="24" t="s">
        <v>35</v>
      </c>
      <c r="M149" t="s">
        <v>619</v>
      </c>
      <c r="N149" s="17">
        <v>2</v>
      </c>
      <c r="O149" t="s">
        <v>21</v>
      </c>
      <c r="P149" s="24" t="s">
        <v>76</v>
      </c>
      <c r="Q149" s="19">
        <v>930.36</v>
      </c>
    </row>
    <row r="150" spans="1:17">
      <c r="A150" t="s">
        <v>620</v>
      </c>
      <c r="B150" s="23">
        <v>45641</v>
      </c>
      <c r="C150" s="23" t="str">
        <f t="shared" si="6"/>
        <v>Dec</v>
      </c>
      <c r="D150" s="23" t="str">
        <f t="shared" si="7"/>
        <v>2024</v>
      </c>
      <c r="E150" s="23" t="str">
        <f t="shared" si="8"/>
        <v>Q4</v>
      </c>
      <c r="F150" t="s">
        <v>621</v>
      </c>
      <c r="G150" s="24" t="s">
        <v>25</v>
      </c>
      <c r="H150" s="17">
        <v>2</v>
      </c>
      <c r="I150" s="19">
        <v>319.91</v>
      </c>
      <c r="J150" t="s">
        <v>622</v>
      </c>
      <c r="K150" s="24" t="s">
        <v>34</v>
      </c>
      <c r="L150" s="24" t="s">
        <v>35</v>
      </c>
      <c r="M150" t="s">
        <v>623</v>
      </c>
      <c r="N150" s="17">
        <v>3</v>
      </c>
      <c r="O150" t="s">
        <v>81</v>
      </c>
      <c r="P150" s="24" t="s">
        <v>76</v>
      </c>
      <c r="Q150" s="19">
        <v>639.82</v>
      </c>
    </row>
    <row r="151" spans="1:17">
      <c r="A151" t="s">
        <v>624</v>
      </c>
      <c r="B151" s="23">
        <v>45287</v>
      </c>
      <c r="C151" s="23" t="str">
        <f t="shared" si="6"/>
        <v>Dec</v>
      </c>
      <c r="D151" s="23" t="str">
        <f t="shared" si="7"/>
        <v>2023</v>
      </c>
      <c r="E151" s="23" t="str">
        <f t="shared" si="8"/>
        <v>Q4</v>
      </c>
      <c r="F151" t="s">
        <v>625</v>
      </c>
      <c r="G151" s="24" t="s">
        <v>58</v>
      </c>
      <c r="H151" s="17">
        <v>1</v>
      </c>
      <c r="I151" s="19">
        <v>217.56</v>
      </c>
      <c r="J151" t="s">
        <v>626</v>
      </c>
      <c r="K151" s="24" t="s">
        <v>18</v>
      </c>
      <c r="L151" s="24" t="s">
        <v>50</v>
      </c>
      <c r="M151" t="s">
        <v>627</v>
      </c>
      <c r="N151" s="17">
        <v>3</v>
      </c>
      <c r="O151" t="s">
        <v>4295</v>
      </c>
      <c r="P151" s="24" t="s">
        <v>45</v>
      </c>
      <c r="Q151" s="19">
        <v>217.56</v>
      </c>
    </row>
    <row r="152" spans="1:17">
      <c r="A152" t="s">
        <v>628</v>
      </c>
      <c r="B152" s="23">
        <v>45273</v>
      </c>
      <c r="C152" s="23" t="str">
        <f t="shared" si="6"/>
        <v>Dec</v>
      </c>
      <c r="D152" s="23" t="str">
        <f t="shared" si="7"/>
        <v>2023</v>
      </c>
      <c r="E152" s="23" t="str">
        <f t="shared" si="8"/>
        <v>Q4</v>
      </c>
      <c r="F152" t="s">
        <v>629</v>
      </c>
      <c r="G152" s="24" t="s">
        <v>25</v>
      </c>
      <c r="H152" s="17">
        <v>2</v>
      </c>
      <c r="I152" s="19">
        <v>105.57</v>
      </c>
      <c r="J152" t="s">
        <v>630</v>
      </c>
      <c r="K152" s="24" t="s">
        <v>18</v>
      </c>
      <c r="L152" s="24" t="s">
        <v>43</v>
      </c>
      <c r="M152" t="s">
        <v>631</v>
      </c>
      <c r="N152" s="17">
        <v>5</v>
      </c>
      <c r="O152" t="s">
        <v>81</v>
      </c>
      <c r="P152" s="24" t="s">
        <v>76</v>
      </c>
      <c r="Q152" s="19">
        <v>211.14</v>
      </c>
    </row>
    <row r="153" spans="1:17">
      <c r="A153" t="s">
        <v>632</v>
      </c>
      <c r="B153" s="23">
        <v>45261</v>
      </c>
      <c r="C153" s="23" t="str">
        <f t="shared" si="6"/>
        <v>Dec</v>
      </c>
      <c r="D153" s="23" t="str">
        <f t="shared" si="7"/>
        <v>2023</v>
      </c>
      <c r="E153" s="23" t="str">
        <f t="shared" si="8"/>
        <v>Q4</v>
      </c>
      <c r="F153" t="s">
        <v>633</v>
      </c>
      <c r="G153" s="24" t="s">
        <v>48</v>
      </c>
      <c r="H153" s="17">
        <v>5</v>
      </c>
      <c r="I153" s="19">
        <v>444.76</v>
      </c>
      <c r="J153" t="s">
        <v>634</v>
      </c>
      <c r="K153" s="24" t="s">
        <v>18</v>
      </c>
      <c r="L153" s="24" t="s">
        <v>43</v>
      </c>
      <c r="M153" t="s">
        <v>635</v>
      </c>
      <c r="N153" s="17">
        <v>7</v>
      </c>
      <c r="O153" t="s">
        <v>4295</v>
      </c>
      <c r="P153" s="24" t="s">
        <v>38</v>
      </c>
      <c r="Q153" s="19">
        <v>2223.8</v>
      </c>
    </row>
    <row r="154" spans="1:17">
      <c r="A154" t="s">
        <v>636</v>
      </c>
      <c r="B154" s="23">
        <v>45659</v>
      </c>
      <c r="C154" s="23" t="str">
        <f t="shared" si="6"/>
        <v>Jan</v>
      </c>
      <c r="D154" s="23" t="str">
        <f t="shared" si="7"/>
        <v>2025</v>
      </c>
      <c r="E154" s="23" t="str">
        <f t="shared" si="8"/>
        <v>Q1</v>
      </c>
      <c r="F154" t="s">
        <v>637</v>
      </c>
      <c r="G154" s="24" t="s">
        <v>41</v>
      </c>
      <c r="H154" s="17">
        <v>2</v>
      </c>
      <c r="I154" s="19">
        <v>399.04</v>
      </c>
      <c r="J154" t="s">
        <v>638</v>
      </c>
      <c r="K154" s="24" t="s">
        <v>65</v>
      </c>
      <c r="L154" s="24" t="s">
        <v>35</v>
      </c>
      <c r="M154" t="s">
        <v>639</v>
      </c>
      <c r="N154" s="17">
        <v>3</v>
      </c>
      <c r="O154" t="s">
        <v>37</v>
      </c>
      <c r="P154" s="24" t="s">
        <v>29</v>
      </c>
      <c r="Q154" s="19">
        <v>798.08</v>
      </c>
    </row>
    <row r="155" spans="1:17">
      <c r="A155" t="s">
        <v>640</v>
      </c>
      <c r="B155" s="23">
        <v>45644</v>
      </c>
      <c r="C155" s="23" t="str">
        <f t="shared" si="6"/>
        <v>Dec</v>
      </c>
      <c r="D155" s="23" t="str">
        <f t="shared" si="7"/>
        <v>2024</v>
      </c>
      <c r="E155" s="23" t="str">
        <f t="shared" si="8"/>
        <v>Q4</v>
      </c>
      <c r="F155" t="s">
        <v>641</v>
      </c>
      <c r="G155" s="24" t="s">
        <v>41</v>
      </c>
      <c r="H155" s="17">
        <v>4</v>
      </c>
      <c r="I155" s="19">
        <v>534.48</v>
      </c>
      <c r="J155" t="s">
        <v>642</v>
      </c>
      <c r="K155" s="24" t="s">
        <v>27</v>
      </c>
      <c r="L155" s="24" t="s">
        <v>43</v>
      </c>
      <c r="M155" t="s">
        <v>643</v>
      </c>
      <c r="N155" s="17">
        <v>9</v>
      </c>
      <c r="O155" t="s">
        <v>81</v>
      </c>
      <c r="P155" s="24" t="s">
        <v>22</v>
      </c>
      <c r="Q155" s="19">
        <v>2137.92</v>
      </c>
    </row>
    <row r="156" spans="1:17">
      <c r="A156" t="s">
        <v>644</v>
      </c>
      <c r="B156" s="23">
        <v>45127</v>
      </c>
      <c r="C156" s="23" t="str">
        <f t="shared" si="6"/>
        <v>Jul</v>
      </c>
      <c r="D156" s="23" t="str">
        <f t="shared" si="7"/>
        <v>2023</v>
      </c>
      <c r="E156" s="23" t="str">
        <f t="shared" si="8"/>
        <v>Q3</v>
      </c>
      <c r="F156" t="s">
        <v>645</v>
      </c>
      <c r="G156" s="24" t="s">
        <v>25</v>
      </c>
      <c r="H156" s="17">
        <v>4</v>
      </c>
      <c r="I156" s="19">
        <v>408.21</v>
      </c>
      <c r="J156" t="s">
        <v>525</v>
      </c>
      <c r="K156" s="24" t="s">
        <v>34</v>
      </c>
      <c r="L156" s="24" t="s">
        <v>89</v>
      </c>
      <c r="M156" t="s">
        <v>646</v>
      </c>
      <c r="N156" s="17">
        <v>9</v>
      </c>
      <c r="O156" t="s">
        <v>4295</v>
      </c>
      <c r="P156" s="24" t="s">
        <v>22</v>
      </c>
      <c r="Q156" s="19">
        <v>1632.84</v>
      </c>
    </row>
    <row r="157" spans="1:17">
      <c r="A157" t="s">
        <v>647</v>
      </c>
      <c r="B157" s="23">
        <v>44984</v>
      </c>
      <c r="C157" s="23" t="str">
        <f t="shared" si="6"/>
        <v>Feb</v>
      </c>
      <c r="D157" s="23" t="str">
        <f t="shared" si="7"/>
        <v>2023</v>
      </c>
      <c r="E157" s="23" t="str">
        <f t="shared" si="8"/>
        <v>Q1</v>
      </c>
      <c r="F157" t="s">
        <v>648</v>
      </c>
      <c r="G157" s="24" t="s">
        <v>25</v>
      </c>
      <c r="H157" s="17">
        <v>1</v>
      </c>
      <c r="I157" s="19">
        <v>424.4</v>
      </c>
      <c r="J157" t="s">
        <v>238</v>
      </c>
      <c r="K157" s="24" t="s">
        <v>27</v>
      </c>
      <c r="L157" s="24" t="s">
        <v>19</v>
      </c>
      <c r="M157" t="s">
        <v>649</v>
      </c>
      <c r="N157" s="17">
        <v>6</v>
      </c>
      <c r="O157" t="s">
        <v>81</v>
      </c>
      <c r="P157" s="24" t="s">
        <v>29</v>
      </c>
      <c r="Q157" s="19">
        <v>424.4</v>
      </c>
    </row>
    <row r="158" spans="1:17">
      <c r="A158" t="s">
        <v>650</v>
      </c>
      <c r="B158" s="23">
        <v>45604</v>
      </c>
      <c r="C158" s="23" t="str">
        <f t="shared" si="6"/>
        <v>Nov</v>
      </c>
      <c r="D158" s="23" t="str">
        <f t="shared" si="7"/>
        <v>2024</v>
      </c>
      <c r="E158" s="23" t="str">
        <f t="shared" si="8"/>
        <v>Q4</v>
      </c>
      <c r="F158" t="s">
        <v>651</v>
      </c>
      <c r="G158" s="24" t="s">
        <v>41</v>
      </c>
      <c r="H158" s="17">
        <v>2</v>
      </c>
      <c r="I158" s="19">
        <v>269.83</v>
      </c>
      <c r="J158" t="s">
        <v>652</v>
      </c>
      <c r="K158" s="24" t="s">
        <v>27</v>
      </c>
      <c r="L158" s="24" t="s">
        <v>50</v>
      </c>
      <c r="M158" t="s">
        <v>653</v>
      </c>
      <c r="N158" s="17">
        <v>4</v>
      </c>
      <c r="O158" t="s">
        <v>21</v>
      </c>
      <c r="P158" s="24" t="s">
        <v>38</v>
      </c>
      <c r="Q158" s="19">
        <v>539.66</v>
      </c>
    </row>
    <row r="159" spans="1:17">
      <c r="A159" t="s">
        <v>654</v>
      </c>
      <c r="B159" s="23">
        <v>45709</v>
      </c>
      <c r="C159" s="23" t="str">
        <f t="shared" si="6"/>
        <v>Feb</v>
      </c>
      <c r="D159" s="23" t="str">
        <f t="shared" si="7"/>
        <v>2025</v>
      </c>
      <c r="E159" s="23" t="str">
        <f t="shared" si="8"/>
        <v>Q1</v>
      </c>
      <c r="F159" t="s">
        <v>655</v>
      </c>
      <c r="G159" s="24" t="s">
        <v>16</v>
      </c>
      <c r="H159" s="17">
        <v>2</v>
      </c>
      <c r="I159" s="19">
        <v>564.58</v>
      </c>
      <c r="J159" t="s">
        <v>565</v>
      </c>
      <c r="K159" s="24" t="s">
        <v>27</v>
      </c>
      <c r="L159" s="24" t="s">
        <v>43</v>
      </c>
      <c r="M159" t="s">
        <v>656</v>
      </c>
      <c r="N159" s="17">
        <v>4</v>
      </c>
      <c r="O159" t="s">
        <v>81</v>
      </c>
      <c r="P159" s="24" t="s">
        <v>45</v>
      </c>
      <c r="Q159" s="19">
        <v>1129.16</v>
      </c>
    </row>
    <row r="160" spans="1:17">
      <c r="A160" t="s">
        <v>657</v>
      </c>
      <c r="B160" s="23">
        <v>45428</v>
      </c>
      <c r="C160" s="23" t="str">
        <f t="shared" si="6"/>
        <v>May</v>
      </c>
      <c r="D160" s="23" t="str">
        <f t="shared" si="7"/>
        <v>2024</v>
      </c>
      <c r="E160" s="23" t="str">
        <f t="shared" si="8"/>
        <v>Q2</v>
      </c>
      <c r="F160" t="s">
        <v>658</v>
      </c>
      <c r="G160" s="24" t="s">
        <v>32</v>
      </c>
      <c r="H160" s="17">
        <v>1</v>
      </c>
      <c r="I160" s="19">
        <v>331.06</v>
      </c>
      <c r="J160" t="s">
        <v>659</v>
      </c>
      <c r="K160" s="24" t="s">
        <v>34</v>
      </c>
      <c r="L160" s="24" t="s">
        <v>89</v>
      </c>
      <c r="M160" t="s">
        <v>660</v>
      </c>
      <c r="N160" s="17">
        <v>5</v>
      </c>
      <c r="O160" t="s">
        <v>81</v>
      </c>
      <c r="P160" s="24" t="s">
        <v>22</v>
      </c>
      <c r="Q160" s="19">
        <v>331.06</v>
      </c>
    </row>
    <row r="161" spans="1:17">
      <c r="A161" t="s">
        <v>661</v>
      </c>
      <c r="B161" s="23">
        <v>45230</v>
      </c>
      <c r="C161" s="23" t="str">
        <f t="shared" si="6"/>
        <v>Oct</v>
      </c>
      <c r="D161" s="23" t="str">
        <f t="shared" si="7"/>
        <v>2023</v>
      </c>
      <c r="E161" s="23" t="str">
        <f t="shared" si="8"/>
        <v>Q4</v>
      </c>
      <c r="F161" t="s">
        <v>662</v>
      </c>
      <c r="G161" s="24" t="s">
        <v>48</v>
      </c>
      <c r="H161" s="17">
        <v>1</v>
      </c>
      <c r="I161" s="19">
        <v>299.35</v>
      </c>
      <c r="J161" t="s">
        <v>663</v>
      </c>
      <c r="K161" s="24" t="s">
        <v>34</v>
      </c>
      <c r="L161" s="24" t="s">
        <v>35</v>
      </c>
      <c r="M161" t="s">
        <v>664</v>
      </c>
      <c r="N161" s="17">
        <v>5</v>
      </c>
      <c r="O161" t="s">
        <v>81</v>
      </c>
      <c r="P161" s="24" t="s">
        <v>38</v>
      </c>
      <c r="Q161" s="19">
        <v>299.35</v>
      </c>
    </row>
    <row r="162" spans="1:17">
      <c r="A162" t="s">
        <v>665</v>
      </c>
      <c r="B162" s="23">
        <v>44974</v>
      </c>
      <c r="C162" s="23" t="str">
        <f t="shared" si="6"/>
        <v>Feb</v>
      </c>
      <c r="D162" s="23" t="str">
        <f t="shared" si="7"/>
        <v>2023</v>
      </c>
      <c r="E162" s="23" t="str">
        <f t="shared" si="8"/>
        <v>Q1</v>
      </c>
      <c r="F162" t="s">
        <v>666</v>
      </c>
      <c r="G162" s="24" t="s">
        <v>16</v>
      </c>
      <c r="H162" s="17">
        <v>4</v>
      </c>
      <c r="I162" s="19">
        <v>101.32</v>
      </c>
      <c r="J162" t="s">
        <v>667</v>
      </c>
      <c r="K162" s="24" t="s">
        <v>65</v>
      </c>
      <c r="L162" s="24" t="s">
        <v>89</v>
      </c>
      <c r="M162" t="s">
        <v>668</v>
      </c>
      <c r="N162" s="17">
        <v>7</v>
      </c>
      <c r="O162" t="s">
        <v>4295</v>
      </c>
      <c r="P162" s="24" t="s">
        <v>29</v>
      </c>
      <c r="Q162" s="19">
        <v>405.28</v>
      </c>
    </row>
    <row r="163" spans="1:17">
      <c r="A163" t="s">
        <v>669</v>
      </c>
      <c r="B163" s="23">
        <v>45380</v>
      </c>
      <c r="C163" s="23" t="str">
        <f t="shared" si="6"/>
        <v>Mar</v>
      </c>
      <c r="D163" s="23" t="str">
        <f t="shared" si="7"/>
        <v>2024</v>
      </c>
      <c r="E163" s="23" t="str">
        <f t="shared" si="8"/>
        <v>Q1</v>
      </c>
      <c r="F163" t="s">
        <v>670</v>
      </c>
      <c r="G163" s="24" t="s">
        <v>16</v>
      </c>
      <c r="H163" s="17">
        <v>1</v>
      </c>
      <c r="I163" s="19">
        <v>211.14</v>
      </c>
      <c r="J163" t="s">
        <v>553</v>
      </c>
      <c r="K163" s="24" t="s">
        <v>34</v>
      </c>
      <c r="L163" s="24" t="s">
        <v>35</v>
      </c>
      <c r="M163" t="s">
        <v>671</v>
      </c>
      <c r="N163" s="17">
        <v>1</v>
      </c>
      <c r="O163" t="s">
        <v>21</v>
      </c>
      <c r="P163" s="24" t="s">
        <v>45</v>
      </c>
      <c r="Q163" s="19">
        <v>211.14</v>
      </c>
    </row>
    <row r="164" spans="1:17">
      <c r="A164" t="s">
        <v>672</v>
      </c>
      <c r="B164" s="23">
        <v>45134</v>
      </c>
      <c r="C164" s="23" t="str">
        <f t="shared" si="6"/>
        <v>Jul</v>
      </c>
      <c r="D164" s="23" t="str">
        <f t="shared" si="7"/>
        <v>2023</v>
      </c>
      <c r="E164" s="23" t="str">
        <f t="shared" si="8"/>
        <v>Q3</v>
      </c>
      <c r="F164" t="s">
        <v>673</v>
      </c>
      <c r="G164" s="24" t="s">
        <v>41</v>
      </c>
      <c r="H164" s="17">
        <v>3</v>
      </c>
      <c r="I164" s="19">
        <v>65.86</v>
      </c>
      <c r="J164" t="s">
        <v>335</v>
      </c>
      <c r="K164" s="24" t="s">
        <v>27</v>
      </c>
      <c r="L164" s="24" t="s">
        <v>89</v>
      </c>
      <c r="M164" t="s">
        <v>674</v>
      </c>
      <c r="N164" s="17">
        <v>8</v>
      </c>
      <c r="O164" t="s">
        <v>81</v>
      </c>
      <c r="P164" s="24" t="s">
        <v>76</v>
      </c>
      <c r="Q164" s="19">
        <v>197.58</v>
      </c>
    </row>
    <row r="165" spans="1:17">
      <c r="A165" t="s">
        <v>675</v>
      </c>
      <c r="B165" s="23">
        <v>45832</v>
      </c>
      <c r="C165" s="23" t="str">
        <f t="shared" si="6"/>
        <v>Jun</v>
      </c>
      <c r="D165" s="23" t="str">
        <f t="shared" si="7"/>
        <v>2025</v>
      </c>
      <c r="E165" s="23" t="str">
        <f t="shared" si="8"/>
        <v>Q2</v>
      </c>
      <c r="F165" t="s">
        <v>676</v>
      </c>
      <c r="G165" s="24" t="s">
        <v>32</v>
      </c>
      <c r="H165" s="17">
        <v>1</v>
      </c>
      <c r="I165" s="19">
        <v>641.39</v>
      </c>
      <c r="J165" t="s">
        <v>677</v>
      </c>
      <c r="K165" s="24" t="s">
        <v>27</v>
      </c>
      <c r="L165" s="24" t="s">
        <v>35</v>
      </c>
      <c r="M165" t="s">
        <v>678</v>
      </c>
      <c r="N165" s="17">
        <v>1</v>
      </c>
      <c r="O165" t="s">
        <v>4295</v>
      </c>
      <c r="P165" s="24" t="s">
        <v>29</v>
      </c>
      <c r="Q165" s="19">
        <v>641.39</v>
      </c>
    </row>
    <row r="166" spans="1:17">
      <c r="A166" t="s">
        <v>679</v>
      </c>
      <c r="B166" s="23">
        <v>45288</v>
      </c>
      <c r="C166" s="23" t="str">
        <f t="shared" si="6"/>
        <v>Dec</v>
      </c>
      <c r="D166" s="23" t="str">
        <f t="shared" si="7"/>
        <v>2023</v>
      </c>
      <c r="E166" s="23" t="str">
        <f t="shared" si="8"/>
        <v>Q4</v>
      </c>
      <c r="F166" t="s">
        <v>680</v>
      </c>
      <c r="G166" s="24" t="s">
        <v>73</v>
      </c>
      <c r="H166" s="17">
        <v>5</v>
      </c>
      <c r="I166" s="19">
        <v>536.58</v>
      </c>
      <c r="J166" t="s">
        <v>681</v>
      </c>
      <c r="K166" s="24" t="s">
        <v>60</v>
      </c>
      <c r="L166" s="24" t="s">
        <v>89</v>
      </c>
      <c r="M166" t="s">
        <v>682</v>
      </c>
      <c r="N166" s="17">
        <v>5</v>
      </c>
      <c r="O166" t="s">
        <v>21</v>
      </c>
      <c r="P166" s="24" t="s">
        <v>76</v>
      </c>
      <c r="Q166" s="19">
        <v>2682.9</v>
      </c>
    </row>
    <row r="167" spans="1:17">
      <c r="A167" t="s">
        <v>683</v>
      </c>
      <c r="B167" s="23">
        <v>45549</v>
      </c>
      <c r="C167" s="23" t="str">
        <f t="shared" si="6"/>
        <v>Sep</v>
      </c>
      <c r="D167" s="23" t="str">
        <f t="shared" si="7"/>
        <v>2024</v>
      </c>
      <c r="E167" s="23" t="str">
        <f t="shared" si="8"/>
        <v>Q3</v>
      </c>
      <c r="F167" t="s">
        <v>684</v>
      </c>
      <c r="G167" s="24" t="s">
        <v>16</v>
      </c>
      <c r="H167" s="17">
        <v>2</v>
      </c>
      <c r="I167" s="19">
        <v>500.29</v>
      </c>
      <c r="J167" t="s">
        <v>685</v>
      </c>
      <c r="K167" s="24" t="s">
        <v>27</v>
      </c>
      <c r="L167" s="24" t="s">
        <v>43</v>
      </c>
      <c r="M167" t="s">
        <v>686</v>
      </c>
      <c r="N167" s="17">
        <v>7</v>
      </c>
      <c r="O167" t="s">
        <v>81</v>
      </c>
      <c r="P167" s="24" t="s">
        <v>76</v>
      </c>
      <c r="Q167" s="19">
        <v>1000.58</v>
      </c>
    </row>
    <row r="168" spans="1:17">
      <c r="A168" t="s">
        <v>687</v>
      </c>
      <c r="B168" s="23">
        <v>45720</v>
      </c>
      <c r="C168" s="23" t="str">
        <f t="shared" si="6"/>
        <v>Mar</v>
      </c>
      <c r="D168" s="23" t="str">
        <f t="shared" si="7"/>
        <v>2025</v>
      </c>
      <c r="E168" s="23" t="str">
        <f t="shared" si="8"/>
        <v>Q1</v>
      </c>
      <c r="F168" t="s">
        <v>688</v>
      </c>
      <c r="G168" s="24" t="s">
        <v>41</v>
      </c>
      <c r="H168" s="17">
        <v>3</v>
      </c>
      <c r="I168" s="19">
        <v>86.29</v>
      </c>
      <c r="J168" t="s">
        <v>257</v>
      </c>
      <c r="K168" s="24" t="s">
        <v>65</v>
      </c>
      <c r="L168" s="24" t="s">
        <v>50</v>
      </c>
      <c r="M168" t="s">
        <v>689</v>
      </c>
      <c r="N168" s="17">
        <v>6</v>
      </c>
      <c r="O168" t="s">
        <v>81</v>
      </c>
      <c r="P168" s="24" t="s">
        <v>22</v>
      </c>
      <c r="Q168" s="19">
        <v>258.87</v>
      </c>
    </row>
    <row r="169" spans="1:17">
      <c r="A169" t="s">
        <v>690</v>
      </c>
      <c r="B169" s="23">
        <v>45073</v>
      </c>
      <c r="C169" s="23" t="str">
        <f t="shared" si="6"/>
        <v>May</v>
      </c>
      <c r="D169" s="23" t="str">
        <f t="shared" si="7"/>
        <v>2023</v>
      </c>
      <c r="E169" s="23" t="str">
        <f t="shared" si="8"/>
        <v>Q2</v>
      </c>
      <c r="F169" t="s">
        <v>691</v>
      </c>
      <c r="G169" s="24" t="s">
        <v>41</v>
      </c>
      <c r="H169" s="17">
        <v>2</v>
      </c>
      <c r="I169" s="19">
        <v>384.14</v>
      </c>
      <c r="J169" t="s">
        <v>692</v>
      </c>
      <c r="K169" s="24" t="s">
        <v>27</v>
      </c>
      <c r="L169" s="24" t="s">
        <v>43</v>
      </c>
      <c r="M169" t="s">
        <v>693</v>
      </c>
      <c r="N169" s="17">
        <v>2</v>
      </c>
      <c r="O169" t="s">
        <v>81</v>
      </c>
      <c r="P169" s="24" t="s">
        <v>38</v>
      </c>
      <c r="Q169" s="19">
        <v>768.28</v>
      </c>
    </row>
    <row r="170" spans="1:17">
      <c r="A170" t="s">
        <v>694</v>
      </c>
      <c r="B170" s="23">
        <v>45661</v>
      </c>
      <c r="C170" s="23" t="str">
        <f t="shared" si="6"/>
        <v>Jan</v>
      </c>
      <c r="D170" s="23" t="str">
        <f t="shared" si="7"/>
        <v>2025</v>
      </c>
      <c r="E170" s="23" t="str">
        <f t="shared" si="8"/>
        <v>Q1</v>
      </c>
      <c r="F170" t="s">
        <v>695</v>
      </c>
      <c r="G170" s="24" t="s">
        <v>48</v>
      </c>
      <c r="H170" s="17">
        <v>1</v>
      </c>
      <c r="I170" s="19">
        <v>594.96</v>
      </c>
      <c r="J170" t="s">
        <v>696</v>
      </c>
      <c r="K170" s="24" t="s">
        <v>65</v>
      </c>
      <c r="L170" s="24" t="s">
        <v>43</v>
      </c>
      <c r="M170" t="s">
        <v>697</v>
      </c>
      <c r="N170" s="17">
        <v>6</v>
      </c>
      <c r="O170" t="s">
        <v>4295</v>
      </c>
      <c r="P170" s="24" t="s">
        <v>45</v>
      </c>
      <c r="Q170" s="19">
        <v>594.96</v>
      </c>
    </row>
    <row r="171" spans="1:17">
      <c r="A171" t="s">
        <v>698</v>
      </c>
      <c r="B171" s="23">
        <v>45389</v>
      </c>
      <c r="C171" s="23" t="str">
        <f t="shared" si="6"/>
        <v>Apr</v>
      </c>
      <c r="D171" s="23" t="str">
        <f t="shared" si="7"/>
        <v>2024</v>
      </c>
      <c r="E171" s="23" t="str">
        <f t="shared" si="8"/>
        <v>Q2</v>
      </c>
      <c r="F171" t="s">
        <v>699</v>
      </c>
      <c r="G171" s="24" t="s">
        <v>48</v>
      </c>
      <c r="H171" s="17">
        <v>1</v>
      </c>
      <c r="I171" s="19">
        <v>427.82</v>
      </c>
      <c r="J171" t="s">
        <v>700</v>
      </c>
      <c r="K171" s="24" t="s">
        <v>27</v>
      </c>
      <c r="L171" s="24" t="s">
        <v>50</v>
      </c>
      <c r="M171" t="s">
        <v>701</v>
      </c>
      <c r="N171" s="17">
        <v>2</v>
      </c>
      <c r="O171" t="s">
        <v>81</v>
      </c>
      <c r="P171" s="24" t="s">
        <v>38</v>
      </c>
      <c r="Q171" s="19">
        <v>427.82</v>
      </c>
    </row>
    <row r="172" spans="1:17">
      <c r="A172" t="s">
        <v>702</v>
      </c>
      <c r="B172" s="23">
        <v>45751</v>
      </c>
      <c r="C172" s="23" t="str">
        <f t="shared" si="6"/>
        <v>Apr</v>
      </c>
      <c r="D172" s="23" t="str">
        <f t="shared" si="7"/>
        <v>2025</v>
      </c>
      <c r="E172" s="23" t="str">
        <f t="shared" si="8"/>
        <v>Q2</v>
      </c>
      <c r="F172" t="s">
        <v>703</v>
      </c>
      <c r="G172" s="24" t="s">
        <v>73</v>
      </c>
      <c r="H172" s="17">
        <v>4</v>
      </c>
      <c r="I172" s="19">
        <v>662.94</v>
      </c>
      <c r="J172" t="s">
        <v>704</v>
      </c>
      <c r="K172" s="24" t="s">
        <v>65</v>
      </c>
      <c r="L172" s="24" t="s">
        <v>35</v>
      </c>
      <c r="M172" t="s">
        <v>705</v>
      </c>
      <c r="N172" s="17">
        <v>8</v>
      </c>
      <c r="O172" t="s">
        <v>21</v>
      </c>
      <c r="P172" s="24" t="s">
        <v>22</v>
      </c>
      <c r="Q172" s="19">
        <v>2651.76</v>
      </c>
    </row>
    <row r="173" spans="1:17">
      <c r="A173" t="s">
        <v>706</v>
      </c>
      <c r="B173" s="23">
        <v>45153</v>
      </c>
      <c r="C173" s="23" t="str">
        <f t="shared" si="6"/>
        <v>Aug</v>
      </c>
      <c r="D173" s="23" t="str">
        <f t="shared" si="7"/>
        <v>2023</v>
      </c>
      <c r="E173" s="23" t="str">
        <f t="shared" si="8"/>
        <v>Q3</v>
      </c>
      <c r="F173" t="s">
        <v>707</v>
      </c>
      <c r="G173" s="24" t="s">
        <v>32</v>
      </c>
      <c r="H173" s="17">
        <v>2</v>
      </c>
      <c r="I173" s="19">
        <v>148.22</v>
      </c>
      <c r="J173" t="s">
        <v>708</v>
      </c>
      <c r="K173" s="24" t="s">
        <v>34</v>
      </c>
      <c r="L173" s="24" t="s">
        <v>50</v>
      </c>
      <c r="M173" t="s">
        <v>709</v>
      </c>
      <c r="N173" s="17">
        <v>7</v>
      </c>
      <c r="O173" t="s">
        <v>81</v>
      </c>
      <c r="P173" s="24" t="s">
        <v>22</v>
      </c>
      <c r="Q173" s="19">
        <v>296.44</v>
      </c>
    </row>
    <row r="174" spans="1:17">
      <c r="A174" t="s">
        <v>710</v>
      </c>
      <c r="B174" s="23">
        <v>45753</v>
      </c>
      <c r="C174" s="23" t="str">
        <f t="shared" si="6"/>
        <v>Apr</v>
      </c>
      <c r="D174" s="23" t="str">
        <f t="shared" si="7"/>
        <v>2025</v>
      </c>
      <c r="E174" s="23" t="str">
        <f t="shared" si="8"/>
        <v>Q2</v>
      </c>
      <c r="F174" t="s">
        <v>711</v>
      </c>
      <c r="G174" s="24" t="s">
        <v>48</v>
      </c>
      <c r="H174" s="17">
        <v>1</v>
      </c>
      <c r="I174" s="19">
        <v>254.12</v>
      </c>
      <c r="J174" t="s">
        <v>541</v>
      </c>
      <c r="K174" s="24" t="s">
        <v>27</v>
      </c>
      <c r="L174" s="24" t="s">
        <v>50</v>
      </c>
      <c r="M174" t="s">
        <v>712</v>
      </c>
      <c r="N174" s="17">
        <v>1</v>
      </c>
      <c r="O174" t="s">
        <v>81</v>
      </c>
      <c r="P174" s="24" t="s">
        <v>38</v>
      </c>
      <c r="Q174" s="19">
        <v>254.12</v>
      </c>
    </row>
    <row r="175" spans="1:17">
      <c r="A175" t="s">
        <v>713</v>
      </c>
      <c r="B175" s="23">
        <v>45375</v>
      </c>
      <c r="C175" s="23" t="str">
        <f t="shared" si="6"/>
        <v>Mar</v>
      </c>
      <c r="D175" s="23" t="str">
        <f t="shared" si="7"/>
        <v>2024</v>
      </c>
      <c r="E175" s="23" t="str">
        <f t="shared" si="8"/>
        <v>Q1</v>
      </c>
      <c r="F175" t="s">
        <v>714</v>
      </c>
      <c r="G175" s="24" t="s">
        <v>25</v>
      </c>
      <c r="H175" s="17">
        <v>3</v>
      </c>
      <c r="I175" s="19">
        <v>664.46</v>
      </c>
      <c r="J175" t="s">
        <v>715</v>
      </c>
      <c r="K175" s="24" t="s">
        <v>27</v>
      </c>
      <c r="L175" s="24" t="s">
        <v>50</v>
      </c>
      <c r="M175" t="s">
        <v>716</v>
      </c>
      <c r="N175" s="17">
        <v>4</v>
      </c>
      <c r="O175" t="s">
        <v>37</v>
      </c>
      <c r="P175" s="24" t="s">
        <v>76</v>
      </c>
      <c r="Q175" s="19">
        <v>1993.38</v>
      </c>
    </row>
    <row r="176" spans="1:17">
      <c r="A176" t="s">
        <v>717</v>
      </c>
      <c r="B176" s="23">
        <v>45398</v>
      </c>
      <c r="C176" s="23" t="str">
        <f t="shared" si="6"/>
        <v>Apr</v>
      </c>
      <c r="D176" s="23" t="str">
        <f t="shared" si="7"/>
        <v>2024</v>
      </c>
      <c r="E176" s="23" t="str">
        <f t="shared" si="8"/>
        <v>Q2</v>
      </c>
      <c r="F176" t="s">
        <v>718</v>
      </c>
      <c r="G176" s="24" t="s">
        <v>48</v>
      </c>
      <c r="H176" s="17">
        <v>4</v>
      </c>
      <c r="I176" s="19">
        <v>600.81</v>
      </c>
      <c r="J176" t="s">
        <v>719</v>
      </c>
      <c r="K176" s="24" t="s">
        <v>18</v>
      </c>
      <c r="L176" s="24" t="s">
        <v>50</v>
      </c>
      <c r="M176" t="s">
        <v>720</v>
      </c>
      <c r="N176" s="17">
        <v>9</v>
      </c>
      <c r="O176" t="s">
        <v>21</v>
      </c>
      <c r="P176" s="24" t="s">
        <v>38</v>
      </c>
      <c r="Q176" s="19">
        <v>2403.24</v>
      </c>
    </row>
    <row r="177" spans="1:17">
      <c r="A177" t="s">
        <v>721</v>
      </c>
      <c r="B177" s="23">
        <v>45696</v>
      </c>
      <c r="C177" s="23" t="str">
        <f t="shared" si="6"/>
        <v>Feb</v>
      </c>
      <c r="D177" s="23" t="str">
        <f t="shared" si="7"/>
        <v>2025</v>
      </c>
      <c r="E177" s="23" t="str">
        <f t="shared" si="8"/>
        <v>Q1</v>
      </c>
      <c r="F177" t="s">
        <v>722</v>
      </c>
      <c r="G177" s="24" t="s">
        <v>41</v>
      </c>
      <c r="H177" s="17">
        <v>5</v>
      </c>
      <c r="I177" s="19">
        <v>68.34</v>
      </c>
      <c r="J177" t="s">
        <v>723</v>
      </c>
      <c r="K177" s="24" t="s">
        <v>18</v>
      </c>
      <c r="L177" s="24" t="s">
        <v>89</v>
      </c>
      <c r="M177" t="s">
        <v>724</v>
      </c>
      <c r="N177" s="17">
        <v>6</v>
      </c>
      <c r="O177" t="s">
        <v>81</v>
      </c>
      <c r="P177" s="24" t="s">
        <v>29</v>
      </c>
      <c r="Q177" s="19">
        <v>341.7</v>
      </c>
    </row>
    <row r="178" spans="1:17">
      <c r="A178" t="s">
        <v>725</v>
      </c>
      <c r="B178" s="23">
        <v>45836</v>
      </c>
      <c r="C178" s="23" t="str">
        <f t="shared" si="6"/>
        <v>Jun</v>
      </c>
      <c r="D178" s="23" t="str">
        <f t="shared" si="7"/>
        <v>2025</v>
      </c>
      <c r="E178" s="23" t="str">
        <f t="shared" si="8"/>
        <v>Q2</v>
      </c>
      <c r="F178" t="s">
        <v>726</v>
      </c>
      <c r="G178" s="24" t="s">
        <v>32</v>
      </c>
      <c r="H178" s="17">
        <v>4</v>
      </c>
      <c r="I178" s="19">
        <v>430.83</v>
      </c>
      <c r="J178" t="s">
        <v>727</v>
      </c>
      <c r="K178" s="24" t="s">
        <v>60</v>
      </c>
      <c r="L178" s="24" t="s">
        <v>89</v>
      </c>
      <c r="M178" t="s">
        <v>728</v>
      </c>
      <c r="N178" s="17">
        <v>8</v>
      </c>
      <c r="O178" t="s">
        <v>81</v>
      </c>
      <c r="P178" s="24" t="s">
        <v>29</v>
      </c>
      <c r="Q178" s="19">
        <v>1723.32</v>
      </c>
    </row>
    <row r="179" spans="1:17">
      <c r="A179" t="s">
        <v>729</v>
      </c>
      <c r="B179" s="23">
        <v>45143</v>
      </c>
      <c r="C179" s="23" t="str">
        <f t="shared" si="6"/>
        <v>Aug</v>
      </c>
      <c r="D179" s="23" t="str">
        <f t="shared" si="7"/>
        <v>2023</v>
      </c>
      <c r="E179" s="23" t="str">
        <f t="shared" si="8"/>
        <v>Q3</v>
      </c>
      <c r="F179" t="s">
        <v>730</v>
      </c>
      <c r="G179" s="24" t="s">
        <v>41</v>
      </c>
      <c r="H179" s="17">
        <v>5</v>
      </c>
      <c r="I179" s="19">
        <v>431.69</v>
      </c>
      <c r="J179" t="s">
        <v>731</v>
      </c>
      <c r="K179" s="24" t="s">
        <v>34</v>
      </c>
      <c r="L179" s="24" t="s">
        <v>89</v>
      </c>
      <c r="M179" t="s">
        <v>732</v>
      </c>
      <c r="N179" s="17">
        <v>10</v>
      </c>
      <c r="O179" t="s">
        <v>4295</v>
      </c>
      <c r="P179" s="24" t="s">
        <v>45</v>
      </c>
      <c r="Q179" s="19">
        <v>2158.45</v>
      </c>
    </row>
    <row r="180" spans="1:17">
      <c r="A180" t="s">
        <v>733</v>
      </c>
      <c r="B180" s="23">
        <v>45393</v>
      </c>
      <c r="C180" s="23" t="str">
        <f t="shared" si="6"/>
        <v>Apr</v>
      </c>
      <c r="D180" s="23" t="str">
        <f t="shared" si="7"/>
        <v>2024</v>
      </c>
      <c r="E180" s="23" t="str">
        <f t="shared" si="8"/>
        <v>Q2</v>
      </c>
      <c r="F180" t="s">
        <v>734</v>
      </c>
      <c r="G180" s="24" t="s">
        <v>41</v>
      </c>
      <c r="H180" s="17">
        <v>4</v>
      </c>
      <c r="I180" s="19">
        <v>512.06</v>
      </c>
      <c r="J180" t="s">
        <v>735</v>
      </c>
      <c r="K180" s="24" t="s">
        <v>27</v>
      </c>
      <c r="L180" s="24" t="s">
        <v>50</v>
      </c>
      <c r="M180" t="s">
        <v>736</v>
      </c>
      <c r="N180" s="17">
        <v>5</v>
      </c>
      <c r="O180" t="s">
        <v>21</v>
      </c>
      <c r="P180" s="24" t="s">
        <v>76</v>
      </c>
      <c r="Q180" s="19">
        <v>2048.24</v>
      </c>
    </row>
    <row r="181" spans="1:17">
      <c r="A181" t="s">
        <v>737</v>
      </c>
      <c r="B181" s="23">
        <v>45620</v>
      </c>
      <c r="C181" s="23" t="str">
        <f t="shared" si="6"/>
        <v>Nov</v>
      </c>
      <c r="D181" s="23" t="str">
        <f t="shared" si="7"/>
        <v>2024</v>
      </c>
      <c r="E181" s="23" t="str">
        <f t="shared" si="8"/>
        <v>Q4</v>
      </c>
      <c r="F181" t="s">
        <v>738</v>
      </c>
      <c r="G181" s="24" t="s">
        <v>58</v>
      </c>
      <c r="H181" s="17">
        <v>3</v>
      </c>
      <c r="I181" s="19">
        <v>539.91</v>
      </c>
      <c r="J181" t="s">
        <v>739</v>
      </c>
      <c r="K181" s="24" t="s">
        <v>34</v>
      </c>
      <c r="L181" s="24" t="s">
        <v>50</v>
      </c>
      <c r="M181" t="s">
        <v>740</v>
      </c>
      <c r="N181" s="17">
        <v>8</v>
      </c>
      <c r="O181" t="s">
        <v>4295</v>
      </c>
      <c r="P181" s="24" t="s">
        <v>38</v>
      </c>
      <c r="Q181" s="19">
        <v>1619.73</v>
      </c>
    </row>
    <row r="182" spans="1:17">
      <c r="A182" t="s">
        <v>741</v>
      </c>
      <c r="B182" s="23">
        <v>45003</v>
      </c>
      <c r="C182" s="23" t="str">
        <f t="shared" si="6"/>
        <v>Mar</v>
      </c>
      <c r="D182" s="23" t="str">
        <f t="shared" si="7"/>
        <v>2023</v>
      </c>
      <c r="E182" s="23" t="str">
        <f t="shared" si="8"/>
        <v>Q1</v>
      </c>
      <c r="F182" t="s">
        <v>742</v>
      </c>
      <c r="G182" s="24" t="s">
        <v>32</v>
      </c>
      <c r="H182" s="17">
        <v>5</v>
      </c>
      <c r="I182" s="19">
        <v>316.07</v>
      </c>
      <c r="J182" t="s">
        <v>743</v>
      </c>
      <c r="K182" s="24" t="s">
        <v>65</v>
      </c>
      <c r="L182" s="24" t="s">
        <v>43</v>
      </c>
      <c r="M182" t="s">
        <v>744</v>
      </c>
      <c r="N182" s="17">
        <v>10</v>
      </c>
      <c r="O182" t="s">
        <v>4295</v>
      </c>
      <c r="P182" s="24" t="s">
        <v>76</v>
      </c>
      <c r="Q182" s="19">
        <v>1580.35</v>
      </c>
    </row>
    <row r="183" spans="1:17">
      <c r="A183" t="s">
        <v>745</v>
      </c>
      <c r="B183" s="23">
        <v>45535</v>
      </c>
      <c r="C183" s="23" t="str">
        <f t="shared" si="6"/>
        <v>Aug</v>
      </c>
      <c r="D183" s="23" t="str">
        <f t="shared" si="7"/>
        <v>2024</v>
      </c>
      <c r="E183" s="23" t="str">
        <f t="shared" si="8"/>
        <v>Q3</v>
      </c>
      <c r="F183" t="s">
        <v>746</v>
      </c>
      <c r="G183" s="24" t="s">
        <v>48</v>
      </c>
      <c r="H183" s="17">
        <v>5</v>
      </c>
      <c r="I183" s="19">
        <v>404.39</v>
      </c>
      <c r="J183" t="s">
        <v>747</v>
      </c>
      <c r="K183" s="24" t="s">
        <v>27</v>
      </c>
      <c r="L183" s="24" t="s">
        <v>19</v>
      </c>
      <c r="M183" t="s">
        <v>748</v>
      </c>
      <c r="N183" s="17">
        <v>10</v>
      </c>
      <c r="O183" t="s">
        <v>4295</v>
      </c>
      <c r="P183" s="24" t="s">
        <v>29</v>
      </c>
      <c r="Q183" s="19">
        <v>2021.95</v>
      </c>
    </row>
    <row r="184" spans="1:17">
      <c r="A184" t="s">
        <v>749</v>
      </c>
      <c r="B184" s="23">
        <v>45735</v>
      </c>
      <c r="C184" s="23" t="str">
        <f t="shared" si="6"/>
        <v>Mar</v>
      </c>
      <c r="D184" s="23" t="str">
        <f t="shared" si="7"/>
        <v>2025</v>
      </c>
      <c r="E184" s="23" t="str">
        <f t="shared" si="8"/>
        <v>Q1</v>
      </c>
      <c r="F184" t="s">
        <v>750</v>
      </c>
      <c r="G184" s="24" t="s">
        <v>73</v>
      </c>
      <c r="H184" s="17">
        <v>1</v>
      </c>
      <c r="I184" s="19">
        <v>600.54</v>
      </c>
      <c r="J184" t="s">
        <v>751</v>
      </c>
      <c r="K184" s="24" t="s">
        <v>18</v>
      </c>
      <c r="L184" s="24" t="s">
        <v>89</v>
      </c>
      <c r="M184" t="s">
        <v>752</v>
      </c>
      <c r="N184" s="17">
        <v>4</v>
      </c>
      <c r="O184" t="s">
        <v>81</v>
      </c>
      <c r="P184" s="24" t="s">
        <v>76</v>
      </c>
      <c r="Q184" s="19">
        <v>600.54</v>
      </c>
    </row>
    <row r="185" spans="1:17">
      <c r="A185" t="s">
        <v>753</v>
      </c>
      <c r="B185" s="23">
        <v>45400</v>
      </c>
      <c r="C185" s="23" t="str">
        <f t="shared" si="6"/>
        <v>Apr</v>
      </c>
      <c r="D185" s="23" t="str">
        <f t="shared" si="7"/>
        <v>2024</v>
      </c>
      <c r="E185" s="23" t="str">
        <f t="shared" si="8"/>
        <v>Q2</v>
      </c>
      <c r="F185" t="s">
        <v>754</v>
      </c>
      <c r="G185" s="24" t="s">
        <v>16</v>
      </c>
      <c r="H185" s="17">
        <v>5</v>
      </c>
      <c r="I185" s="19">
        <v>186.28</v>
      </c>
      <c r="J185" t="s">
        <v>755</v>
      </c>
      <c r="K185" s="24" t="s">
        <v>18</v>
      </c>
      <c r="L185" s="24" t="s">
        <v>50</v>
      </c>
      <c r="M185" t="s">
        <v>756</v>
      </c>
      <c r="N185" s="17">
        <v>8</v>
      </c>
      <c r="O185" t="s">
        <v>21</v>
      </c>
      <c r="P185" s="24" t="s">
        <v>38</v>
      </c>
      <c r="Q185" s="19">
        <v>931.4</v>
      </c>
    </row>
    <row r="186" spans="1:17">
      <c r="A186" t="s">
        <v>757</v>
      </c>
      <c r="B186" s="23">
        <v>45386</v>
      </c>
      <c r="C186" s="23" t="str">
        <f t="shared" si="6"/>
        <v>Apr</v>
      </c>
      <c r="D186" s="23" t="str">
        <f t="shared" si="7"/>
        <v>2024</v>
      </c>
      <c r="E186" s="23" t="str">
        <f t="shared" si="8"/>
        <v>Q2</v>
      </c>
      <c r="F186" t="s">
        <v>758</v>
      </c>
      <c r="G186" s="24" t="s">
        <v>32</v>
      </c>
      <c r="H186" s="17">
        <v>4</v>
      </c>
      <c r="I186" s="19">
        <v>214.54</v>
      </c>
      <c r="J186" t="s">
        <v>759</v>
      </c>
      <c r="K186" s="24" t="s">
        <v>60</v>
      </c>
      <c r="L186" s="24" t="s">
        <v>35</v>
      </c>
      <c r="M186" t="s">
        <v>760</v>
      </c>
      <c r="N186" s="17">
        <v>7</v>
      </c>
      <c r="O186" t="s">
        <v>4295</v>
      </c>
      <c r="P186" s="24" t="s">
        <v>29</v>
      </c>
      <c r="Q186" s="19">
        <v>858.16</v>
      </c>
    </row>
    <row r="187" spans="1:17">
      <c r="A187" t="s">
        <v>761</v>
      </c>
      <c r="B187" s="23">
        <v>45690</v>
      </c>
      <c r="C187" s="23" t="str">
        <f t="shared" si="6"/>
        <v>Feb</v>
      </c>
      <c r="D187" s="23" t="str">
        <f t="shared" si="7"/>
        <v>2025</v>
      </c>
      <c r="E187" s="23" t="str">
        <f t="shared" si="8"/>
        <v>Q1</v>
      </c>
      <c r="F187" t="s">
        <v>762</v>
      </c>
      <c r="G187" s="24" t="s">
        <v>58</v>
      </c>
      <c r="H187" s="17">
        <v>1</v>
      </c>
      <c r="I187" s="19">
        <v>210.7</v>
      </c>
      <c r="J187" t="s">
        <v>763</v>
      </c>
      <c r="K187" s="24" t="s">
        <v>27</v>
      </c>
      <c r="L187" s="24" t="s">
        <v>19</v>
      </c>
      <c r="M187" t="s">
        <v>764</v>
      </c>
      <c r="N187" s="17">
        <v>2</v>
      </c>
      <c r="O187" t="s">
        <v>81</v>
      </c>
      <c r="P187" s="24" t="s">
        <v>29</v>
      </c>
      <c r="Q187" s="19">
        <v>210.7</v>
      </c>
    </row>
    <row r="188" spans="1:17">
      <c r="A188" t="s">
        <v>765</v>
      </c>
      <c r="B188" s="23">
        <v>45267</v>
      </c>
      <c r="C188" s="23" t="str">
        <f t="shared" si="6"/>
        <v>Dec</v>
      </c>
      <c r="D188" s="23" t="str">
        <f t="shared" si="7"/>
        <v>2023</v>
      </c>
      <c r="E188" s="23" t="str">
        <f t="shared" si="8"/>
        <v>Q4</v>
      </c>
      <c r="F188" t="s">
        <v>766</v>
      </c>
      <c r="G188" s="24" t="s">
        <v>25</v>
      </c>
      <c r="H188" s="17">
        <v>2</v>
      </c>
      <c r="I188" s="19">
        <v>133.55</v>
      </c>
      <c r="J188" t="s">
        <v>767</v>
      </c>
      <c r="K188" s="24" t="s">
        <v>65</v>
      </c>
      <c r="L188" s="24" t="s">
        <v>89</v>
      </c>
      <c r="M188" t="s">
        <v>768</v>
      </c>
      <c r="N188" s="17">
        <v>7</v>
      </c>
      <c r="O188" t="s">
        <v>37</v>
      </c>
      <c r="P188" s="24" t="s">
        <v>45</v>
      </c>
      <c r="Q188" s="19">
        <v>267.1</v>
      </c>
    </row>
    <row r="189" spans="1:17">
      <c r="A189" t="s">
        <v>769</v>
      </c>
      <c r="B189" s="23">
        <v>44965</v>
      </c>
      <c r="C189" s="23" t="str">
        <f t="shared" si="6"/>
        <v>Feb</v>
      </c>
      <c r="D189" s="23" t="str">
        <f t="shared" si="7"/>
        <v>2023</v>
      </c>
      <c r="E189" s="23" t="str">
        <f t="shared" si="8"/>
        <v>Q1</v>
      </c>
      <c r="F189" t="s">
        <v>770</v>
      </c>
      <c r="G189" s="24" t="s">
        <v>41</v>
      </c>
      <c r="H189" s="17">
        <v>1</v>
      </c>
      <c r="I189" s="19">
        <v>590.87</v>
      </c>
      <c r="J189" t="s">
        <v>771</v>
      </c>
      <c r="K189" s="24" t="s">
        <v>60</v>
      </c>
      <c r="L189" s="24" t="s">
        <v>43</v>
      </c>
      <c r="M189" t="s">
        <v>772</v>
      </c>
      <c r="N189" s="17">
        <v>6</v>
      </c>
      <c r="O189" t="s">
        <v>37</v>
      </c>
      <c r="P189" s="24" t="s">
        <v>29</v>
      </c>
      <c r="Q189" s="19">
        <v>590.87</v>
      </c>
    </row>
    <row r="190" spans="1:17">
      <c r="A190" t="s">
        <v>773</v>
      </c>
      <c r="B190" s="23">
        <v>45731</v>
      </c>
      <c r="C190" s="23" t="str">
        <f t="shared" si="6"/>
        <v>Mar</v>
      </c>
      <c r="D190" s="23" t="str">
        <f t="shared" si="7"/>
        <v>2025</v>
      </c>
      <c r="E190" s="23" t="str">
        <f t="shared" si="8"/>
        <v>Q1</v>
      </c>
      <c r="F190" t="s">
        <v>774</v>
      </c>
      <c r="G190" s="24" t="s">
        <v>41</v>
      </c>
      <c r="H190" s="17">
        <v>2</v>
      </c>
      <c r="I190" s="19">
        <v>363.91</v>
      </c>
      <c r="J190" t="s">
        <v>775</v>
      </c>
      <c r="K190" s="24" t="s">
        <v>60</v>
      </c>
      <c r="L190" s="24" t="s">
        <v>19</v>
      </c>
      <c r="M190" t="s">
        <v>776</v>
      </c>
      <c r="N190" s="17">
        <v>2</v>
      </c>
      <c r="O190" t="s">
        <v>37</v>
      </c>
      <c r="P190" s="24" t="s">
        <v>29</v>
      </c>
      <c r="Q190" s="19">
        <v>727.82</v>
      </c>
    </row>
    <row r="191" spans="1:17">
      <c r="A191" t="s">
        <v>777</v>
      </c>
      <c r="B191" s="23">
        <v>45112</v>
      </c>
      <c r="C191" s="23" t="str">
        <f t="shared" si="6"/>
        <v>Jul</v>
      </c>
      <c r="D191" s="23" t="str">
        <f t="shared" si="7"/>
        <v>2023</v>
      </c>
      <c r="E191" s="23" t="str">
        <f t="shared" si="8"/>
        <v>Q3</v>
      </c>
      <c r="F191" t="s">
        <v>778</v>
      </c>
      <c r="G191" s="24" t="s">
        <v>48</v>
      </c>
      <c r="H191" s="17">
        <v>5</v>
      </c>
      <c r="I191" s="19">
        <v>429.45</v>
      </c>
      <c r="J191" t="s">
        <v>779</v>
      </c>
      <c r="K191" s="24" t="s">
        <v>60</v>
      </c>
      <c r="L191" s="24" t="s">
        <v>35</v>
      </c>
      <c r="M191" t="s">
        <v>780</v>
      </c>
      <c r="N191" s="17">
        <v>5</v>
      </c>
      <c r="O191" t="s">
        <v>81</v>
      </c>
      <c r="P191" s="24" t="s">
        <v>38</v>
      </c>
      <c r="Q191" s="19">
        <v>2147.25</v>
      </c>
    </row>
    <row r="192" spans="1:17">
      <c r="A192" t="s">
        <v>781</v>
      </c>
      <c r="B192" s="23">
        <v>45535</v>
      </c>
      <c r="C192" s="23" t="str">
        <f t="shared" si="6"/>
        <v>Aug</v>
      </c>
      <c r="D192" s="23" t="str">
        <f t="shared" si="7"/>
        <v>2024</v>
      </c>
      <c r="E192" s="23" t="str">
        <f t="shared" si="8"/>
        <v>Q3</v>
      </c>
      <c r="F192" t="s">
        <v>782</v>
      </c>
      <c r="G192" s="24" t="s">
        <v>48</v>
      </c>
      <c r="H192" s="17">
        <v>3</v>
      </c>
      <c r="I192" s="19">
        <v>223.7</v>
      </c>
      <c r="J192" t="s">
        <v>783</v>
      </c>
      <c r="K192" s="24" t="s">
        <v>65</v>
      </c>
      <c r="L192" s="24" t="s">
        <v>43</v>
      </c>
      <c r="M192" t="s">
        <v>784</v>
      </c>
      <c r="N192" s="17">
        <v>3</v>
      </c>
      <c r="O192" t="s">
        <v>21</v>
      </c>
      <c r="P192" s="24" t="s">
        <v>38</v>
      </c>
      <c r="Q192" s="19">
        <v>671.1</v>
      </c>
    </row>
    <row r="193" spans="1:17">
      <c r="A193" t="s">
        <v>785</v>
      </c>
      <c r="B193" s="23">
        <v>45724</v>
      </c>
      <c r="C193" s="23" t="str">
        <f t="shared" si="6"/>
        <v>Mar</v>
      </c>
      <c r="D193" s="23" t="str">
        <f t="shared" si="7"/>
        <v>2025</v>
      </c>
      <c r="E193" s="23" t="str">
        <f t="shared" si="8"/>
        <v>Q1</v>
      </c>
      <c r="F193" t="s">
        <v>786</v>
      </c>
      <c r="G193" s="24" t="s">
        <v>58</v>
      </c>
      <c r="H193" s="17">
        <v>2</v>
      </c>
      <c r="I193" s="19">
        <v>488.87</v>
      </c>
      <c r="J193" t="s">
        <v>787</v>
      </c>
      <c r="K193" s="24" t="s">
        <v>27</v>
      </c>
      <c r="L193" s="24" t="s">
        <v>35</v>
      </c>
      <c r="M193" t="s">
        <v>788</v>
      </c>
      <c r="N193" s="17">
        <v>4</v>
      </c>
      <c r="O193" t="s">
        <v>37</v>
      </c>
      <c r="P193" s="24" t="s">
        <v>76</v>
      </c>
      <c r="Q193" s="19">
        <v>977.74</v>
      </c>
    </row>
    <row r="194" spans="1:17">
      <c r="A194" t="s">
        <v>789</v>
      </c>
      <c r="B194" s="23">
        <v>45149</v>
      </c>
      <c r="C194" s="23" t="str">
        <f t="shared" ref="C194:C257" si="9">TEXT(B194,"MMM")</f>
        <v>Aug</v>
      </c>
      <c r="D194" s="23" t="str">
        <f t="shared" ref="D194:D257" si="10">TEXT(B194,"YYYY")</f>
        <v>2023</v>
      </c>
      <c r="E194" s="23" t="str">
        <f t="shared" ref="E194:E257" si="11">"Q"&amp;ROUNDUP(MONTH(B194)/3,0)</f>
        <v>Q3</v>
      </c>
      <c r="F194" t="s">
        <v>790</v>
      </c>
      <c r="G194" s="24" t="s">
        <v>73</v>
      </c>
      <c r="H194" s="17">
        <v>1</v>
      </c>
      <c r="I194" s="19">
        <v>645.46</v>
      </c>
      <c r="J194" t="s">
        <v>595</v>
      </c>
      <c r="K194" s="24" t="s">
        <v>60</v>
      </c>
      <c r="L194" s="24" t="s">
        <v>35</v>
      </c>
      <c r="M194" t="s">
        <v>791</v>
      </c>
      <c r="N194" s="17">
        <v>5</v>
      </c>
      <c r="O194" t="s">
        <v>21</v>
      </c>
      <c r="P194" s="24" t="s">
        <v>76</v>
      </c>
      <c r="Q194" s="19">
        <v>645.46</v>
      </c>
    </row>
    <row r="195" spans="1:17">
      <c r="A195" t="s">
        <v>792</v>
      </c>
      <c r="B195" s="23">
        <v>45128</v>
      </c>
      <c r="C195" s="23" t="str">
        <f t="shared" si="9"/>
        <v>Jul</v>
      </c>
      <c r="D195" s="23" t="str">
        <f t="shared" si="10"/>
        <v>2023</v>
      </c>
      <c r="E195" s="23" t="str">
        <f t="shared" si="11"/>
        <v>Q3</v>
      </c>
      <c r="F195" t="s">
        <v>793</v>
      </c>
      <c r="G195" s="24" t="s">
        <v>48</v>
      </c>
      <c r="H195" s="17">
        <v>1</v>
      </c>
      <c r="I195" s="19">
        <v>46.66</v>
      </c>
      <c r="J195" t="s">
        <v>794</v>
      </c>
      <c r="K195" s="24" t="s">
        <v>65</v>
      </c>
      <c r="L195" s="24" t="s">
        <v>35</v>
      </c>
      <c r="M195" t="s">
        <v>795</v>
      </c>
      <c r="N195" s="17">
        <v>6</v>
      </c>
      <c r="O195" t="s">
        <v>4295</v>
      </c>
      <c r="P195" s="24" t="s">
        <v>76</v>
      </c>
      <c r="Q195" s="19">
        <v>46.66</v>
      </c>
    </row>
    <row r="196" spans="1:17">
      <c r="A196" t="s">
        <v>796</v>
      </c>
      <c r="B196" s="23">
        <v>45451</v>
      </c>
      <c r="C196" s="23" t="str">
        <f t="shared" si="9"/>
        <v>Jun</v>
      </c>
      <c r="D196" s="23" t="str">
        <f t="shared" si="10"/>
        <v>2024</v>
      </c>
      <c r="E196" s="23" t="str">
        <f t="shared" si="11"/>
        <v>Q2</v>
      </c>
      <c r="F196" t="s">
        <v>797</v>
      </c>
      <c r="G196" s="24" t="s">
        <v>16</v>
      </c>
      <c r="H196" s="17">
        <v>1</v>
      </c>
      <c r="I196" s="19">
        <v>249.57</v>
      </c>
      <c r="J196" t="s">
        <v>798</v>
      </c>
      <c r="K196" s="24" t="s">
        <v>65</v>
      </c>
      <c r="L196" s="24" t="s">
        <v>19</v>
      </c>
      <c r="M196" t="s">
        <v>799</v>
      </c>
      <c r="N196" s="17">
        <v>3</v>
      </c>
      <c r="O196" t="s">
        <v>37</v>
      </c>
      <c r="P196" s="24" t="s">
        <v>76</v>
      </c>
      <c r="Q196" s="19">
        <v>249.57</v>
      </c>
    </row>
    <row r="197" spans="1:17">
      <c r="A197" t="s">
        <v>800</v>
      </c>
      <c r="B197" s="23">
        <v>45404</v>
      </c>
      <c r="C197" s="23" t="str">
        <f t="shared" si="9"/>
        <v>Apr</v>
      </c>
      <c r="D197" s="23" t="str">
        <f t="shared" si="10"/>
        <v>2024</v>
      </c>
      <c r="E197" s="23" t="str">
        <f t="shared" si="11"/>
        <v>Q2</v>
      </c>
      <c r="F197" t="s">
        <v>801</v>
      </c>
      <c r="G197" s="24" t="s">
        <v>41</v>
      </c>
      <c r="H197" s="17">
        <v>3</v>
      </c>
      <c r="I197" s="19">
        <v>619.21</v>
      </c>
      <c r="J197" t="s">
        <v>802</v>
      </c>
      <c r="K197" s="24" t="s">
        <v>18</v>
      </c>
      <c r="L197" s="24" t="s">
        <v>35</v>
      </c>
      <c r="M197" t="s">
        <v>803</v>
      </c>
      <c r="N197" s="17">
        <v>6</v>
      </c>
      <c r="O197" t="s">
        <v>4295</v>
      </c>
      <c r="P197" s="24" t="s">
        <v>38</v>
      </c>
      <c r="Q197" s="19">
        <v>1857.63</v>
      </c>
    </row>
    <row r="198" spans="1:17">
      <c r="A198" t="s">
        <v>804</v>
      </c>
      <c r="B198" s="23">
        <v>45681</v>
      </c>
      <c r="C198" s="23" t="str">
        <f t="shared" si="9"/>
        <v>Jan</v>
      </c>
      <c r="D198" s="23" t="str">
        <f t="shared" si="10"/>
        <v>2025</v>
      </c>
      <c r="E198" s="23" t="str">
        <f t="shared" si="11"/>
        <v>Q1</v>
      </c>
      <c r="F198" t="s">
        <v>805</v>
      </c>
      <c r="G198" s="24" t="s">
        <v>73</v>
      </c>
      <c r="H198" s="17">
        <v>4</v>
      </c>
      <c r="I198" s="19">
        <v>217.13</v>
      </c>
      <c r="J198" t="s">
        <v>806</v>
      </c>
      <c r="K198" s="24" t="s">
        <v>65</v>
      </c>
      <c r="L198" s="24" t="s">
        <v>50</v>
      </c>
      <c r="M198" t="s">
        <v>807</v>
      </c>
      <c r="N198" s="17">
        <v>8</v>
      </c>
      <c r="O198" t="s">
        <v>81</v>
      </c>
      <c r="P198" s="24" t="s">
        <v>38</v>
      </c>
      <c r="Q198" s="19">
        <v>868.52</v>
      </c>
    </row>
    <row r="199" spans="1:17">
      <c r="A199" t="s">
        <v>808</v>
      </c>
      <c r="B199" s="23">
        <v>45165</v>
      </c>
      <c r="C199" s="23" t="str">
        <f t="shared" si="9"/>
        <v>Aug</v>
      </c>
      <c r="D199" s="23" t="str">
        <f t="shared" si="10"/>
        <v>2023</v>
      </c>
      <c r="E199" s="23" t="str">
        <f t="shared" si="11"/>
        <v>Q3</v>
      </c>
      <c r="F199" t="s">
        <v>809</v>
      </c>
      <c r="G199" s="24" t="s">
        <v>58</v>
      </c>
      <c r="H199" s="17">
        <v>5</v>
      </c>
      <c r="I199" s="19">
        <v>221.51</v>
      </c>
      <c r="J199" t="s">
        <v>810</v>
      </c>
      <c r="K199" s="24" t="s">
        <v>65</v>
      </c>
      <c r="L199" s="24" t="s">
        <v>43</v>
      </c>
      <c r="M199" t="s">
        <v>811</v>
      </c>
      <c r="N199" s="17">
        <v>5</v>
      </c>
      <c r="O199" t="s">
        <v>81</v>
      </c>
      <c r="P199" s="24" t="s">
        <v>29</v>
      </c>
      <c r="Q199" s="19">
        <v>1107.55</v>
      </c>
    </row>
    <row r="200" spans="1:17">
      <c r="A200" t="s">
        <v>812</v>
      </c>
      <c r="B200" s="23">
        <v>45454</v>
      </c>
      <c r="C200" s="23" t="str">
        <f t="shared" si="9"/>
        <v>Jun</v>
      </c>
      <c r="D200" s="23" t="str">
        <f t="shared" si="10"/>
        <v>2024</v>
      </c>
      <c r="E200" s="23" t="str">
        <f t="shared" si="11"/>
        <v>Q2</v>
      </c>
      <c r="F200" t="s">
        <v>813</v>
      </c>
      <c r="G200" s="24" t="s">
        <v>58</v>
      </c>
      <c r="H200" s="17">
        <v>4</v>
      </c>
      <c r="I200" s="19">
        <v>340.3</v>
      </c>
      <c r="J200" t="s">
        <v>177</v>
      </c>
      <c r="K200" s="24" t="s">
        <v>65</v>
      </c>
      <c r="L200" s="24" t="s">
        <v>35</v>
      </c>
      <c r="M200" t="s">
        <v>814</v>
      </c>
      <c r="N200" s="17">
        <v>8</v>
      </c>
      <c r="O200" t="s">
        <v>21</v>
      </c>
      <c r="P200" s="24" t="s">
        <v>29</v>
      </c>
      <c r="Q200" s="19">
        <v>1361.2</v>
      </c>
    </row>
    <row r="201" spans="1:17">
      <c r="A201" t="s">
        <v>815</v>
      </c>
      <c r="B201" s="23">
        <v>45680</v>
      </c>
      <c r="C201" s="23" t="str">
        <f t="shared" si="9"/>
        <v>Jan</v>
      </c>
      <c r="D201" s="23" t="str">
        <f t="shared" si="10"/>
        <v>2025</v>
      </c>
      <c r="E201" s="23" t="str">
        <f t="shared" si="11"/>
        <v>Q1</v>
      </c>
      <c r="F201" t="s">
        <v>816</v>
      </c>
      <c r="G201" s="24" t="s">
        <v>25</v>
      </c>
      <c r="H201" s="17">
        <v>1</v>
      </c>
      <c r="I201" s="19">
        <v>625</v>
      </c>
      <c r="J201" t="s">
        <v>817</v>
      </c>
      <c r="K201" s="24" t="s">
        <v>27</v>
      </c>
      <c r="L201" s="24" t="s">
        <v>43</v>
      </c>
      <c r="M201" t="s">
        <v>818</v>
      </c>
      <c r="N201" s="17">
        <v>5</v>
      </c>
      <c r="O201" t="s">
        <v>81</v>
      </c>
      <c r="P201" s="24" t="s">
        <v>76</v>
      </c>
      <c r="Q201" s="19">
        <v>625</v>
      </c>
    </row>
    <row r="202" spans="1:17">
      <c r="A202" t="s">
        <v>819</v>
      </c>
      <c r="B202" s="23">
        <v>45815</v>
      </c>
      <c r="C202" s="23" t="str">
        <f t="shared" si="9"/>
        <v>Jun</v>
      </c>
      <c r="D202" s="23" t="str">
        <f t="shared" si="10"/>
        <v>2025</v>
      </c>
      <c r="E202" s="23" t="str">
        <f t="shared" si="11"/>
        <v>Q2</v>
      </c>
      <c r="F202" t="s">
        <v>820</v>
      </c>
      <c r="G202" s="24" t="s">
        <v>32</v>
      </c>
      <c r="H202" s="17">
        <v>5</v>
      </c>
      <c r="I202" s="19">
        <v>433.26</v>
      </c>
      <c r="J202" t="s">
        <v>161</v>
      </c>
      <c r="K202" s="24" t="s">
        <v>34</v>
      </c>
      <c r="L202" s="24" t="s">
        <v>50</v>
      </c>
      <c r="M202" t="s">
        <v>821</v>
      </c>
      <c r="N202" s="17">
        <v>9</v>
      </c>
      <c r="O202" t="s">
        <v>21</v>
      </c>
      <c r="P202" s="24" t="s">
        <v>76</v>
      </c>
      <c r="Q202" s="19">
        <v>2166.3</v>
      </c>
    </row>
    <row r="203" spans="1:17">
      <c r="A203" t="s">
        <v>822</v>
      </c>
      <c r="B203" s="23">
        <v>45095</v>
      </c>
      <c r="C203" s="23" t="str">
        <f t="shared" si="9"/>
        <v>Jun</v>
      </c>
      <c r="D203" s="23" t="str">
        <f t="shared" si="10"/>
        <v>2023</v>
      </c>
      <c r="E203" s="23" t="str">
        <f t="shared" si="11"/>
        <v>Q2</v>
      </c>
      <c r="F203" t="s">
        <v>823</v>
      </c>
      <c r="G203" s="24" t="s">
        <v>16</v>
      </c>
      <c r="H203" s="17">
        <v>2</v>
      </c>
      <c r="I203" s="19">
        <v>674.9</v>
      </c>
      <c r="J203" t="s">
        <v>347</v>
      </c>
      <c r="K203" s="24" t="s">
        <v>27</v>
      </c>
      <c r="L203" s="24" t="s">
        <v>19</v>
      </c>
      <c r="M203" t="s">
        <v>824</v>
      </c>
      <c r="N203" s="17">
        <v>4</v>
      </c>
      <c r="O203" t="s">
        <v>21</v>
      </c>
      <c r="P203" s="24" t="s">
        <v>45</v>
      </c>
      <c r="Q203" s="19">
        <v>1349.8</v>
      </c>
    </row>
    <row r="204" spans="1:17">
      <c r="A204" t="s">
        <v>825</v>
      </c>
      <c r="B204" s="23">
        <v>45694</v>
      </c>
      <c r="C204" s="23" t="str">
        <f t="shared" si="9"/>
        <v>Feb</v>
      </c>
      <c r="D204" s="23" t="str">
        <f t="shared" si="10"/>
        <v>2025</v>
      </c>
      <c r="E204" s="23" t="str">
        <f t="shared" si="11"/>
        <v>Q1</v>
      </c>
      <c r="F204" t="s">
        <v>826</v>
      </c>
      <c r="G204" s="24" t="s">
        <v>16</v>
      </c>
      <c r="H204" s="17">
        <v>3</v>
      </c>
      <c r="I204" s="19">
        <v>253.98</v>
      </c>
      <c r="J204" t="s">
        <v>565</v>
      </c>
      <c r="K204" s="24" t="s">
        <v>34</v>
      </c>
      <c r="L204" s="24" t="s">
        <v>35</v>
      </c>
      <c r="M204" t="s">
        <v>827</v>
      </c>
      <c r="N204" s="17">
        <v>3</v>
      </c>
      <c r="O204" t="s">
        <v>37</v>
      </c>
      <c r="P204" s="24" t="s">
        <v>38</v>
      </c>
      <c r="Q204" s="19">
        <v>761.94</v>
      </c>
    </row>
    <row r="205" spans="1:17">
      <c r="A205" t="s">
        <v>828</v>
      </c>
      <c r="B205" s="23">
        <v>45678</v>
      </c>
      <c r="C205" s="23" t="str">
        <f t="shared" si="9"/>
        <v>Jan</v>
      </c>
      <c r="D205" s="23" t="str">
        <f t="shared" si="10"/>
        <v>2025</v>
      </c>
      <c r="E205" s="23" t="str">
        <f t="shared" si="11"/>
        <v>Q1</v>
      </c>
      <c r="F205" t="s">
        <v>829</v>
      </c>
      <c r="G205" s="24" t="s">
        <v>48</v>
      </c>
      <c r="H205" s="17">
        <v>3</v>
      </c>
      <c r="I205" s="19">
        <v>356.84</v>
      </c>
      <c r="J205" t="s">
        <v>830</v>
      </c>
      <c r="K205" s="24" t="s">
        <v>27</v>
      </c>
      <c r="L205" s="24" t="s">
        <v>19</v>
      </c>
      <c r="M205" t="s">
        <v>831</v>
      </c>
      <c r="N205" s="17">
        <v>5</v>
      </c>
      <c r="O205" t="s">
        <v>21</v>
      </c>
      <c r="P205" s="24" t="s">
        <v>22</v>
      </c>
      <c r="Q205" s="19">
        <v>1070.52</v>
      </c>
    </row>
    <row r="206" spans="1:17">
      <c r="A206" t="s">
        <v>832</v>
      </c>
      <c r="B206" s="23">
        <v>45174</v>
      </c>
      <c r="C206" s="23" t="str">
        <f t="shared" si="9"/>
        <v>Sep</v>
      </c>
      <c r="D206" s="23" t="str">
        <f t="shared" si="10"/>
        <v>2023</v>
      </c>
      <c r="E206" s="23" t="str">
        <f t="shared" si="11"/>
        <v>Q3</v>
      </c>
      <c r="F206" t="s">
        <v>833</v>
      </c>
      <c r="G206" s="24" t="s">
        <v>58</v>
      </c>
      <c r="H206" s="17">
        <v>4</v>
      </c>
      <c r="I206" s="19">
        <v>413.71</v>
      </c>
      <c r="J206" t="s">
        <v>584</v>
      </c>
      <c r="K206" s="24" t="s">
        <v>60</v>
      </c>
      <c r="L206" s="24" t="s">
        <v>35</v>
      </c>
      <c r="M206" t="s">
        <v>834</v>
      </c>
      <c r="N206" s="17">
        <v>9</v>
      </c>
      <c r="O206" t="s">
        <v>37</v>
      </c>
      <c r="P206" s="24" t="s">
        <v>45</v>
      </c>
      <c r="Q206" s="19">
        <v>1654.84</v>
      </c>
    </row>
    <row r="207" spans="1:17">
      <c r="A207" t="s">
        <v>835</v>
      </c>
      <c r="B207" s="23">
        <v>44989</v>
      </c>
      <c r="C207" s="23" t="str">
        <f t="shared" si="9"/>
        <v>Mar</v>
      </c>
      <c r="D207" s="23" t="str">
        <f t="shared" si="10"/>
        <v>2023</v>
      </c>
      <c r="E207" s="23" t="str">
        <f t="shared" si="11"/>
        <v>Q1</v>
      </c>
      <c r="F207" t="s">
        <v>836</v>
      </c>
      <c r="G207" s="24" t="s">
        <v>73</v>
      </c>
      <c r="H207" s="17">
        <v>3</v>
      </c>
      <c r="I207" s="19">
        <v>147.39</v>
      </c>
      <c r="J207" t="s">
        <v>837</v>
      </c>
      <c r="K207" s="24" t="s">
        <v>18</v>
      </c>
      <c r="L207" s="24" t="s">
        <v>43</v>
      </c>
      <c r="M207" t="s">
        <v>838</v>
      </c>
      <c r="N207" s="17">
        <v>3</v>
      </c>
      <c r="O207" t="s">
        <v>4295</v>
      </c>
      <c r="P207" s="24" t="s">
        <v>38</v>
      </c>
      <c r="Q207" s="19">
        <v>442.17</v>
      </c>
    </row>
    <row r="208" spans="1:17">
      <c r="A208" t="s">
        <v>839</v>
      </c>
      <c r="B208" s="23">
        <v>45398</v>
      </c>
      <c r="C208" s="23" t="str">
        <f t="shared" si="9"/>
        <v>Apr</v>
      </c>
      <c r="D208" s="23" t="str">
        <f t="shared" si="10"/>
        <v>2024</v>
      </c>
      <c r="E208" s="23" t="str">
        <f t="shared" si="11"/>
        <v>Q2</v>
      </c>
      <c r="F208" t="s">
        <v>840</v>
      </c>
      <c r="G208" s="24" t="s">
        <v>58</v>
      </c>
      <c r="H208" s="17">
        <v>4</v>
      </c>
      <c r="I208" s="19">
        <v>229.1</v>
      </c>
      <c r="J208" t="s">
        <v>841</v>
      </c>
      <c r="K208" s="24" t="s">
        <v>60</v>
      </c>
      <c r="L208" s="24" t="s">
        <v>43</v>
      </c>
      <c r="M208" t="s">
        <v>842</v>
      </c>
      <c r="N208" s="17">
        <v>8</v>
      </c>
      <c r="O208" t="s">
        <v>81</v>
      </c>
      <c r="P208" s="24" t="s">
        <v>38</v>
      </c>
      <c r="Q208" s="19">
        <v>916.4</v>
      </c>
    </row>
    <row r="209" spans="1:17">
      <c r="A209" t="s">
        <v>843</v>
      </c>
      <c r="B209" s="23">
        <v>45734</v>
      </c>
      <c r="C209" s="23" t="str">
        <f t="shared" si="9"/>
        <v>Mar</v>
      </c>
      <c r="D209" s="23" t="str">
        <f t="shared" si="10"/>
        <v>2025</v>
      </c>
      <c r="E209" s="23" t="str">
        <f t="shared" si="11"/>
        <v>Q1</v>
      </c>
      <c r="F209" t="s">
        <v>844</v>
      </c>
      <c r="G209" s="24" t="s">
        <v>25</v>
      </c>
      <c r="H209" s="17">
        <v>1</v>
      </c>
      <c r="I209" s="19">
        <v>121.96</v>
      </c>
      <c r="J209" t="s">
        <v>845</v>
      </c>
      <c r="K209" s="24" t="s">
        <v>18</v>
      </c>
      <c r="L209" s="24" t="s">
        <v>50</v>
      </c>
      <c r="M209" t="s">
        <v>846</v>
      </c>
      <c r="N209" s="17">
        <v>3</v>
      </c>
      <c r="O209" t="s">
        <v>4295</v>
      </c>
      <c r="P209" s="24" t="s">
        <v>76</v>
      </c>
      <c r="Q209" s="19">
        <v>121.96</v>
      </c>
    </row>
    <row r="210" spans="1:17">
      <c r="A210" t="s">
        <v>847</v>
      </c>
      <c r="B210" s="23">
        <v>45573</v>
      </c>
      <c r="C210" s="23" t="str">
        <f t="shared" si="9"/>
        <v>Oct</v>
      </c>
      <c r="D210" s="23" t="str">
        <f t="shared" si="10"/>
        <v>2024</v>
      </c>
      <c r="E210" s="23" t="str">
        <f t="shared" si="11"/>
        <v>Q4</v>
      </c>
      <c r="F210" t="s">
        <v>848</v>
      </c>
      <c r="G210" s="24" t="s">
        <v>73</v>
      </c>
      <c r="H210" s="17">
        <v>2</v>
      </c>
      <c r="I210" s="19">
        <v>408.32</v>
      </c>
      <c r="J210" t="s">
        <v>779</v>
      </c>
      <c r="K210" s="24" t="s">
        <v>27</v>
      </c>
      <c r="L210" s="24" t="s">
        <v>19</v>
      </c>
      <c r="M210" t="s">
        <v>849</v>
      </c>
      <c r="N210" s="17">
        <v>3</v>
      </c>
      <c r="O210" t="s">
        <v>37</v>
      </c>
      <c r="P210" s="24" t="s">
        <v>45</v>
      </c>
      <c r="Q210" s="19">
        <v>816.64</v>
      </c>
    </row>
    <row r="211" spans="1:17">
      <c r="A211" t="s">
        <v>850</v>
      </c>
      <c r="B211" s="23">
        <v>45167</v>
      </c>
      <c r="C211" s="23" t="str">
        <f t="shared" si="9"/>
        <v>Aug</v>
      </c>
      <c r="D211" s="23" t="str">
        <f t="shared" si="10"/>
        <v>2023</v>
      </c>
      <c r="E211" s="23" t="str">
        <f t="shared" si="11"/>
        <v>Q3</v>
      </c>
      <c r="F211" t="s">
        <v>851</v>
      </c>
      <c r="G211" s="24" t="s">
        <v>32</v>
      </c>
      <c r="H211" s="17">
        <v>5</v>
      </c>
      <c r="I211" s="19">
        <v>187.97</v>
      </c>
      <c r="J211" t="s">
        <v>64</v>
      </c>
      <c r="K211" s="24" t="s">
        <v>65</v>
      </c>
      <c r="L211" s="24" t="s">
        <v>43</v>
      </c>
      <c r="M211" t="s">
        <v>852</v>
      </c>
      <c r="N211" s="17">
        <v>9</v>
      </c>
      <c r="O211" t="s">
        <v>21</v>
      </c>
      <c r="P211" s="24" t="s">
        <v>76</v>
      </c>
      <c r="Q211" s="19">
        <v>939.85</v>
      </c>
    </row>
    <row r="212" spans="1:17">
      <c r="A212" t="s">
        <v>853</v>
      </c>
      <c r="B212" s="23">
        <v>45631</v>
      </c>
      <c r="C212" s="23" t="str">
        <f t="shared" si="9"/>
        <v>Dec</v>
      </c>
      <c r="D212" s="23" t="str">
        <f t="shared" si="10"/>
        <v>2024</v>
      </c>
      <c r="E212" s="23" t="str">
        <f t="shared" si="11"/>
        <v>Q4</v>
      </c>
      <c r="F212" t="s">
        <v>854</v>
      </c>
      <c r="G212" s="24" t="s">
        <v>41</v>
      </c>
      <c r="H212" s="17">
        <v>3</v>
      </c>
      <c r="I212" s="19">
        <v>358.48</v>
      </c>
      <c r="J212" t="s">
        <v>553</v>
      </c>
      <c r="K212" s="24" t="s">
        <v>60</v>
      </c>
      <c r="L212" s="24" t="s">
        <v>50</v>
      </c>
      <c r="M212" t="s">
        <v>855</v>
      </c>
      <c r="N212" s="17">
        <v>7</v>
      </c>
      <c r="O212" t="s">
        <v>37</v>
      </c>
      <c r="P212" s="24" t="s">
        <v>45</v>
      </c>
      <c r="Q212" s="19">
        <v>1075.44</v>
      </c>
    </row>
    <row r="213" spans="1:17">
      <c r="A213" t="s">
        <v>856</v>
      </c>
      <c r="B213" s="23">
        <v>45660</v>
      </c>
      <c r="C213" s="23" t="str">
        <f t="shared" si="9"/>
        <v>Jan</v>
      </c>
      <c r="D213" s="23" t="str">
        <f t="shared" si="10"/>
        <v>2025</v>
      </c>
      <c r="E213" s="23" t="str">
        <f t="shared" si="11"/>
        <v>Q1</v>
      </c>
      <c r="F213" t="s">
        <v>857</v>
      </c>
      <c r="G213" s="24" t="s">
        <v>48</v>
      </c>
      <c r="H213" s="17">
        <v>3</v>
      </c>
      <c r="I213" s="19">
        <v>193.58</v>
      </c>
      <c r="J213" t="s">
        <v>858</v>
      </c>
      <c r="K213" s="24" t="s">
        <v>60</v>
      </c>
      <c r="L213" s="24" t="s">
        <v>89</v>
      </c>
      <c r="M213" t="s">
        <v>859</v>
      </c>
      <c r="N213" s="17">
        <v>7</v>
      </c>
      <c r="O213" t="s">
        <v>37</v>
      </c>
      <c r="P213" s="24" t="s">
        <v>38</v>
      </c>
      <c r="Q213" s="19">
        <v>580.74</v>
      </c>
    </row>
    <row r="214" spans="1:17">
      <c r="A214" t="s">
        <v>860</v>
      </c>
      <c r="B214" s="23">
        <v>45097</v>
      </c>
      <c r="C214" s="23" t="str">
        <f t="shared" si="9"/>
        <v>Jun</v>
      </c>
      <c r="D214" s="23" t="str">
        <f t="shared" si="10"/>
        <v>2023</v>
      </c>
      <c r="E214" s="23" t="str">
        <f t="shared" si="11"/>
        <v>Q2</v>
      </c>
      <c r="F214" t="s">
        <v>861</v>
      </c>
      <c r="G214" s="24" t="s">
        <v>16</v>
      </c>
      <c r="H214" s="17">
        <v>1</v>
      </c>
      <c r="I214" s="19">
        <v>265.38</v>
      </c>
      <c r="J214" t="s">
        <v>862</v>
      </c>
      <c r="K214" s="24" t="s">
        <v>34</v>
      </c>
      <c r="L214" s="24" t="s">
        <v>35</v>
      </c>
      <c r="M214" t="s">
        <v>863</v>
      </c>
      <c r="N214" s="17">
        <v>6</v>
      </c>
      <c r="O214" t="s">
        <v>81</v>
      </c>
      <c r="P214" s="24" t="s">
        <v>38</v>
      </c>
      <c r="Q214" s="19">
        <v>265.38</v>
      </c>
    </row>
    <row r="215" spans="1:17">
      <c r="A215" t="s">
        <v>864</v>
      </c>
      <c r="B215" s="23">
        <v>45036</v>
      </c>
      <c r="C215" s="23" t="str">
        <f t="shared" si="9"/>
        <v>Apr</v>
      </c>
      <c r="D215" s="23" t="str">
        <f t="shared" si="10"/>
        <v>2023</v>
      </c>
      <c r="E215" s="23" t="str">
        <f t="shared" si="11"/>
        <v>Q2</v>
      </c>
      <c r="F215" t="s">
        <v>865</v>
      </c>
      <c r="G215" s="24" t="s">
        <v>58</v>
      </c>
      <c r="H215" s="17">
        <v>1</v>
      </c>
      <c r="I215" s="19">
        <v>634.4</v>
      </c>
      <c r="J215" t="s">
        <v>866</v>
      </c>
      <c r="K215" s="24" t="s">
        <v>65</v>
      </c>
      <c r="L215" s="24" t="s">
        <v>35</v>
      </c>
      <c r="M215" t="s">
        <v>867</v>
      </c>
      <c r="N215" s="17">
        <v>6</v>
      </c>
      <c r="O215" t="s">
        <v>21</v>
      </c>
      <c r="P215" s="24" t="s">
        <v>38</v>
      </c>
      <c r="Q215" s="19">
        <v>634.4</v>
      </c>
    </row>
    <row r="216" spans="1:17">
      <c r="A216" t="s">
        <v>868</v>
      </c>
      <c r="B216" s="23">
        <v>45525</v>
      </c>
      <c r="C216" s="23" t="str">
        <f t="shared" si="9"/>
        <v>Aug</v>
      </c>
      <c r="D216" s="23" t="str">
        <f t="shared" si="10"/>
        <v>2024</v>
      </c>
      <c r="E216" s="23" t="str">
        <f t="shared" si="11"/>
        <v>Q3</v>
      </c>
      <c r="F216" t="s">
        <v>869</v>
      </c>
      <c r="G216" s="24" t="s">
        <v>73</v>
      </c>
      <c r="H216" s="17">
        <v>4</v>
      </c>
      <c r="I216" s="19">
        <v>305.72</v>
      </c>
      <c r="J216" t="s">
        <v>517</v>
      </c>
      <c r="K216" s="24" t="s">
        <v>27</v>
      </c>
      <c r="L216" s="24" t="s">
        <v>50</v>
      </c>
      <c r="M216" t="s">
        <v>870</v>
      </c>
      <c r="N216" s="17">
        <v>5</v>
      </c>
      <c r="O216" t="s">
        <v>4295</v>
      </c>
      <c r="P216" s="24" t="s">
        <v>45</v>
      </c>
      <c r="Q216" s="19">
        <v>1222.88</v>
      </c>
    </row>
    <row r="217" spans="1:17">
      <c r="A217" t="s">
        <v>871</v>
      </c>
      <c r="B217" s="23">
        <v>45148</v>
      </c>
      <c r="C217" s="23" t="str">
        <f t="shared" si="9"/>
        <v>Aug</v>
      </c>
      <c r="D217" s="23" t="str">
        <f t="shared" si="10"/>
        <v>2023</v>
      </c>
      <c r="E217" s="23" t="str">
        <f t="shared" si="11"/>
        <v>Q3</v>
      </c>
      <c r="F217" t="s">
        <v>872</v>
      </c>
      <c r="G217" s="24" t="s">
        <v>48</v>
      </c>
      <c r="H217" s="17">
        <v>1</v>
      </c>
      <c r="I217" s="19">
        <v>303.6</v>
      </c>
      <c r="J217" t="s">
        <v>873</v>
      </c>
      <c r="K217" s="24" t="s">
        <v>65</v>
      </c>
      <c r="L217" s="24" t="s">
        <v>19</v>
      </c>
      <c r="M217" t="s">
        <v>874</v>
      </c>
      <c r="N217" s="17">
        <v>5</v>
      </c>
      <c r="O217" t="s">
        <v>37</v>
      </c>
      <c r="P217" s="24" t="s">
        <v>45</v>
      </c>
      <c r="Q217" s="19">
        <v>303.6</v>
      </c>
    </row>
    <row r="218" spans="1:17">
      <c r="A218" t="s">
        <v>875</v>
      </c>
      <c r="B218" s="23">
        <v>45762</v>
      </c>
      <c r="C218" s="23" t="str">
        <f t="shared" si="9"/>
        <v>Apr</v>
      </c>
      <c r="D218" s="23" t="str">
        <f t="shared" si="10"/>
        <v>2025</v>
      </c>
      <c r="E218" s="23" t="str">
        <f t="shared" si="11"/>
        <v>Q2</v>
      </c>
      <c r="F218" t="s">
        <v>876</v>
      </c>
      <c r="G218" s="24" t="s">
        <v>16</v>
      </c>
      <c r="H218" s="17">
        <v>4</v>
      </c>
      <c r="I218" s="19">
        <v>496</v>
      </c>
      <c r="J218" t="s">
        <v>273</v>
      </c>
      <c r="K218" s="24" t="s">
        <v>27</v>
      </c>
      <c r="L218" s="24" t="s">
        <v>35</v>
      </c>
      <c r="M218" t="s">
        <v>877</v>
      </c>
      <c r="N218" s="17">
        <v>8</v>
      </c>
      <c r="O218" t="s">
        <v>81</v>
      </c>
      <c r="P218" s="24" t="s">
        <v>76</v>
      </c>
      <c r="Q218" s="19">
        <v>1984</v>
      </c>
    </row>
    <row r="219" spans="1:17">
      <c r="A219" t="s">
        <v>878</v>
      </c>
      <c r="B219" s="23">
        <v>45432</v>
      </c>
      <c r="C219" s="23" t="str">
        <f t="shared" si="9"/>
        <v>May</v>
      </c>
      <c r="D219" s="23" t="str">
        <f t="shared" si="10"/>
        <v>2024</v>
      </c>
      <c r="E219" s="23" t="str">
        <f t="shared" si="11"/>
        <v>Q2</v>
      </c>
      <c r="F219" t="s">
        <v>879</v>
      </c>
      <c r="G219" s="24" t="s">
        <v>73</v>
      </c>
      <c r="H219" s="17">
        <v>4</v>
      </c>
      <c r="I219" s="19">
        <v>321.51</v>
      </c>
      <c r="J219" t="s">
        <v>880</v>
      </c>
      <c r="K219" s="24" t="s">
        <v>65</v>
      </c>
      <c r="L219" s="24" t="s">
        <v>43</v>
      </c>
      <c r="M219" t="s">
        <v>881</v>
      </c>
      <c r="N219" s="17">
        <v>9</v>
      </c>
      <c r="O219" t="s">
        <v>4295</v>
      </c>
      <c r="P219" s="24" t="s">
        <v>76</v>
      </c>
      <c r="Q219" s="19">
        <v>1286.04</v>
      </c>
    </row>
    <row r="220" spans="1:17">
      <c r="A220" t="s">
        <v>882</v>
      </c>
      <c r="B220" s="23">
        <v>45044</v>
      </c>
      <c r="C220" s="23" t="str">
        <f t="shared" si="9"/>
        <v>Apr</v>
      </c>
      <c r="D220" s="23" t="str">
        <f t="shared" si="10"/>
        <v>2023</v>
      </c>
      <c r="E220" s="23" t="str">
        <f t="shared" si="11"/>
        <v>Q2</v>
      </c>
      <c r="F220" t="s">
        <v>883</v>
      </c>
      <c r="G220" s="24" t="s">
        <v>32</v>
      </c>
      <c r="H220" s="17">
        <v>3</v>
      </c>
      <c r="I220" s="19">
        <v>112.46</v>
      </c>
      <c r="J220" t="s">
        <v>884</v>
      </c>
      <c r="K220" s="24" t="s">
        <v>60</v>
      </c>
      <c r="L220" s="24" t="s">
        <v>19</v>
      </c>
      <c r="M220" t="s">
        <v>885</v>
      </c>
      <c r="N220" s="17">
        <v>6</v>
      </c>
      <c r="O220" t="s">
        <v>21</v>
      </c>
      <c r="P220" s="24" t="s">
        <v>22</v>
      </c>
      <c r="Q220" s="19">
        <v>337.38</v>
      </c>
    </row>
    <row r="221" spans="1:17">
      <c r="A221" t="s">
        <v>886</v>
      </c>
      <c r="B221" s="23">
        <v>45779</v>
      </c>
      <c r="C221" s="23" t="str">
        <f t="shared" si="9"/>
        <v>May</v>
      </c>
      <c r="D221" s="23" t="str">
        <f t="shared" si="10"/>
        <v>2025</v>
      </c>
      <c r="E221" s="23" t="str">
        <f t="shared" si="11"/>
        <v>Q2</v>
      </c>
      <c r="F221" t="s">
        <v>887</v>
      </c>
      <c r="G221" s="24" t="s">
        <v>58</v>
      </c>
      <c r="H221" s="17">
        <v>5</v>
      </c>
      <c r="I221" s="19">
        <v>61.97</v>
      </c>
      <c r="J221" t="s">
        <v>888</v>
      </c>
      <c r="K221" s="24" t="s">
        <v>65</v>
      </c>
      <c r="L221" s="24" t="s">
        <v>50</v>
      </c>
      <c r="M221" t="s">
        <v>889</v>
      </c>
      <c r="N221" s="17">
        <v>6</v>
      </c>
      <c r="O221" t="s">
        <v>21</v>
      </c>
      <c r="P221" s="24" t="s">
        <v>38</v>
      </c>
      <c r="Q221" s="19">
        <v>309.85</v>
      </c>
    </row>
    <row r="222" spans="1:17">
      <c r="A222" t="s">
        <v>890</v>
      </c>
      <c r="B222" s="23">
        <v>45125</v>
      </c>
      <c r="C222" s="23" t="str">
        <f t="shared" si="9"/>
        <v>Jul</v>
      </c>
      <c r="D222" s="23" t="str">
        <f t="shared" si="10"/>
        <v>2023</v>
      </c>
      <c r="E222" s="23" t="str">
        <f t="shared" si="11"/>
        <v>Q3</v>
      </c>
      <c r="F222" t="s">
        <v>891</v>
      </c>
      <c r="G222" s="24" t="s">
        <v>58</v>
      </c>
      <c r="H222" s="17">
        <v>2</v>
      </c>
      <c r="I222" s="19">
        <v>373.17</v>
      </c>
      <c r="J222" t="s">
        <v>892</v>
      </c>
      <c r="K222" s="24" t="s">
        <v>34</v>
      </c>
      <c r="L222" s="24" t="s">
        <v>89</v>
      </c>
      <c r="M222" t="s">
        <v>893</v>
      </c>
      <c r="N222" s="17">
        <v>6</v>
      </c>
      <c r="O222" t="s">
        <v>21</v>
      </c>
      <c r="P222" s="24" t="s">
        <v>29</v>
      </c>
      <c r="Q222" s="19">
        <v>746.34</v>
      </c>
    </row>
    <row r="223" spans="1:17">
      <c r="A223" t="s">
        <v>894</v>
      </c>
      <c r="B223" s="23">
        <v>45345</v>
      </c>
      <c r="C223" s="23" t="str">
        <f t="shared" si="9"/>
        <v>Feb</v>
      </c>
      <c r="D223" s="23" t="str">
        <f t="shared" si="10"/>
        <v>2024</v>
      </c>
      <c r="E223" s="23" t="str">
        <f t="shared" si="11"/>
        <v>Q1</v>
      </c>
      <c r="F223" t="s">
        <v>895</v>
      </c>
      <c r="G223" s="24" t="s">
        <v>32</v>
      </c>
      <c r="H223" s="17">
        <v>5</v>
      </c>
      <c r="I223" s="19">
        <v>639.37</v>
      </c>
      <c r="J223" t="s">
        <v>312</v>
      </c>
      <c r="K223" s="24" t="s">
        <v>18</v>
      </c>
      <c r="L223" s="24" t="s">
        <v>89</v>
      </c>
      <c r="M223" t="s">
        <v>896</v>
      </c>
      <c r="N223" s="17">
        <v>6</v>
      </c>
      <c r="O223" t="s">
        <v>21</v>
      </c>
      <c r="P223" s="24" t="s">
        <v>76</v>
      </c>
      <c r="Q223" s="19">
        <v>3196.85</v>
      </c>
    </row>
    <row r="224" spans="1:17">
      <c r="A224" t="s">
        <v>897</v>
      </c>
      <c r="B224" s="23">
        <v>45050</v>
      </c>
      <c r="C224" s="23" t="str">
        <f t="shared" si="9"/>
        <v>May</v>
      </c>
      <c r="D224" s="23" t="str">
        <f t="shared" si="10"/>
        <v>2023</v>
      </c>
      <c r="E224" s="23" t="str">
        <f t="shared" si="11"/>
        <v>Q2</v>
      </c>
      <c r="F224" t="s">
        <v>898</v>
      </c>
      <c r="G224" s="24" t="s">
        <v>41</v>
      </c>
      <c r="H224" s="17">
        <v>4</v>
      </c>
      <c r="I224" s="19">
        <v>693.36</v>
      </c>
      <c r="J224" t="s">
        <v>899</v>
      </c>
      <c r="K224" s="24" t="s">
        <v>27</v>
      </c>
      <c r="L224" s="24" t="s">
        <v>19</v>
      </c>
      <c r="M224" t="s">
        <v>900</v>
      </c>
      <c r="N224" s="17">
        <v>8</v>
      </c>
      <c r="O224" t="s">
        <v>4295</v>
      </c>
      <c r="P224" s="24" t="s">
        <v>22</v>
      </c>
      <c r="Q224" s="19">
        <v>2773.44</v>
      </c>
    </row>
    <row r="225" spans="1:17">
      <c r="A225" t="s">
        <v>901</v>
      </c>
      <c r="B225" s="23">
        <v>45546</v>
      </c>
      <c r="C225" s="23" t="str">
        <f t="shared" si="9"/>
        <v>Sep</v>
      </c>
      <c r="D225" s="23" t="str">
        <f t="shared" si="10"/>
        <v>2024</v>
      </c>
      <c r="E225" s="23" t="str">
        <f t="shared" si="11"/>
        <v>Q3</v>
      </c>
      <c r="F225" t="s">
        <v>902</v>
      </c>
      <c r="G225" s="24" t="s">
        <v>25</v>
      </c>
      <c r="H225" s="17">
        <v>4</v>
      </c>
      <c r="I225" s="19">
        <v>692.91</v>
      </c>
      <c r="J225" t="s">
        <v>517</v>
      </c>
      <c r="K225" s="24" t="s">
        <v>34</v>
      </c>
      <c r="L225" s="24" t="s">
        <v>89</v>
      </c>
      <c r="M225" t="s">
        <v>903</v>
      </c>
      <c r="N225" s="17">
        <v>9</v>
      </c>
      <c r="O225" t="s">
        <v>21</v>
      </c>
      <c r="P225" s="24" t="s">
        <v>22</v>
      </c>
      <c r="Q225" s="19">
        <v>2771.64</v>
      </c>
    </row>
    <row r="226" spans="1:17">
      <c r="A226" t="s">
        <v>904</v>
      </c>
      <c r="B226" s="23">
        <v>45192</v>
      </c>
      <c r="C226" s="23" t="str">
        <f t="shared" si="9"/>
        <v>Sep</v>
      </c>
      <c r="D226" s="23" t="str">
        <f t="shared" si="10"/>
        <v>2023</v>
      </c>
      <c r="E226" s="23" t="str">
        <f t="shared" si="11"/>
        <v>Q3</v>
      </c>
      <c r="F226" t="s">
        <v>905</v>
      </c>
      <c r="G226" s="24" t="s">
        <v>48</v>
      </c>
      <c r="H226" s="17">
        <v>4</v>
      </c>
      <c r="I226" s="19">
        <v>91.46</v>
      </c>
      <c r="J226" t="s">
        <v>906</v>
      </c>
      <c r="K226" s="24" t="s">
        <v>65</v>
      </c>
      <c r="L226" s="24" t="s">
        <v>35</v>
      </c>
      <c r="M226" t="s">
        <v>907</v>
      </c>
      <c r="N226" s="17">
        <v>9</v>
      </c>
      <c r="O226" t="s">
        <v>21</v>
      </c>
      <c r="P226" s="24" t="s">
        <v>29</v>
      </c>
      <c r="Q226" s="19">
        <v>365.84</v>
      </c>
    </row>
    <row r="227" spans="1:17">
      <c r="A227" t="s">
        <v>908</v>
      </c>
      <c r="B227" s="23">
        <v>45364</v>
      </c>
      <c r="C227" s="23" t="str">
        <f t="shared" si="9"/>
        <v>Mar</v>
      </c>
      <c r="D227" s="23" t="str">
        <f t="shared" si="10"/>
        <v>2024</v>
      </c>
      <c r="E227" s="23" t="str">
        <f t="shared" si="11"/>
        <v>Q1</v>
      </c>
      <c r="F227" t="s">
        <v>909</v>
      </c>
      <c r="G227" s="24" t="s">
        <v>25</v>
      </c>
      <c r="H227" s="17">
        <v>3</v>
      </c>
      <c r="I227" s="19">
        <v>273.96</v>
      </c>
      <c r="J227" t="s">
        <v>910</v>
      </c>
      <c r="K227" s="24" t="s">
        <v>18</v>
      </c>
      <c r="L227" s="24" t="s">
        <v>43</v>
      </c>
      <c r="M227" t="s">
        <v>911</v>
      </c>
      <c r="N227" s="17">
        <v>8</v>
      </c>
      <c r="O227" t="s">
        <v>21</v>
      </c>
      <c r="P227" s="24" t="s">
        <v>76</v>
      </c>
      <c r="Q227" s="19">
        <v>821.88</v>
      </c>
    </row>
    <row r="228" spans="1:17">
      <c r="A228" t="s">
        <v>912</v>
      </c>
      <c r="B228" s="23">
        <v>45835</v>
      </c>
      <c r="C228" s="23" t="str">
        <f t="shared" si="9"/>
        <v>Jun</v>
      </c>
      <c r="D228" s="23" t="str">
        <f t="shared" si="10"/>
        <v>2025</v>
      </c>
      <c r="E228" s="23" t="str">
        <f t="shared" si="11"/>
        <v>Q2</v>
      </c>
      <c r="F228" t="s">
        <v>913</v>
      </c>
      <c r="G228" s="24" t="s">
        <v>73</v>
      </c>
      <c r="H228" s="17">
        <v>3</v>
      </c>
      <c r="I228" s="19">
        <v>588.05</v>
      </c>
      <c r="J228" t="s">
        <v>914</v>
      </c>
      <c r="K228" s="24" t="s">
        <v>60</v>
      </c>
      <c r="L228" s="24" t="s">
        <v>50</v>
      </c>
      <c r="M228" t="s">
        <v>915</v>
      </c>
      <c r="N228" s="17">
        <v>8</v>
      </c>
      <c r="O228" t="s">
        <v>4295</v>
      </c>
      <c r="P228" s="24" t="s">
        <v>22</v>
      </c>
      <c r="Q228" s="19">
        <v>1764.15</v>
      </c>
    </row>
    <row r="229" spans="1:17">
      <c r="A229" t="s">
        <v>916</v>
      </c>
      <c r="B229" s="23">
        <v>45232</v>
      </c>
      <c r="C229" s="23" t="str">
        <f t="shared" si="9"/>
        <v>Nov</v>
      </c>
      <c r="D229" s="23" t="str">
        <f t="shared" si="10"/>
        <v>2023</v>
      </c>
      <c r="E229" s="23" t="str">
        <f t="shared" si="11"/>
        <v>Q4</v>
      </c>
      <c r="F229" t="s">
        <v>917</v>
      </c>
      <c r="G229" s="24" t="s">
        <v>16</v>
      </c>
      <c r="H229" s="17">
        <v>2</v>
      </c>
      <c r="I229" s="19">
        <v>365.17</v>
      </c>
      <c r="J229" t="s">
        <v>537</v>
      </c>
      <c r="K229" s="24" t="s">
        <v>27</v>
      </c>
      <c r="L229" s="24" t="s">
        <v>35</v>
      </c>
      <c r="M229" t="s">
        <v>918</v>
      </c>
      <c r="N229" s="17">
        <v>4</v>
      </c>
      <c r="O229" t="s">
        <v>37</v>
      </c>
      <c r="P229" s="24" t="s">
        <v>45</v>
      </c>
      <c r="Q229" s="19">
        <v>730.34</v>
      </c>
    </row>
    <row r="230" spans="1:17">
      <c r="A230" t="s">
        <v>919</v>
      </c>
      <c r="B230" s="23">
        <v>45063</v>
      </c>
      <c r="C230" s="23" t="str">
        <f t="shared" si="9"/>
        <v>May</v>
      </c>
      <c r="D230" s="23" t="str">
        <f t="shared" si="10"/>
        <v>2023</v>
      </c>
      <c r="E230" s="23" t="str">
        <f t="shared" si="11"/>
        <v>Q2</v>
      </c>
      <c r="F230" t="s">
        <v>920</v>
      </c>
      <c r="G230" s="24" t="s">
        <v>41</v>
      </c>
      <c r="H230" s="17">
        <v>4</v>
      </c>
      <c r="I230" s="19">
        <v>385.92</v>
      </c>
      <c r="J230" t="s">
        <v>921</v>
      </c>
      <c r="K230" s="24" t="s">
        <v>34</v>
      </c>
      <c r="L230" s="24" t="s">
        <v>35</v>
      </c>
      <c r="M230" t="s">
        <v>922</v>
      </c>
      <c r="N230" s="17">
        <v>8</v>
      </c>
      <c r="O230" t="s">
        <v>4295</v>
      </c>
      <c r="P230" s="24" t="s">
        <v>22</v>
      </c>
      <c r="Q230" s="19">
        <v>1543.68</v>
      </c>
    </row>
    <row r="231" spans="1:17">
      <c r="A231" t="s">
        <v>923</v>
      </c>
      <c r="B231" s="23">
        <v>45744</v>
      </c>
      <c r="C231" s="23" t="str">
        <f t="shared" si="9"/>
        <v>Mar</v>
      </c>
      <c r="D231" s="23" t="str">
        <f t="shared" si="10"/>
        <v>2025</v>
      </c>
      <c r="E231" s="23" t="str">
        <f t="shared" si="11"/>
        <v>Q1</v>
      </c>
      <c r="F231" t="s">
        <v>924</v>
      </c>
      <c r="G231" s="24" t="s">
        <v>32</v>
      </c>
      <c r="H231" s="17">
        <v>1</v>
      </c>
      <c r="I231" s="19">
        <v>562.61</v>
      </c>
      <c r="J231" t="s">
        <v>925</v>
      </c>
      <c r="K231" s="24" t="s">
        <v>34</v>
      </c>
      <c r="L231" s="24" t="s">
        <v>50</v>
      </c>
      <c r="M231" t="s">
        <v>926</v>
      </c>
      <c r="N231" s="17">
        <v>3</v>
      </c>
      <c r="O231" t="s">
        <v>81</v>
      </c>
      <c r="P231" s="24" t="s">
        <v>45</v>
      </c>
      <c r="Q231" s="19">
        <v>562.61</v>
      </c>
    </row>
    <row r="232" spans="1:17">
      <c r="A232" t="s">
        <v>927</v>
      </c>
      <c r="B232" s="23">
        <v>45276</v>
      </c>
      <c r="C232" s="23" t="str">
        <f t="shared" si="9"/>
        <v>Dec</v>
      </c>
      <c r="D232" s="23" t="str">
        <f t="shared" si="10"/>
        <v>2023</v>
      </c>
      <c r="E232" s="23" t="str">
        <f t="shared" si="11"/>
        <v>Q4</v>
      </c>
      <c r="F232" t="s">
        <v>928</v>
      </c>
      <c r="G232" s="24" t="s">
        <v>73</v>
      </c>
      <c r="H232" s="17">
        <v>4</v>
      </c>
      <c r="I232" s="19">
        <v>61.91</v>
      </c>
      <c r="J232" t="s">
        <v>929</v>
      </c>
      <c r="K232" s="24" t="s">
        <v>60</v>
      </c>
      <c r="L232" s="24" t="s">
        <v>50</v>
      </c>
      <c r="M232" t="s">
        <v>930</v>
      </c>
      <c r="N232" s="17">
        <v>6</v>
      </c>
      <c r="O232" t="s">
        <v>81</v>
      </c>
      <c r="P232" s="24" t="s">
        <v>38</v>
      </c>
      <c r="Q232" s="19">
        <v>247.64</v>
      </c>
    </row>
    <row r="233" spans="1:17">
      <c r="A233" t="s">
        <v>931</v>
      </c>
      <c r="B233" s="23">
        <v>45235</v>
      </c>
      <c r="C233" s="23" t="str">
        <f t="shared" si="9"/>
        <v>Nov</v>
      </c>
      <c r="D233" s="23" t="str">
        <f t="shared" si="10"/>
        <v>2023</v>
      </c>
      <c r="E233" s="23" t="str">
        <f t="shared" si="11"/>
        <v>Q4</v>
      </c>
      <c r="F233" t="s">
        <v>932</v>
      </c>
      <c r="G233" s="24" t="s">
        <v>25</v>
      </c>
      <c r="H233" s="17">
        <v>4</v>
      </c>
      <c r="I233" s="19">
        <v>41.9</v>
      </c>
      <c r="J233" t="s">
        <v>933</v>
      </c>
      <c r="K233" s="24" t="s">
        <v>60</v>
      </c>
      <c r="L233" s="24" t="s">
        <v>89</v>
      </c>
      <c r="M233" t="s">
        <v>934</v>
      </c>
      <c r="N233" s="17">
        <v>9</v>
      </c>
      <c r="O233" t="s">
        <v>37</v>
      </c>
      <c r="P233" s="24" t="s">
        <v>22</v>
      </c>
      <c r="Q233" s="19">
        <v>167.6</v>
      </c>
    </row>
    <row r="234" spans="1:17">
      <c r="A234" t="s">
        <v>935</v>
      </c>
      <c r="B234" s="23">
        <v>45065</v>
      </c>
      <c r="C234" s="23" t="str">
        <f t="shared" si="9"/>
        <v>May</v>
      </c>
      <c r="D234" s="23" t="str">
        <f t="shared" si="10"/>
        <v>2023</v>
      </c>
      <c r="E234" s="23" t="str">
        <f t="shared" si="11"/>
        <v>Q2</v>
      </c>
      <c r="F234" t="s">
        <v>936</v>
      </c>
      <c r="G234" s="24" t="s">
        <v>48</v>
      </c>
      <c r="H234" s="17">
        <v>4</v>
      </c>
      <c r="I234" s="19">
        <v>444.44</v>
      </c>
      <c r="J234" t="s">
        <v>937</v>
      </c>
      <c r="K234" s="24" t="s">
        <v>18</v>
      </c>
      <c r="L234" s="24" t="s">
        <v>35</v>
      </c>
      <c r="M234" t="s">
        <v>938</v>
      </c>
      <c r="N234" s="17">
        <v>8</v>
      </c>
      <c r="O234" t="s">
        <v>81</v>
      </c>
      <c r="P234" s="24" t="s">
        <v>76</v>
      </c>
      <c r="Q234" s="19">
        <v>1777.76</v>
      </c>
    </row>
    <row r="235" spans="1:17">
      <c r="A235" t="s">
        <v>939</v>
      </c>
      <c r="B235" s="23">
        <v>45528</v>
      </c>
      <c r="C235" s="23" t="str">
        <f t="shared" si="9"/>
        <v>Aug</v>
      </c>
      <c r="D235" s="23" t="str">
        <f t="shared" si="10"/>
        <v>2024</v>
      </c>
      <c r="E235" s="23" t="str">
        <f t="shared" si="11"/>
        <v>Q3</v>
      </c>
      <c r="F235" t="s">
        <v>940</v>
      </c>
      <c r="G235" s="24" t="s">
        <v>25</v>
      </c>
      <c r="H235" s="17">
        <v>3</v>
      </c>
      <c r="I235" s="19">
        <v>311.33</v>
      </c>
      <c r="J235" t="s">
        <v>347</v>
      </c>
      <c r="K235" s="24" t="s">
        <v>65</v>
      </c>
      <c r="L235" s="24" t="s">
        <v>35</v>
      </c>
      <c r="M235" t="s">
        <v>941</v>
      </c>
      <c r="N235" s="17">
        <v>3</v>
      </c>
      <c r="O235" t="s">
        <v>81</v>
      </c>
      <c r="P235" s="24" t="s">
        <v>22</v>
      </c>
      <c r="Q235" s="19">
        <v>933.99</v>
      </c>
    </row>
    <row r="236" spans="1:17">
      <c r="A236" t="s">
        <v>942</v>
      </c>
      <c r="B236" s="23">
        <v>45622</v>
      </c>
      <c r="C236" s="23" t="str">
        <f t="shared" si="9"/>
        <v>Nov</v>
      </c>
      <c r="D236" s="23" t="str">
        <f t="shared" si="10"/>
        <v>2024</v>
      </c>
      <c r="E236" s="23" t="str">
        <f t="shared" si="11"/>
        <v>Q4</v>
      </c>
      <c r="F236" t="s">
        <v>943</v>
      </c>
      <c r="G236" s="24" t="s">
        <v>48</v>
      </c>
      <c r="H236" s="17">
        <v>4</v>
      </c>
      <c r="I236" s="19">
        <v>236.41</v>
      </c>
      <c r="J236" t="s">
        <v>944</v>
      </c>
      <c r="K236" s="24" t="s">
        <v>18</v>
      </c>
      <c r="L236" s="24" t="s">
        <v>89</v>
      </c>
      <c r="M236" t="s">
        <v>945</v>
      </c>
      <c r="N236" s="17">
        <v>7</v>
      </c>
      <c r="O236" t="s">
        <v>21</v>
      </c>
      <c r="P236" s="24" t="s">
        <v>76</v>
      </c>
      <c r="Q236" s="19">
        <v>945.64</v>
      </c>
    </row>
    <row r="237" spans="1:17">
      <c r="A237" t="s">
        <v>946</v>
      </c>
      <c r="B237" s="23">
        <v>44977</v>
      </c>
      <c r="C237" s="23" t="str">
        <f t="shared" si="9"/>
        <v>Feb</v>
      </c>
      <c r="D237" s="23" t="str">
        <f t="shared" si="10"/>
        <v>2023</v>
      </c>
      <c r="E237" s="23" t="str">
        <f t="shared" si="11"/>
        <v>Q1</v>
      </c>
      <c r="F237" t="s">
        <v>947</v>
      </c>
      <c r="G237" s="24" t="s">
        <v>73</v>
      </c>
      <c r="H237" s="17">
        <v>1</v>
      </c>
      <c r="I237" s="19">
        <v>65.45</v>
      </c>
      <c r="J237" t="s">
        <v>948</v>
      </c>
      <c r="K237" s="24" t="s">
        <v>65</v>
      </c>
      <c r="L237" s="24" t="s">
        <v>89</v>
      </c>
      <c r="M237" t="s">
        <v>949</v>
      </c>
      <c r="N237" s="17">
        <v>2</v>
      </c>
      <c r="O237" t="s">
        <v>81</v>
      </c>
      <c r="P237" s="24" t="s">
        <v>76</v>
      </c>
      <c r="Q237" s="19">
        <v>65.45</v>
      </c>
    </row>
    <row r="238" spans="1:17">
      <c r="A238" t="s">
        <v>950</v>
      </c>
      <c r="B238" s="23">
        <v>44927</v>
      </c>
      <c r="C238" s="23" t="str">
        <f t="shared" si="9"/>
        <v>Jan</v>
      </c>
      <c r="D238" s="23" t="str">
        <f t="shared" si="10"/>
        <v>2023</v>
      </c>
      <c r="E238" s="23" t="str">
        <f t="shared" si="11"/>
        <v>Q1</v>
      </c>
      <c r="F238" t="s">
        <v>951</v>
      </c>
      <c r="G238" s="24" t="s">
        <v>16</v>
      </c>
      <c r="H238" s="17">
        <v>1</v>
      </c>
      <c r="I238" s="19">
        <v>318.81</v>
      </c>
      <c r="J238" t="s">
        <v>952</v>
      </c>
      <c r="K238" s="24" t="s">
        <v>18</v>
      </c>
      <c r="L238" s="24" t="s">
        <v>89</v>
      </c>
      <c r="M238" t="s">
        <v>953</v>
      </c>
      <c r="N238" s="17">
        <v>3</v>
      </c>
      <c r="O238" t="s">
        <v>81</v>
      </c>
      <c r="P238" s="24" t="s">
        <v>38</v>
      </c>
      <c r="Q238" s="19">
        <v>318.81</v>
      </c>
    </row>
    <row r="239" spans="1:17">
      <c r="A239" t="s">
        <v>954</v>
      </c>
      <c r="B239" s="23">
        <v>45365</v>
      </c>
      <c r="C239" s="23" t="str">
        <f t="shared" si="9"/>
        <v>Mar</v>
      </c>
      <c r="D239" s="23" t="str">
        <f t="shared" si="10"/>
        <v>2024</v>
      </c>
      <c r="E239" s="23" t="str">
        <f t="shared" si="11"/>
        <v>Q1</v>
      </c>
      <c r="F239" t="s">
        <v>955</v>
      </c>
      <c r="G239" s="24" t="s">
        <v>16</v>
      </c>
      <c r="H239" s="17">
        <v>3</v>
      </c>
      <c r="I239" s="19">
        <v>583.72</v>
      </c>
      <c r="J239" t="s">
        <v>956</v>
      </c>
      <c r="K239" s="24" t="s">
        <v>34</v>
      </c>
      <c r="L239" s="24" t="s">
        <v>19</v>
      </c>
      <c r="M239" t="s">
        <v>957</v>
      </c>
      <c r="N239" s="17">
        <v>5</v>
      </c>
      <c r="O239" t="s">
        <v>37</v>
      </c>
      <c r="P239" s="24" t="s">
        <v>45</v>
      </c>
      <c r="Q239" s="19">
        <v>1751.16</v>
      </c>
    </row>
    <row r="240" spans="1:17">
      <c r="A240" t="s">
        <v>958</v>
      </c>
      <c r="B240" s="23">
        <v>45639</v>
      </c>
      <c r="C240" s="23" t="str">
        <f t="shared" si="9"/>
        <v>Dec</v>
      </c>
      <c r="D240" s="23" t="str">
        <f t="shared" si="10"/>
        <v>2024</v>
      </c>
      <c r="E240" s="23" t="str">
        <f t="shared" si="11"/>
        <v>Q4</v>
      </c>
      <c r="F240" t="s">
        <v>959</v>
      </c>
      <c r="G240" s="24" t="s">
        <v>73</v>
      </c>
      <c r="H240" s="17">
        <v>4</v>
      </c>
      <c r="I240" s="19">
        <v>384.32</v>
      </c>
      <c r="J240" t="s">
        <v>960</v>
      </c>
      <c r="K240" s="24" t="s">
        <v>34</v>
      </c>
      <c r="L240" s="24" t="s">
        <v>89</v>
      </c>
      <c r="M240" t="s">
        <v>961</v>
      </c>
      <c r="N240" s="17">
        <v>6</v>
      </c>
      <c r="O240" t="s">
        <v>81</v>
      </c>
      <c r="P240" s="24" t="s">
        <v>76</v>
      </c>
      <c r="Q240" s="19">
        <v>1537.28</v>
      </c>
    </row>
    <row r="241" spans="1:17">
      <c r="A241" t="s">
        <v>962</v>
      </c>
      <c r="B241" s="23">
        <v>45637</v>
      </c>
      <c r="C241" s="23" t="str">
        <f t="shared" si="9"/>
        <v>Dec</v>
      </c>
      <c r="D241" s="23" t="str">
        <f t="shared" si="10"/>
        <v>2024</v>
      </c>
      <c r="E241" s="23" t="str">
        <f t="shared" si="11"/>
        <v>Q4</v>
      </c>
      <c r="F241" t="s">
        <v>963</v>
      </c>
      <c r="G241" s="24" t="s">
        <v>32</v>
      </c>
      <c r="H241" s="17">
        <v>3</v>
      </c>
      <c r="I241" s="19">
        <v>538.74</v>
      </c>
      <c r="J241" t="s">
        <v>964</v>
      </c>
      <c r="K241" s="24" t="s">
        <v>27</v>
      </c>
      <c r="L241" s="24" t="s">
        <v>19</v>
      </c>
      <c r="M241" t="s">
        <v>965</v>
      </c>
      <c r="N241" s="17">
        <v>6</v>
      </c>
      <c r="O241" t="s">
        <v>37</v>
      </c>
      <c r="P241" s="24" t="s">
        <v>38</v>
      </c>
      <c r="Q241" s="19">
        <v>1616.22</v>
      </c>
    </row>
    <row r="242" spans="1:17">
      <c r="A242" t="s">
        <v>966</v>
      </c>
      <c r="B242" s="23">
        <v>45119</v>
      </c>
      <c r="C242" s="23" t="str">
        <f t="shared" si="9"/>
        <v>Jul</v>
      </c>
      <c r="D242" s="23" t="str">
        <f t="shared" si="10"/>
        <v>2023</v>
      </c>
      <c r="E242" s="23" t="str">
        <f t="shared" si="11"/>
        <v>Q3</v>
      </c>
      <c r="F242" t="s">
        <v>967</v>
      </c>
      <c r="G242" s="24" t="s">
        <v>32</v>
      </c>
      <c r="H242" s="17">
        <v>1</v>
      </c>
      <c r="I242" s="19">
        <v>17.24</v>
      </c>
      <c r="J242" t="s">
        <v>968</v>
      </c>
      <c r="K242" s="24" t="s">
        <v>27</v>
      </c>
      <c r="L242" s="24" t="s">
        <v>89</v>
      </c>
      <c r="M242" t="s">
        <v>969</v>
      </c>
      <c r="N242" s="17">
        <v>2</v>
      </c>
      <c r="O242" t="s">
        <v>37</v>
      </c>
      <c r="P242" s="24" t="s">
        <v>22</v>
      </c>
      <c r="Q242" s="19">
        <v>17.24</v>
      </c>
    </row>
    <row r="243" spans="1:17">
      <c r="A243" t="s">
        <v>970</v>
      </c>
      <c r="B243" s="23">
        <v>45062</v>
      </c>
      <c r="C243" s="23" t="str">
        <f t="shared" si="9"/>
        <v>May</v>
      </c>
      <c r="D243" s="23" t="str">
        <f t="shared" si="10"/>
        <v>2023</v>
      </c>
      <c r="E243" s="23" t="str">
        <f t="shared" si="11"/>
        <v>Q2</v>
      </c>
      <c r="F243" t="s">
        <v>971</v>
      </c>
      <c r="G243" s="24" t="s">
        <v>41</v>
      </c>
      <c r="H243" s="17">
        <v>5</v>
      </c>
      <c r="I243" s="19">
        <v>615.67</v>
      </c>
      <c r="J243" t="s">
        <v>972</v>
      </c>
      <c r="K243" s="24" t="s">
        <v>27</v>
      </c>
      <c r="L243" s="24" t="s">
        <v>89</v>
      </c>
      <c r="M243" t="s">
        <v>973</v>
      </c>
      <c r="N243" s="17">
        <v>6</v>
      </c>
      <c r="O243" t="s">
        <v>21</v>
      </c>
      <c r="P243" s="24" t="s">
        <v>38</v>
      </c>
      <c r="Q243" s="19">
        <v>3078.35</v>
      </c>
    </row>
    <row r="244" spans="1:17">
      <c r="A244" t="s">
        <v>974</v>
      </c>
      <c r="B244" s="23">
        <v>45055</v>
      </c>
      <c r="C244" s="23" t="str">
        <f t="shared" si="9"/>
        <v>May</v>
      </c>
      <c r="D244" s="23" t="str">
        <f t="shared" si="10"/>
        <v>2023</v>
      </c>
      <c r="E244" s="23" t="str">
        <f t="shared" si="11"/>
        <v>Q2</v>
      </c>
      <c r="F244" t="s">
        <v>975</v>
      </c>
      <c r="G244" s="24" t="s">
        <v>48</v>
      </c>
      <c r="H244" s="17">
        <v>2</v>
      </c>
      <c r="I244" s="19">
        <v>219.1</v>
      </c>
      <c r="J244" t="s">
        <v>976</v>
      </c>
      <c r="K244" s="24" t="s">
        <v>27</v>
      </c>
      <c r="L244" s="24" t="s">
        <v>89</v>
      </c>
      <c r="M244" t="s">
        <v>977</v>
      </c>
      <c r="N244" s="17">
        <v>4</v>
      </c>
      <c r="O244" t="s">
        <v>21</v>
      </c>
      <c r="P244" s="24" t="s">
        <v>29</v>
      </c>
      <c r="Q244" s="19">
        <v>438.2</v>
      </c>
    </row>
    <row r="245" spans="1:17">
      <c r="A245" t="s">
        <v>978</v>
      </c>
      <c r="B245" s="23">
        <v>45786</v>
      </c>
      <c r="C245" s="23" t="str">
        <f t="shared" si="9"/>
        <v>May</v>
      </c>
      <c r="D245" s="23" t="str">
        <f t="shared" si="10"/>
        <v>2025</v>
      </c>
      <c r="E245" s="23" t="str">
        <f t="shared" si="11"/>
        <v>Q2</v>
      </c>
      <c r="F245" t="s">
        <v>979</v>
      </c>
      <c r="G245" s="24" t="s">
        <v>41</v>
      </c>
      <c r="H245" s="17">
        <v>2</v>
      </c>
      <c r="I245" s="19">
        <v>144.66</v>
      </c>
      <c r="J245" t="s">
        <v>980</v>
      </c>
      <c r="K245" s="24" t="s">
        <v>27</v>
      </c>
      <c r="L245" s="24" t="s">
        <v>35</v>
      </c>
      <c r="M245" t="s">
        <v>981</v>
      </c>
      <c r="N245" s="17">
        <v>7</v>
      </c>
      <c r="O245" t="s">
        <v>37</v>
      </c>
      <c r="P245" s="24" t="s">
        <v>76</v>
      </c>
      <c r="Q245" s="19">
        <v>289.32</v>
      </c>
    </row>
    <row r="246" spans="1:17">
      <c r="A246" t="s">
        <v>982</v>
      </c>
      <c r="B246" s="23">
        <v>44973</v>
      </c>
      <c r="C246" s="23" t="str">
        <f t="shared" si="9"/>
        <v>Feb</v>
      </c>
      <c r="D246" s="23" t="str">
        <f t="shared" si="10"/>
        <v>2023</v>
      </c>
      <c r="E246" s="23" t="str">
        <f t="shared" si="11"/>
        <v>Q1</v>
      </c>
      <c r="F246" t="s">
        <v>983</v>
      </c>
      <c r="G246" s="24" t="s">
        <v>73</v>
      </c>
      <c r="H246" s="17">
        <v>2</v>
      </c>
      <c r="I246" s="19">
        <v>317.77</v>
      </c>
      <c r="J246" t="s">
        <v>984</v>
      </c>
      <c r="K246" s="24" t="s">
        <v>18</v>
      </c>
      <c r="L246" s="24" t="s">
        <v>35</v>
      </c>
      <c r="M246" t="s">
        <v>985</v>
      </c>
      <c r="N246" s="17">
        <v>4</v>
      </c>
      <c r="O246" t="s">
        <v>81</v>
      </c>
      <c r="P246" s="24" t="s">
        <v>45</v>
      </c>
      <c r="Q246" s="19">
        <v>635.54</v>
      </c>
    </row>
    <row r="247" spans="1:17">
      <c r="A247" t="s">
        <v>986</v>
      </c>
      <c r="B247" s="23">
        <v>45767</v>
      </c>
      <c r="C247" s="23" t="str">
        <f t="shared" si="9"/>
        <v>Apr</v>
      </c>
      <c r="D247" s="23" t="str">
        <f t="shared" si="10"/>
        <v>2025</v>
      </c>
      <c r="E247" s="23" t="str">
        <f t="shared" si="11"/>
        <v>Q2</v>
      </c>
      <c r="F247" t="s">
        <v>987</v>
      </c>
      <c r="G247" s="24" t="s">
        <v>58</v>
      </c>
      <c r="H247" s="17">
        <v>1</v>
      </c>
      <c r="I247" s="19">
        <v>223.3</v>
      </c>
      <c r="J247" t="s">
        <v>988</v>
      </c>
      <c r="K247" s="24" t="s">
        <v>27</v>
      </c>
      <c r="L247" s="24" t="s">
        <v>43</v>
      </c>
      <c r="M247" t="s">
        <v>989</v>
      </c>
      <c r="N247" s="17">
        <v>1</v>
      </c>
      <c r="O247" t="s">
        <v>4295</v>
      </c>
      <c r="P247" s="24" t="s">
        <v>45</v>
      </c>
      <c r="Q247" s="19">
        <v>223.3</v>
      </c>
    </row>
    <row r="248" spans="1:17">
      <c r="A248" t="s">
        <v>990</v>
      </c>
      <c r="B248" s="23">
        <v>45534</v>
      </c>
      <c r="C248" s="23" t="str">
        <f t="shared" si="9"/>
        <v>Aug</v>
      </c>
      <c r="D248" s="23" t="str">
        <f t="shared" si="10"/>
        <v>2024</v>
      </c>
      <c r="E248" s="23" t="str">
        <f t="shared" si="11"/>
        <v>Q3</v>
      </c>
      <c r="F248" t="s">
        <v>991</v>
      </c>
      <c r="G248" s="24" t="s">
        <v>73</v>
      </c>
      <c r="H248" s="17">
        <v>2</v>
      </c>
      <c r="I248" s="19">
        <v>342.11</v>
      </c>
      <c r="J248" t="s">
        <v>992</v>
      </c>
      <c r="K248" s="24" t="s">
        <v>60</v>
      </c>
      <c r="L248" s="24" t="s">
        <v>19</v>
      </c>
      <c r="M248" t="s">
        <v>993</v>
      </c>
      <c r="N248" s="17">
        <v>2</v>
      </c>
      <c r="O248" t="s">
        <v>81</v>
      </c>
      <c r="P248" s="24" t="s">
        <v>22</v>
      </c>
      <c r="Q248" s="19">
        <v>684.22</v>
      </c>
    </row>
    <row r="249" spans="1:17">
      <c r="A249" t="s">
        <v>994</v>
      </c>
      <c r="B249" s="23">
        <v>45127</v>
      </c>
      <c r="C249" s="23" t="str">
        <f t="shared" si="9"/>
        <v>Jul</v>
      </c>
      <c r="D249" s="23" t="str">
        <f t="shared" si="10"/>
        <v>2023</v>
      </c>
      <c r="E249" s="23" t="str">
        <f t="shared" si="11"/>
        <v>Q3</v>
      </c>
      <c r="F249" t="s">
        <v>995</v>
      </c>
      <c r="G249" s="24" t="s">
        <v>48</v>
      </c>
      <c r="H249" s="17">
        <v>2</v>
      </c>
      <c r="I249" s="19">
        <v>220.9</v>
      </c>
      <c r="J249" t="s">
        <v>996</v>
      </c>
      <c r="K249" s="24" t="s">
        <v>60</v>
      </c>
      <c r="L249" s="24" t="s">
        <v>19</v>
      </c>
      <c r="M249" t="s">
        <v>997</v>
      </c>
      <c r="N249" s="17">
        <v>4</v>
      </c>
      <c r="O249" t="s">
        <v>4295</v>
      </c>
      <c r="P249" s="24" t="s">
        <v>38</v>
      </c>
      <c r="Q249" s="19">
        <v>441.8</v>
      </c>
    </row>
    <row r="250" spans="1:17">
      <c r="A250" t="s">
        <v>998</v>
      </c>
      <c r="B250" s="23">
        <v>45109</v>
      </c>
      <c r="C250" s="23" t="str">
        <f t="shared" si="9"/>
        <v>Jul</v>
      </c>
      <c r="D250" s="23" t="str">
        <f t="shared" si="10"/>
        <v>2023</v>
      </c>
      <c r="E250" s="23" t="str">
        <f t="shared" si="11"/>
        <v>Q3</v>
      </c>
      <c r="F250" t="s">
        <v>999</v>
      </c>
      <c r="G250" s="24" t="s">
        <v>58</v>
      </c>
      <c r="H250" s="17">
        <v>1</v>
      </c>
      <c r="I250" s="19">
        <v>670.54</v>
      </c>
      <c r="J250" t="s">
        <v>1000</v>
      </c>
      <c r="K250" s="24" t="s">
        <v>65</v>
      </c>
      <c r="L250" s="24" t="s">
        <v>19</v>
      </c>
      <c r="M250" t="s">
        <v>1001</v>
      </c>
      <c r="N250" s="17">
        <v>6</v>
      </c>
      <c r="O250" t="s">
        <v>37</v>
      </c>
      <c r="P250" s="24" t="s">
        <v>29</v>
      </c>
      <c r="Q250" s="19">
        <v>670.54</v>
      </c>
    </row>
    <row r="251" spans="1:17">
      <c r="A251" t="s">
        <v>1002</v>
      </c>
      <c r="B251" s="23">
        <v>45329</v>
      </c>
      <c r="C251" s="23" t="str">
        <f t="shared" si="9"/>
        <v>Feb</v>
      </c>
      <c r="D251" s="23" t="str">
        <f t="shared" si="10"/>
        <v>2024</v>
      </c>
      <c r="E251" s="23" t="str">
        <f t="shared" si="11"/>
        <v>Q1</v>
      </c>
      <c r="F251" t="s">
        <v>1003</v>
      </c>
      <c r="G251" s="24" t="s">
        <v>48</v>
      </c>
      <c r="H251" s="17">
        <v>1</v>
      </c>
      <c r="I251" s="19">
        <v>546.19</v>
      </c>
      <c r="J251" t="s">
        <v>1004</v>
      </c>
      <c r="K251" s="24" t="s">
        <v>65</v>
      </c>
      <c r="L251" s="24" t="s">
        <v>89</v>
      </c>
      <c r="M251" t="s">
        <v>1005</v>
      </c>
      <c r="N251" s="17">
        <v>5</v>
      </c>
      <c r="O251" t="s">
        <v>37</v>
      </c>
      <c r="P251" s="24" t="s">
        <v>29</v>
      </c>
      <c r="Q251" s="19">
        <v>546.19</v>
      </c>
    </row>
    <row r="252" spans="1:17">
      <c r="A252" t="s">
        <v>1006</v>
      </c>
      <c r="B252" s="23">
        <v>45021</v>
      </c>
      <c r="C252" s="23" t="str">
        <f t="shared" si="9"/>
        <v>Apr</v>
      </c>
      <c r="D252" s="23" t="str">
        <f t="shared" si="10"/>
        <v>2023</v>
      </c>
      <c r="E252" s="23" t="str">
        <f t="shared" si="11"/>
        <v>Q2</v>
      </c>
      <c r="F252" t="s">
        <v>1007</v>
      </c>
      <c r="G252" s="24" t="s">
        <v>73</v>
      </c>
      <c r="H252" s="17">
        <v>3</v>
      </c>
      <c r="I252" s="19">
        <v>42.95</v>
      </c>
      <c r="J252" t="s">
        <v>387</v>
      </c>
      <c r="K252" s="24" t="s">
        <v>60</v>
      </c>
      <c r="L252" s="24" t="s">
        <v>43</v>
      </c>
      <c r="M252" t="s">
        <v>1008</v>
      </c>
      <c r="N252" s="17">
        <v>8</v>
      </c>
      <c r="O252" t="s">
        <v>21</v>
      </c>
      <c r="P252" s="24" t="s">
        <v>38</v>
      </c>
      <c r="Q252" s="19">
        <v>128.85</v>
      </c>
    </row>
    <row r="253" spans="1:17">
      <c r="A253" t="s">
        <v>1009</v>
      </c>
      <c r="B253" s="23">
        <v>45792</v>
      </c>
      <c r="C253" s="23" t="str">
        <f t="shared" si="9"/>
        <v>May</v>
      </c>
      <c r="D253" s="23" t="str">
        <f t="shared" si="10"/>
        <v>2025</v>
      </c>
      <c r="E253" s="23" t="str">
        <f t="shared" si="11"/>
        <v>Q2</v>
      </c>
      <c r="F253" t="s">
        <v>1010</v>
      </c>
      <c r="G253" s="24" t="s">
        <v>16</v>
      </c>
      <c r="H253" s="17">
        <v>4</v>
      </c>
      <c r="I253" s="19">
        <v>14.69</v>
      </c>
      <c r="J253" t="s">
        <v>1011</v>
      </c>
      <c r="K253" s="24" t="s">
        <v>65</v>
      </c>
      <c r="L253" s="24" t="s">
        <v>35</v>
      </c>
      <c r="M253" t="s">
        <v>1012</v>
      </c>
      <c r="N253" s="17">
        <v>9</v>
      </c>
      <c r="O253" t="s">
        <v>4295</v>
      </c>
      <c r="P253" s="24" t="s">
        <v>38</v>
      </c>
      <c r="Q253" s="19">
        <v>58.76</v>
      </c>
    </row>
    <row r="254" spans="1:17">
      <c r="A254" t="s">
        <v>1013</v>
      </c>
      <c r="B254" s="23">
        <v>45555</v>
      </c>
      <c r="C254" s="23" t="str">
        <f t="shared" si="9"/>
        <v>Sep</v>
      </c>
      <c r="D254" s="23" t="str">
        <f t="shared" si="10"/>
        <v>2024</v>
      </c>
      <c r="E254" s="23" t="str">
        <f t="shared" si="11"/>
        <v>Q3</v>
      </c>
      <c r="F254" t="s">
        <v>1014</v>
      </c>
      <c r="G254" s="24" t="s">
        <v>25</v>
      </c>
      <c r="H254" s="17">
        <v>4</v>
      </c>
      <c r="I254" s="19">
        <v>668.36</v>
      </c>
      <c r="J254" t="s">
        <v>1015</v>
      </c>
      <c r="K254" s="24" t="s">
        <v>60</v>
      </c>
      <c r="L254" s="24" t="s">
        <v>35</v>
      </c>
      <c r="M254" t="s">
        <v>1016</v>
      </c>
      <c r="N254" s="17">
        <v>5</v>
      </c>
      <c r="O254" t="s">
        <v>37</v>
      </c>
      <c r="P254" s="24" t="s">
        <v>45</v>
      </c>
      <c r="Q254" s="19">
        <v>2673.44</v>
      </c>
    </row>
    <row r="255" spans="1:17">
      <c r="A255" t="s">
        <v>1017</v>
      </c>
      <c r="B255" s="23">
        <v>45374</v>
      </c>
      <c r="C255" s="23" t="str">
        <f t="shared" si="9"/>
        <v>Mar</v>
      </c>
      <c r="D255" s="23" t="str">
        <f t="shared" si="10"/>
        <v>2024</v>
      </c>
      <c r="E255" s="23" t="str">
        <f t="shared" si="11"/>
        <v>Q1</v>
      </c>
      <c r="F255" t="s">
        <v>1018</v>
      </c>
      <c r="G255" s="24" t="s">
        <v>41</v>
      </c>
      <c r="H255" s="17">
        <v>4</v>
      </c>
      <c r="I255" s="19">
        <v>413.74</v>
      </c>
      <c r="J255" t="s">
        <v>434</v>
      </c>
      <c r="K255" s="24" t="s">
        <v>60</v>
      </c>
      <c r="L255" s="24" t="s">
        <v>43</v>
      </c>
      <c r="M255" t="s">
        <v>1019</v>
      </c>
      <c r="N255" s="17">
        <v>7</v>
      </c>
      <c r="O255" t="s">
        <v>37</v>
      </c>
      <c r="P255" s="24" t="s">
        <v>22</v>
      </c>
      <c r="Q255" s="19">
        <v>1654.96</v>
      </c>
    </row>
    <row r="256" spans="1:17">
      <c r="A256" t="s">
        <v>1020</v>
      </c>
      <c r="B256" s="23">
        <v>45286</v>
      </c>
      <c r="C256" s="23" t="str">
        <f t="shared" si="9"/>
        <v>Dec</v>
      </c>
      <c r="D256" s="23" t="str">
        <f t="shared" si="10"/>
        <v>2023</v>
      </c>
      <c r="E256" s="23" t="str">
        <f t="shared" si="11"/>
        <v>Q4</v>
      </c>
      <c r="F256" t="s">
        <v>1021</v>
      </c>
      <c r="G256" s="24" t="s">
        <v>16</v>
      </c>
      <c r="H256" s="17">
        <v>3</v>
      </c>
      <c r="I256" s="19">
        <v>263.19</v>
      </c>
      <c r="J256" t="s">
        <v>960</v>
      </c>
      <c r="K256" s="24" t="s">
        <v>27</v>
      </c>
      <c r="L256" s="24" t="s">
        <v>50</v>
      </c>
      <c r="M256" t="s">
        <v>1022</v>
      </c>
      <c r="N256" s="17">
        <v>5</v>
      </c>
      <c r="O256" t="s">
        <v>4295</v>
      </c>
      <c r="P256" s="24" t="s">
        <v>22</v>
      </c>
      <c r="Q256" s="19">
        <v>789.57</v>
      </c>
    </row>
    <row r="257" spans="1:17">
      <c r="A257" t="s">
        <v>1023</v>
      </c>
      <c r="B257" s="23">
        <v>45425</v>
      </c>
      <c r="C257" s="23" t="str">
        <f t="shared" si="9"/>
        <v>May</v>
      </c>
      <c r="D257" s="23" t="str">
        <f t="shared" si="10"/>
        <v>2024</v>
      </c>
      <c r="E257" s="23" t="str">
        <f t="shared" si="11"/>
        <v>Q2</v>
      </c>
      <c r="F257" t="s">
        <v>1024</v>
      </c>
      <c r="G257" s="24" t="s">
        <v>16</v>
      </c>
      <c r="H257" s="17">
        <v>1</v>
      </c>
      <c r="I257" s="19">
        <v>263.96</v>
      </c>
      <c r="J257" t="s">
        <v>715</v>
      </c>
      <c r="K257" s="24" t="s">
        <v>60</v>
      </c>
      <c r="L257" s="24" t="s">
        <v>43</v>
      </c>
      <c r="M257" t="s">
        <v>1025</v>
      </c>
      <c r="N257" s="17">
        <v>2</v>
      </c>
      <c r="O257" t="s">
        <v>21</v>
      </c>
      <c r="P257" s="24" t="s">
        <v>76</v>
      </c>
      <c r="Q257" s="19">
        <v>263.96</v>
      </c>
    </row>
    <row r="258" spans="1:17">
      <c r="A258" t="s">
        <v>1026</v>
      </c>
      <c r="B258" s="23">
        <v>45838</v>
      </c>
      <c r="C258" s="23" t="str">
        <f t="shared" ref="C258:C321" si="12">TEXT(B258,"MMM")</f>
        <v>Jun</v>
      </c>
      <c r="D258" s="23" t="str">
        <f t="shared" ref="D258:D321" si="13">TEXT(B258,"YYYY")</f>
        <v>2025</v>
      </c>
      <c r="E258" s="23" t="str">
        <f t="shared" ref="E258:E321" si="14">"Q"&amp;ROUNDUP(MONTH(B258)/3,0)</f>
        <v>Q2</v>
      </c>
      <c r="F258" t="s">
        <v>1027</v>
      </c>
      <c r="G258" s="24" t="s">
        <v>41</v>
      </c>
      <c r="H258" s="17">
        <v>5</v>
      </c>
      <c r="I258" s="19">
        <v>75.81</v>
      </c>
      <c r="J258" t="s">
        <v>1028</v>
      </c>
      <c r="K258" s="24" t="s">
        <v>60</v>
      </c>
      <c r="L258" s="24" t="s">
        <v>43</v>
      </c>
      <c r="M258" t="s">
        <v>1029</v>
      </c>
      <c r="N258" s="17">
        <v>10</v>
      </c>
      <c r="O258" t="s">
        <v>81</v>
      </c>
      <c r="P258" s="24" t="s">
        <v>22</v>
      </c>
      <c r="Q258" s="19">
        <v>379.05</v>
      </c>
    </row>
    <row r="259" spans="1:17">
      <c r="A259" t="s">
        <v>1030</v>
      </c>
      <c r="B259" s="23">
        <v>45405</v>
      </c>
      <c r="C259" s="23" t="str">
        <f t="shared" si="12"/>
        <v>Apr</v>
      </c>
      <c r="D259" s="23" t="str">
        <f t="shared" si="13"/>
        <v>2024</v>
      </c>
      <c r="E259" s="23" t="str">
        <f t="shared" si="14"/>
        <v>Q2</v>
      </c>
      <c r="F259" t="s">
        <v>1031</v>
      </c>
      <c r="G259" s="24" t="s">
        <v>25</v>
      </c>
      <c r="H259" s="17">
        <v>1</v>
      </c>
      <c r="I259" s="19">
        <v>406.22</v>
      </c>
      <c r="J259" t="s">
        <v>1032</v>
      </c>
      <c r="K259" s="24" t="s">
        <v>34</v>
      </c>
      <c r="L259" s="24" t="s">
        <v>35</v>
      </c>
      <c r="M259" t="s">
        <v>1033</v>
      </c>
      <c r="N259" s="17">
        <v>5</v>
      </c>
      <c r="O259" t="s">
        <v>21</v>
      </c>
      <c r="P259" s="24" t="s">
        <v>29</v>
      </c>
      <c r="Q259" s="19">
        <v>406.22</v>
      </c>
    </row>
    <row r="260" spans="1:17">
      <c r="A260" t="s">
        <v>1034</v>
      </c>
      <c r="B260" s="23">
        <v>45348</v>
      </c>
      <c r="C260" s="23" t="str">
        <f t="shared" si="12"/>
        <v>Feb</v>
      </c>
      <c r="D260" s="23" t="str">
        <f t="shared" si="13"/>
        <v>2024</v>
      </c>
      <c r="E260" s="23" t="str">
        <f t="shared" si="14"/>
        <v>Q1</v>
      </c>
      <c r="F260" t="s">
        <v>1035</v>
      </c>
      <c r="G260" s="24" t="s">
        <v>32</v>
      </c>
      <c r="H260" s="17">
        <v>2</v>
      </c>
      <c r="I260" s="19">
        <v>103.41</v>
      </c>
      <c r="J260" t="s">
        <v>1036</v>
      </c>
      <c r="K260" s="24" t="s">
        <v>27</v>
      </c>
      <c r="L260" s="24" t="s">
        <v>19</v>
      </c>
      <c r="M260" t="s">
        <v>1037</v>
      </c>
      <c r="N260" s="17">
        <v>2</v>
      </c>
      <c r="O260" t="s">
        <v>37</v>
      </c>
      <c r="P260" s="24" t="s">
        <v>29</v>
      </c>
      <c r="Q260" s="19">
        <v>206.82</v>
      </c>
    </row>
    <row r="261" spans="1:17">
      <c r="A261" t="s">
        <v>1038</v>
      </c>
      <c r="B261" s="23">
        <v>45088</v>
      </c>
      <c r="C261" s="23" t="str">
        <f t="shared" si="12"/>
        <v>Jun</v>
      </c>
      <c r="D261" s="23" t="str">
        <f t="shared" si="13"/>
        <v>2023</v>
      </c>
      <c r="E261" s="23" t="str">
        <f t="shared" si="14"/>
        <v>Q2</v>
      </c>
      <c r="F261" t="s">
        <v>1039</v>
      </c>
      <c r="G261" s="24" t="s">
        <v>41</v>
      </c>
      <c r="H261" s="17">
        <v>4</v>
      </c>
      <c r="I261" s="19">
        <v>435.12</v>
      </c>
      <c r="J261" t="s">
        <v>565</v>
      </c>
      <c r="K261" s="24" t="s">
        <v>34</v>
      </c>
      <c r="L261" s="24" t="s">
        <v>50</v>
      </c>
      <c r="M261" t="s">
        <v>1040</v>
      </c>
      <c r="N261" s="17">
        <v>9</v>
      </c>
      <c r="O261" t="s">
        <v>21</v>
      </c>
      <c r="P261" s="24" t="s">
        <v>22</v>
      </c>
      <c r="Q261" s="19">
        <v>1740.48</v>
      </c>
    </row>
    <row r="262" spans="1:17">
      <c r="A262" t="s">
        <v>1041</v>
      </c>
      <c r="B262" s="23">
        <v>45063</v>
      </c>
      <c r="C262" s="23" t="str">
        <f t="shared" si="12"/>
        <v>May</v>
      </c>
      <c r="D262" s="23" t="str">
        <f t="shared" si="13"/>
        <v>2023</v>
      </c>
      <c r="E262" s="23" t="str">
        <f t="shared" si="14"/>
        <v>Q2</v>
      </c>
      <c r="F262" t="s">
        <v>1042</v>
      </c>
      <c r="G262" s="24" t="s">
        <v>16</v>
      </c>
      <c r="H262" s="17">
        <v>2</v>
      </c>
      <c r="I262" s="19">
        <v>407.79</v>
      </c>
      <c r="J262" t="s">
        <v>1043</v>
      </c>
      <c r="K262" s="24" t="s">
        <v>18</v>
      </c>
      <c r="L262" s="24" t="s">
        <v>19</v>
      </c>
      <c r="M262" t="s">
        <v>1044</v>
      </c>
      <c r="N262" s="17">
        <v>3</v>
      </c>
      <c r="O262" t="s">
        <v>4295</v>
      </c>
      <c r="P262" s="24" t="s">
        <v>76</v>
      </c>
      <c r="Q262" s="19">
        <v>815.58</v>
      </c>
    </row>
    <row r="263" spans="1:17">
      <c r="A263" t="s">
        <v>1045</v>
      </c>
      <c r="B263" s="23">
        <v>45805</v>
      </c>
      <c r="C263" s="23" t="str">
        <f t="shared" si="12"/>
        <v>May</v>
      </c>
      <c r="D263" s="23" t="str">
        <f t="shared" si="13"/>
        <v>2025</v>
      </c>
      <c r="E263" s="23" t="str">
        <f t="shared" si="14"/>
        <v>Q2</v>
      </c>
      <c r="F263" t="s">
        <v>1046</v>
      </c>
      <c r="G263" s="24" t="s">
        <v>25</v>
      </c>
      <c r="H263" s="17">
        <v>5</v>
      </c>
      <c r="I263" s="19">
        <v>173.65</v>
      </c>
      <c r="J263" t="s">
        <v>1047</v>
      </c>
      <c r="K263" s="24" t="s">
        <v>60</v>
      </c>
      <c r="L263" s="24" t="s">
        <v>50</v>
      </c>
      <c r="M263" t="s">
        <v>1048</v>
      </c>
      <c r="N263" s="17">
        <v>9</v>
      </c>
      <c r="O263" t="s">
        <v>21</v>
      </c>
      <c r="P263" s="24" t="s">
        <v>38</v>
      </c>
      <c r="Q263" s="19">
        <v>868.25</v>
      </c>
    </row>
    <row r="264" spans="1:17">
      <c r="A264" t="s">
        <v>1049</v>
      </c>
      <c r="B264" s="23">
        <v>44936</v>
      </c>
      <c r="C264" s="23" t="str">
        <f t="shared" si="12"/>
        <v>Jan</v>
      </c>
      <c r="D264" s="23" t="str">
        <f t="shared" si="13"/>
        <v>2023</v>
      </c>
      <c r="E264" s="23" t="str">
        <f t="shared" si="14"/>
        <v>Q1</v>
      </c>
      <c r="F264" t="s">
        <v>1050</v>
      </c>
      <c r="G264" s="24" t="s">
        <v>25</v>
      </c>
      <c r="H264" s="17">
        <v>4</v>
      </c>
      <c r="I264" s="19">
        <v>249.07</v>
      </c>
      <c r="J264" t="s">
        <v>572</v>
      </c>
      <c r="K264" s="24" t="s">
        <v>34</v>
      </c>
      <c r="L264" s="24" t="s">
        <v>43</v>
      </c>
      <c r="M264" t="s">
        <v>1051</v>
      </c>
      <c r="N264" s="17">
        <v>5</v>
      </c>
      <c r="O264" t="s">
        <v>81</v>
      </c>
      <c r="P264" s="24" t="s">
        <v>29</v>
      </c>
      <c r="Q264" s="19">
        <v>996.28</v>
      </c>
    </row>
    <row r="265" spans="1:17">
      <c r="A265" t="s">
        <v>1052</v>
      </c>
      <c r="B265" s="23">
        <v>45010</v>
      </c>
      <c r="C265" s="23" t="str">
        <f t="shared" si="12"/>
        <v>Mar</v>
      </c>
      <c r="D265" s="23" t="str">
        <f t="shared" si="13"/>
        <v>2023</v>
      </c>
      <c r="E265" s="23" t="str">
        <f t="shared" si="14"/>
        <v>Q1</v>
      </c>
      <c r="F265" t="s">
        <v>1053</v>
      </c>
      <c r="G265" s="24" t="s">
        <v>25</v>
      </c>
      <c r="H265" s="17">
        <v>4</v>
      </c>
      <c r="I265" s="19">
        <v>434.85</v>
      </c>
      <c r="J265" t="s">
        <v>1054</v>
      </c>
      <c r="K265" s="24" t="s">
        <v>34</v>
      </c>
      <c r="L265" s="24" t="s">
        <v>89</v>
      </c>
      <c r="M265" t="s">
        <v>1055</v>
      </c>
      <c r="N265" s="17">
        <v>4</v>
      </c>
      <c r="O265" t="s">
        <v>81</v>
      </c>
      <c r="P265" s="24" t="s">
        <v>76</v>
      </c>
      <c r="Q265" s="19">
        <v>1739.4</v>
      </c>
    </row>
    <row r="266" spans="1:17">
      <c r="A266" t="s">
        <v>1056</v>
      </c>
      <c r="B266" s="23">
        <v>45507</v>
      </c>
      <c r="C266" s="23" t="str">
        <f t="shared" si="12"/>
        <v>Aug</v>
      </c>
      <c r="D266" s="23" t="str">
        <f t="shared" si="13"/>
        <v>2024</v>
      </c>
      <c r="E266" s="23" t="str">
        <f t="shared" si="14"/>
        <v>Q3</v>
      </c>
      <c r="F266" t="s">
        <v>1057</v>
      </c>
      <c r="G266" s="24" t="s">
        <v>32</v>
      </c>
      <c r="H266" s="17">
        <v>1</v>
      </c>
      <c r="I266" s="19">
        <v>436.77</v>
      </c>
      <c r="J266" t="s">
        <v>1058</v>
      </c>
      <c r="K266" s="24" t="s">
        <v>65</v>
      </c>
      <c r="L266" s="24" t="s">
        <v>43</v>
      </c>
      <c r="M266" t="s">
        <v>1059</v>
      </c>
      <c r="N266" s="17">
        <v>5</v>
      </c>
      <c r="O266" t="s">
        <v>37</v>
      </c>
      <c r="P266" s="24" t="s">
        <v>76</v>
      </c>
      <c r="Q266" s="19">
        <v>436.77</v>
      </c>
    </row>
    <row r="267" spans="1:17">
      <c r="A267" t="s">
        <v>1060</v>
      </c>
      <c r="B267" s="23">
        <v>45282</v>
      </c>
      <c r="C267" s="23" t="str">
        <f t="shared" si="12"/>
        <v>Dec</v>
      </c>
      <c r="D267" s="23" t="str">
        <f t="shared" si="13"/>
        <v>2023</v>
      </c>
      <c r="E267" s="23" t="str">
        <f t="shared" si="14"/>
        <v>Q4</v>
      </c>
      <c r="F267" t="s">
        <v>1061</v>
      </c>
      <c r="G267" s="24" t="s">
        <v>48</v>
      </c>
      <c r="H267" s="17">
        <v>1</v>
      </c>
      <c r="I267" s="19">
        <v>572.13</v>
      </c>
      <c r="J267" t="s">
        <v>1062</v>
      </c>
      <c r="K267" s="24" t="s">
        <v>18</v>
      </c>
      <c r="L267" s="24" t="s">
        <v>35</v>
      </c>
      <c r="M267" t="s">
        <v>1063</v>
      </c>
      <c r="N267" s="17">
        <v>4</v>
      </c>
      <c r="O267" t="s">
        <v>21</v>
      </c>
      <c r="P267" s="24" t="s">
        <v>76</v>
      </c>
      <c r="Q267" s="19">
        <v>572.13</v>
      </c>
    </row>
    <row r="268" spans="1:17">
      <c r="A268" t="s">
        <v>1064</v>
      </c>
      <c r="B268" s="23">
        <v>45451</v>
      </c>
      <c r="C268" s="23" t="str">
        <f t="shared" si="12"/>
        <v>Jun</v>
      </c>
      <c r="D268" s="23" t="str">
        <f t="shared" si="13"/>
        <v>2024</v>
      </c>
      <c r="E268" s="23" t="str">
        <f t="shared" si="14"/>
        <v>Q2</v>
      </c>
      <c r="F268" t="s">
        <v>1065</v>
      </c>
      <c r="G268" s="24" t="s">
        <v>41</v>
      </c>
      <c r="H268" s="17">
        <v>4</v>
      </c>
      <c r="I268" s="19">
        <v>583.07</v>
      </c>
      <c r="J268" t="s">
        <v>1066</v>
      </c>
      <c r="K268" s="24" t="s">
        <v>34</v>
      </c>
      <c r="L268" s="24" t="s">
        <v>35</v>
      </c>
      <c r="M268" t="s">
        <v>1067</v>
      </c>
      <c r="N268" s="17">
        <v>6</v>
      </c>
      <c r="O268" t="s">
        <v>37</v>
      </c>
      <c r="P268" s="24" t="s">
        <v>29</v>
      </c>
      <c r="Q268" s="19">
        <v>2332.28</v>
      </c>
    </row>
    <row r="269" spans="1:17">
      <c r="A269" t="s">
        <v>1068</v>
      </c>
      <c r="B269" s="23">
        <v>45764</v>
      </c>
      <c r="C269" s="23" t="str">
        <f t="shared" si="12"/>
        <v>Apr</v>
      </c>
      <c r="D269" s="23" t="str">
        <f t="shared" si="13"/>
        <v>2025</v>
      </c>
      <c r="E269" s="23" t="str">
        <f t="shared" si="14"/>
        <v>Q2</v>
      </c>
      <c r="F269" t="s">
        <v>1069</v>
      </c>
      <c r="G269" s="24" t="s">
        <v>41</v>
      </c>
      <c r="H269" s="17">
        <v>5</v>
      </c>
      <c r="I269" s="19">
        <v>468.51</v>
      </c>
      <c r="J269" t="s">
        <v>1070</v>
      </c>
      <c r="K269" s="24" t="s">
        <v>18</v>
      </c>
      <c r="L269" s="24" t="s">
        <v>50</v>
      </c>
      <c r="M269" t="s">
        <v>1071</v>
      </c>
      <c r="N269" s="17">
        <v>9</v>
      </c>
      <c r="O269" t="s">
        <v>4295</v>
      </c>
      <c r="P269" s="24" t="s">
        <v>45</v>
      </c>
      <c r="Q269" s="19">
        <v>2342.55</v>
      </c>
    </row>
    <row r="270" spans="1:17">
      <c r="A270" t="s">
        <v>1072</v>
      </c>
      <c r="B270" s="23">
        <v>45149</v>
      </c>
      <c r="C270" s="23" t="str">
        <f t="shared" si="12"/>
        <v>Aug</v>
      </c>
      <c r="D270" s="23" t="str">
        <f t="shared" si="13"/>
        <v>2023</v>
      </c>
      <c r="E270" s="23" t="str">
        <f t="shared" si="14"/>
        <v>Q3</v>
      </c>
      <c r="F270" t="s">
        <v>1073</v>
      </c>
      <c r="G270" s="24" t="s">
        <v>25</v>
      </c>
      <c r="H270" s="17">
        <v>2</v>
      </c>
      <c r="I270" s="19">
        <v>423.88</v>
      </c>
      <c r="J270" t="s">
        <v>1074</v>
      </c>
      <c r="K270" s="24" t="s">
        <v>18</v>
      </c>
      <c r="L270" s="24" t="s">
        <v>50</v>
      </c>
      <c r="M270" t="s">
        <v>1075</v>
      </c>
      <c r="N270" s="17">
        <v>7</v>
      </c>
      <c r="O270" t="s">
        <v>21</v>
      </c>
      <c r="P270" s="24" t="s">
        <v>29</v>
      </c>
      <c r="Q270" s="19">
        <v>847.76</v>
      </c>
    </row>
    <row r="271" spans="1:17">
      <c r="A271" t="s">
        <v>1076</v>
      </c>
      <c r="B271" s="23">
        <v>45255</v>
      </c>
      <c r="C271" s="23" t="str">
        <f t="shared" si="12"/>
        <v>Nov</v>
      </c>
      <c r="D271" s="23" t="str">
        <f t="shared" si="13"/>
        <v>2023</v>
      </c>
      <c r="E271" s="23" t="str">
        <f t="shared" si="14"/>
        <v>Q4</v>
      </c>
      <c r="F271" t="s">
        <v>1077</v>
      </c>
      <c r="G271" s="24" t="s">
        <v>32</v>
      </c>
      <c r="H271" s="17">
        <v>4</v>
      </c>
      <c r="I271" s="19">
        <v>663.67</v>
      </c>
      <c r="J271" t="s">
        <v>327</v>
      </c>
      <c r="K271" s="24" t="s">
        <v>34</v>
      </c>
      <c r="L271" s="24" t="s">
        <v>89</v>
      </c>
      <c r="M271" t="s">
        <v>1078</v>
      </c>
      <c r="N271" s="17">
        <v>7</v>
      </c>
      <c r="O271" t="s">
        <v>37</v>
      </c>
      <c r="P271" s="24" t="s">
        <v>76</v>
      </c>
      <c r="Q271" s="19">
        <v>2654.68</v>
      </c>
    </row>
    <row r="272" spans="1:17">
      <c r="A272" t="s">
        <v>1079</v>
      </c>
      <c r="B272" s="23">
        <v>45081</v>
      </c>
      <c r="C272" s="23" t="str">
        <f t="shared" si="12"/>
        <v>Jun</v>
      </c>
      <c r="D272" s="23" t="str">
        <f t="shared" si="13"/>
        <v>2023</v>
      </c>
      <c r="E272" s="23" t="str">
        <f t="shared" si="14"/>
        <v>Q2</v>
      </c>
      <c r="F272" t="s">
        <v>1080</v>
      </c>
      <c r="G272" s="24" t="s">
        <v>48</v>
      </c>
      <c r="H272" s="17">
        <v>4</v>
      </c>
      <c r="I272" s="19">
        <v>309.91</v>
      </c>
      <c r="J272" t="s">
        <v>1081</v>
      </c>
      <c r="K272" s="24" t="s">
        <v>18</v>
      </c>
      <c r="L272" s="24" t="s">
        <v>19</v>
      </c>
      <c r="M272" t="s">
        <v>1082</v>
      </c>
      <c r="N272" s="17">
        <v>5</v>
      </c>
      <c r="O272" t="s">
        <v>81</v>
      </c>
      <c r="P272" s="24" t="s">
        <v>76</v>
      </c>
      <c r="Q272" s="19">
        <v>1239.64</v>
      </c>
    </row>
    <row r="273" spans="1:17">
      <c r="A273" t="s">
        <v>1083</v>
      </c>
      <c r="B273" s="23">
        <v>45013</v>
      </c>
      <c r="C273" s="23" t="str">
        <f t="shared" si="12"/>
        <v>Mar</v>
      </c>
      <c r="D273" s="23" t="str">
        <f t="shared" si="13"/>
        <v>2023</v>
      </c>
      <c r="E273" s="23" t="str">
        <f t="shared" si="14"/>
        <v>Q1</v>
      </c>
      <c r="F273" t="s">
        <v>1084</v>
      </c>
      <c r="G273" s="24" t="s">
        <v>16</v>
      </c>
      <c r="H273" s="17">
        <v>1</v>
      </c>
      <c r="I273" s="19">
        <v>542.07</v>
      </c>
      <c r="J273" t="s">
        <v>1085</v>
      </c>
      <c r="K273" s="24" t="s">
        <v>65</v>
      </c>
      <c r="L273" s="24" t="s">
        <v>19</v>
      </c>
      <c r="M273" t="s">
        <v>1086</v>
      </c>
      <c r="N273" s="17">
        <v>6</v>
      </c>
      <c r="O273" t="s">
        <v>81</v>
      </c>
      <c r="P273" s="24" t="s">
        <v>29</v>
      </c>
      <c r="Q273" s="19">
        <v>542.07</v>
      </c>
    </row>
    <row r="274" spans="1:17">
      <c r="A274" t="s">
        <v>1087</v>
      </c>
      <c r="B274" s="23">
        <v>45188</v>
      </c>
      <c r="C274" s="23" t="str">
        <f t="shared" si="12"/>
        <v>Sep</v>
      </c>
      <c r="D274" s="23" t="str">
        <f t="shared" si="13"/>
        <v>2023</v>
      </c>
      <c r="E274" s="23" t="str">
        <f t="shared" si="14"/>
        <v>Q3</v>
      </c>
      <c r="F274" t="s">
        <v>1088</v>
      </c>
      <c r="G274" s="24" t="s">
        <v>41</v>
      </c>
      <c r="H274" s="17">
        <v>2</v>
      </c>
      <c r="I274" s="19">
        <v>399.32</v>
      </c>
      <c r="J274" t="s">
        <v>1089</v>
      </c>
      <c r="K274" s="24" t="s">
        <v>27</v>
      </c>
      <c r="L274" s="24" t="s">
        <v>89</v>
      </c>
      <c r="M274" t="s">
        <v>1090</v>
      </c>
      <c r="N274" s="17">
        <v>6</v>
      </c>
      <c r="O274" t="s">
        <v>81</v>
      </c>
      <c r="P274" s="24" t="s">
        <v>22</v>
      </c>
      <c r="Q274" s="19">
        <v>798.64</v>
      </c>
    </row>
    <row r="275" spans="1:17">
      <c r="A275" t="s">
        <v>1091</v>
      </c>
      <c r="B275" s="23">
        <v>45592</v>
      </c>
      <c r="C275" s="23" t="str">
        <f t="shared" si="12"/>
        <v>Oct</v>
      </c>
      <c r="D275" s="23" t="str">
        <f t="shared" si="13"/>
        <v>2024</v>
      </c>
      <c r="E275" s="23" t="str">
        <f t="shared" si="14"/>
        <v>Q4</v>
      </c>
      <c r="F275" t="s">
        <v>1092</v>
      </c>
      <c r="G275" s="24" t="s">
        <v>32</v>
      </c>
      <c r="H275" s="17">
        <v>2</v>
      </c>
      <c r="I275" s="19">
        <v>238.25</v>
      </c>
      <c r="J275" t="s">
        <v>1093</v>
      </c>
      <c r="K275" s="24" t="s">
        <v>27</v>
      </c>
      <c r="L275" s="24" t="s">
        <v>35</v>
      </c>
      <c r="M275" t="s">
        <v>1094</v>
      </c>
      <c r="N275" s="17">
        <v>7</v>
      </c>
      <c r="O275" t="s">
        <v>37</v>
      </c>
      <c r="P275" s="24" t="s">
        <v>38</v>
      </c>
      <c r="Q275" s="19">
        <v>476.5</v>
      </c>
    </row>
    <row r="276" spans="1:17">
      <c r="A276" t="s">
        <v>1095</v>
      </c>
      <c r="B276" s="23">
        <v>44961</v>
      </c>
      <c r="C276" s="23" t="str">
        <f t="shared" si="12"/>
        <v>Feb</v>
      </c>
      <c r="D276" s="23" t="str">
        <f t="shared" si="13"/>
        <v>2023</v>
      </c>
      <c r="E276" s="23" t="str">
        <f t="shared" si="14"/>
        <v>Q1</v>
      </c>
      <c r="F276" t="s">
        <v>1096</v>
      </c>
      <c r="G276" s="24" t="s">
        <v>25</v>
      </c>
      <c r="H276" s="17">
        <v>2</v>
      </c>
      <c r="I276" s="19">
        <v>182.4</v>
      </c>
      <c r="J276" t="s">
        <v>1097</v>
      </c>
      <c r="K276" s="24" t="s">
        <v>60</v>
      </c>
      <c r="L276" s="24" t="s">
        <v>35</v>
      </c>
      <c r="M276" t="s">
        <v>1098</v>
      </c>
      <c r="N276" s="17">
        <v>5</v>
      </c>
      <c r="O276" t="s">
        <v>21</v>
      </c>
      <c r="P276" s="24" t="s">
        <v>29</v>
      </c>
      <c r="Q276" s="19">
        <v>364.8</v>
      </c>
    </row>
    <row r="277" spans="1:17">
      <c r="A277" t="s">
        <v>1099</v>
      </c>
      <c r="B277" s="23">
        <v>45234</v>
      </c>
      <c r="C277" s="23" t="str">
        <f t="shared" si="12"/>
        <v>Nov</v>
      </c>
      <c r="D277" s="23" t="str">
        <f t="shared" si="13"/>
        <v>2023</v>
      </c>
      <c r="E277" s="23" t="str">
        <f t="shared" si="14"/>
        <v>Q4</v>
      </c>
      <c r="F277" t="s">
        <v>1100</v>
      </c>
      <c r="G277" s="24" t="s">
        <v>41</v>
      </c>
      <c r="H277" s="17">
        <v>2</v>
      </c>
      <c r="I277" s="19">
        <v>65.07</v>
      </c>
      <c r="J277" t="s">
        <v>1101</v>
      </c>
      <c r="K277" s="24" t="s">
        <v>34</v>
      </c>
      <c r="L277" s="24" t="s">
        <v>35</v>
      </c>
      <c r="M277" t="s">
        <v>1102</v>
      </c>
      <c r="N277" s="17">
        <v>4</v>
      </c>
      <c r="O277" t="s">
        <v>21</v>
      </c>
      <c r="P277" s="24" t="s">
        <v>76</v>
      </c>
      <c r="Q277" s="19">
        <v>130.14</v>
      </c>
    </row>
    <row r="278" spans="1:17">
      <c r="A278" t="s">
        <v>1103</v>
      </c>
      <c r="B278" s="23">
        <v>45745</v>
      </c>
      <c r="C278" s="23" t="str">
        <f t="shared" si="12"/>
        <v>Mar</v>
      </c>
      <c r="D278" s="23" t="str">
        <f t="shared" si="13"/>
        <v>2025</v>
      </c>
      <c r="E278" s="23" t="str">
        <f t="shared" si="14"/>
        <v>Q1</v>
      </c>
      <c r="F278" t="s">
        <v>1104</v>
      </c>
      <c r="G278" s="24" t="s">
        <v>48</v>
      </c>
      <c r="H278" s="17">
        <v>2</v>
      </c>
      <c r="I278" s="19">
        <v>600.57</v>
      </c>
      <c r="J278" t="s">
        <v>1105</v>
      </c>
      <c r="K278" s="24" t="s">
        <v>18</v>
      </c>
      <c r="L278" s="24" t="s">
        <v>43</v>
      </c>
      <c r="M278" t="s">
        <v>1106</v>
      </c>
      <c r="N278" s="17">
        <v>3</v>
      </c>
      <c r="O278" t="s">
        <v>81</v>
      </c>
      <c r="P278" s="24" t="s">
        <v>22</v>
      </c>
      <c r="Q278" s="19">
        <v>1201.14</v>
      </c>
    </row>
    <row r="279" spans="1:17">
      <c r="A279" t="s">
        <v>1107</v>
      </c>
      <c r="B279" s="23">
        <v>45544</v>
      </c>
      <c r="C279" s="23" t="str">
        <f t="shared" si="12"/>
        <v>Sep</v>
      </c>
      <c r="D279" s="23" t="str">
        <f t="shared" si="13"/>
        <v>2024</v>
      </c>
      <c r="E279" s="23" t="str">
        <f t="shared" si="14"/>
        <v>Q3</v>
      </c>
      <c r="F279" t="s">
        <v>1108</v>
      </c>
      <c r="G279" s="24" t="s">
        <v>41</v>
      </c>
      <c r="H279" s="17">
        <v>5</v>
      </c>
      <c r="I279" s="19">
        <v>90.92</v>
      </c>
      <c r="J279" t="s">
        <v>1109</v>
      </c>
      <c r="K279" s="24" t="s">
        <v>34</v>
      </c>
      <c r="L279" s="24" t="s">
        <v>50</v>
      </c>
      <c r="M279" t="s">
        <v>1110</v>
      </c>
      <c r="N279" s="17">
        <v>9</v>
      </c>
      <c r="O279" t="s">
        <v>21</v>
      </c>
      <c r="P279" s="24" t="s">
        <v>45</v>
      </c>
      <c r="Q279" s="19">
        <v>454.6</v>
      </c>
    </row>
    <row r="280" spans="1:17">
      <c r="A280" t="s">
        <v>1111</v>
      </c>
      <c r="B280" s="23">
        <v>45614</v>
      </c>
      <c r="C280" s="23" t="str">
        <f t="shared" si="12"/>
        <v>Nov</v>
      </c>
      <c r="D280" s="23" t="str">
        <f t="shared" si="13"/>
        <v>2024</v>
      </c>
      <c r="E280" s="23" t="str">
        <f t="shared" si="14"/>
        <v>Q4</v>
      </c>
      <c r="F280" t="s">
        <v>1112</v>
      </c>
      <c r="G280" s="24" t="s">
        <v>58</v>
      </c>
      <c r="H280" s="17">
        <v>5</v>
      </c>
      <c r="I280" s="19">
        <v>362.46</v>
      </c>
      <c r="J280" t="s">
        <v>1113</v>
      </c>
      <c r="K280" s="24" t="s">
        <v>65</v>
      </c>
      <c r="L280" s="24" t="s">
        <v>50</v>
      </c>
      <c r="M280" t="s">
        <v>1114</v>
      </c>
      <c r="N280" s="17">
        <v>6</v>
      </c>
      <c r="O280" t="s">
        <v>37</v>
      </c>
      <c r="P280" s="24" t="s">
        <v>22</v>
      </c>
      <c r="Q280" s="19">
        <v>1812.3</v>
      </c>
    </row>
    <row r="281" spans="1:17">
      <c r="A281" t="s">
        <v>1115</v>
      </c>
      <c r="B281" s="23">
        <v>45219</v>
      </c>
      <c r="C281" s="23" t="str">
        <f t="shared" si="12"/>
        <v>Oct</v>
      </c>
      <c r="D281" s="23" t="str">
        <f t="shared" si="13"/>
        <v>2023</v>
      </c>
      <c r="E281" s="23" t="str">
        <f t="shared" si="14"/>
        <v>Q4</v>
      </c>
      <c r="F281" t="s">
        <v>1116</v>
      </c>
      <c r="G281" s="24" t="s">
        <v>41</v>
      </c>
      <c r="H281" s="17">
        <v>3</v>
      </c>
      <c r="I281" s="19">
        <v>55.01</v>
      </c>
      <c r="J281" t="s">
        <v>1117</v>
      </c>
      <c r="K281" s="24" t="s">
        <v>27</v>
      </c>
      <c r="L281" s="24" t="s">
        <v>89</v>
      </c>
      <c r="M281" t="s">
        <v>1118</v>
      </c>
      <c r="N281" s="17">
        <v>7</v>
      </c>
      <c r="O281" t="s">
        <v>81</v>
      </c>
      <c r="P281" s="24" t="s">
        <v>38</v>
      </c>
      <c r="Q281" s="19">
        <v>165.03</v>
      </c>
    </row>
    <row r="282" spans="1:17">
      <c r="A282" t="s">
        <v>1119</v>
      </c>
      <c r="B282" s="23">
        <v>45012</v>
      </c>
      <c r="C282" s="23" t="str">
        <f t="shared" si="12"/>
        <v>Mar</v>
      </c>
      <c r="D282" s="23" t="str">
        <f t="shared" si="13"/>
        <v>2023</v>
      </c>
      <c r="E282" s="23" t="str">
        <f t="shared" si="14"/>
        <v>Q1</v>
      </c>
      <c r="F282" t="s">
        <v>1120</v>
      </c>
      <c r="G282" s="24" t="s">
        <v>32</v>
      </c>
      <c r="H282" s="17">
        <v>3</v>
      </c>
      <c r="I282" s="19">
        <v>404.62</v>
      </c>
      <c r="J282" t="s">
        <v>1121</v>
      </c>
      <c r="K282" s="24" t="s">
        <v>60</v>
      </c>
      <c r="L282" s="24" t="s">
        <v>50</v>
      </c>
      <c r="M282" t="s">
        <v>1122</v>
      </c>
      <c r="N282" s="17">
        <v>6</v>
      </c>
      <c r="O282" t="s">
        <v>37</v>
      </c>
      <c r="P282" s="24" t="s">
        <v>22</v>
      </c>
      <c r="Q282" s="19">
        <v>1213.86</v>
      </c>
    </row>
    <row r="283" spans="1:17">
      <c r="A283" t="s">
        <v>1123</v>
      </c>
      <c r="B283" s="23">
        <v>45134</v>
      </c>
      <c r="C283" s="23" t="str">
        <f t="shared" si="12"/>
        <v>Jul</v>
      </c>
      <c r="D283" s="23" t="str">
        <f t="shared" si="13"/>
        <v>2023</v>
      </c>
      <c r="E283" s="23" t="str">
        <f t="shared" si="14"/>
        <v>Q3</v>
      </c>
      <c r="F283" t="s">
        <v>1124</v>
      </c>
      <c r="G283" s="24" t="s">
        <v>73</v>
      </c>
      <c r="H283" s="17">
        <v>4</v>
      </c>
      <c r="I283" s="19">
        <v>654.79</v>
      </c>
      <c r="J283" t="s">
        <v>1125</v>
      </c>
      <c r="K283" s="24" t="s">
        <v>65</v>
      </c>
      <c r="L283" s="24" t="s">
        <v>89</v>
      </c>
      <c r="M283" t="s">
        <v>1126</v>
      </c>
      <c r="N283" s="17">
        <v>9</v>
      </c>
      <c r="O283" t="s">
        <v>4295</v>
      </c>
      <c r="P283" s="24" t="s">
        <v>29</v>
      </c>
      <c r="Q283" s="19">
        <v>2619.16</v>
      </c>
    </row>
    <row r="284" spans="1:17">
      <c r="A284" t="s">
        <v>1127</v>
      </c>
      <c r="B284" s="23">
        <v>45769</v>
      </c>
      <c r="C284" s="23" t="str">
        <f t="shared" si="12"/>
        <v>Apr</v>
      </c>
      <c r="D284" s="23" t="str">
        <f t="shared" si="13"/>
        <v>2025</v>
      </c>
      <c r="E284" s="23" t="str">
        <f t="shared" si="14"/>
        <v>Q2</v>
      </c>
      <c r="F284" t="s">
        <v>1128</v>
      </c>
      <c r="G284" s="24" t="s">
        <v>48</v>
      </c>
      <c r="H284" s="17">
        <v>4</v>
      </c>
      <c r="I284" s="19">
        <v>637.79</v>
      </c>
      <c r="J284" t="s">
        <v>1129</v>
      </c>
      <c r="K284" s="24" t="s">
        <v>60</v>
      </c>
      <c r="L284" s="24" t="s">
        <v>35</v>
      </c>
      <c r="M284" t="s">
        <v>1130</v>
      </c>
      <c r="N284" s="17">
        <v>9</v>
      </c>
      <c r="O284" t="s">
        <v>37</v>
      </c>
      <c r="P284" s="24" t="s">
        <v>76</v>
      </c>
      <c r="Q284" s="19">
        <v>2551.16</v>
      </c>
    </row>
    <row r="285" spans="1:17">
      <c r="A285" t="s">
        <v>1131</v>
      </c>
      <c r="B285" s="23">
        <v>45716</v>
      </c>
      <c r="C285" s="23" t="str">
        <f t="shared" si="12"/>
        <v>Feb</v>
      </c>
      <c r="D285" s="23" t="str">
        <f t="shared" si="13"/>
        <v>2025</v>
      </c>
      <c r="E285" s="23" t="str">
        <f t="shared" si="14"/>
        <v>Q1</v>
      </c>
      <c r="F285" t="s">
        <v>1132</v>
      </c>
      <c r="G285" s="24" t="s">
        <v>58</v>
      </c>
      <c r="H285" s="17">
        <v>4</v>
      </c>
      <c r="I285" s="19">
        <v>540.33</v>
      </c>
      <c r="J285" t="s">
        <v>1133</v>
      </c>
      <c r="K285" s="24" t="s">
        <v>65</v>
      </c>
      <c r="L285" s="24" t="s">
        <v>19</v>
      </c>
      <c r="M285" t="s">
        <v>1134</v>
      </c>
      <c r="N285" s="17">
        <v>6</v>
      </c>
      <c r="O285" t="s">
        <v>4295</v>
      </c>
      <c r="P285" s="24" t="s">
        <v>76</v>
      </c>
      <c r="Q285" s="19">
        <v>2161.32</v>
      </c>
    </row>
    <row r="286" spans="1:17">
      <c r="A286" t="s">
        <v>1135</v>
      </c>
      <c r="B286" s="23">
        <v>44973</v>
      </c>
      <c r="C286" s="23" t="str">
        <f t="shared" si="12"/>
        <v>Feb</v>
      </c>
      <c r="D286" s="23" t="str">
        <f t="shared" si="13"/>
        <v>2023</v>
      </c>
      <c r="E286" s="23" t="str">
        <f t="shared" si="14"/>
        <v>Q1</v>
      </c>
      <c r="F286" t="s">
        <v>1136</v>
      </c>
      <c r="G286" s="24" t="s">
        <v>58</v>
      </c>
      <c r="H286" s="17">
        <v>5</v>
      </c>
      <c r="I286" s="19">
        <v>208.17</v>
      </c>
      <c r="J286" t="s">
        <v>1137</v>
      </c>
      <c r="K286" s="24" t="s">
        <v>34</v>
      </c>
      <c r="L286" s="24" t="s">
        <v>43</v>
      </c>
      <c r="M286" t="s">
        <v>1138</v>
      </c>
      <c r="N286" s="17">
        <v>6</v>
      </c>
      <c r="O286" t="s">
        <v>21</v>
      </c>
      <c r="P286" s="24" t="s">
        <v>45</v>
      </c>
      <c r="Q286" s="19">
        <v>1040.85</v>
      </c>
    </row>
    <row r="287" spans="1:17">
      <c r="A287" t="s">
        <v>1139</v>
      </c>
      <c r="B287" s="23">
        <v>45818</v>
      </c>
      <c r="C287" s="23" t="str">
        <f t="shared" si="12"/>
        <v>Jun</v>
      </c>
      <c r="D287" s="23" t="str">
        <f t="shared" si="13"/>
        <v>2025</v>
      </c>
      <c r="E287" s="23" t="str">
        <f t="shared" si="14"/>
        <v>Q2</v>
      </c>
      <c r="F287" t="s">
        <v>1140</v>
      </c>
      <c r="G287" s="24" t="s">
        <v>25</v>
      </c>
      <c r="H287" s="17">
        <v>1</v>
      </c>
      <c r="I287" s="19">
        <v>338.31</v>
      </c>
      <c r="J287" t="s">
        <v>1093</v>
      </c>
      <c r="K287" s="24" t="s">
        <v>27</v>
      </c>
      <c r="L287" s="24" t="s">
        <v>50</v>
      </c>
      <c r="M287" t="s">
        <v>1141</v>
      </c>
      <c r="N287" s="17">
        <v>3</v>
      </c>
      <c r="O287" t="s">
        <v>4295</v>
      </c>
      <c r="P287" s="24" t="s">
        <v>76</v>
      </c>
      <c r="Q287" s="19">
        <v>338.31</v>
      </c>
    </row>
    <row r="288" spans="1:17">
      <c r="A288" t="s">
        <v>1142</v>
      </c>
      <c r="B288" s="23">
        <v>45754</v>
      </c>
      <c r="C288" s="23" t="str">
        <f t="shared" si="12"/>
        <v>Apr</v>
      </c>
      <c r="D288" s="23" t="str">
        <f t="shared" si="13"/>
        <v>2025</v>
      </c>
      <c r="E288" s="23" t="str">
        <f t="shared" si="14"/>
        <v>Q2</v>
      </c>
      <c r="F288" t="s">
        <v>1143</v>
      </c>
      <c r="G288" s="24" t="s">
        <v>16</v>
      </c>
      <c r="H288" s="17">
        <v>3</v>
      </c>
      <c r="I288" s="19">
        <v>139.45</v>
      </c>
      <c r="J288" t="s">
        <v>510</v>
      </c>
      <c r="K288" s="24" t="s">
        <v>60</v>
      </c>
      <c r="L288" s="24" t="s">
        <v>43</v>
      </c>
      <c r="M288" t="s">
        <v>1144</v>
      </c>
      <c r="N288" s="17">
        <v>8</v>
      </c>
      <c r="O288" t="s">
        <v>81</v>
      </c>
      <c r="P288" s="24" t="s">
        <v>76</v>
      </c>
      <c r="Q288" s="19">
        <v>418.35</v>
      </c>
    </row>
    <row r="289" spans="1:17">
      <c r="A289" t="s">
        <v>1145</v>
      </c>
      <c r="B289" s="23">
        <v>45254</v>
      </c>
      <c r="C289" s="23" t="str">
        <f t="shared" si="12"/>
        <v>Nov</v>
      </c>
      <c r="D289" s="23" t="str">
        <f t="shared" si="13"/>
        <v>2023</v>
      </c>
      <c r="E289" s="23" t="str">
        <f t="shared" si="14"/>
        <v>Q4</v>
      </c>
      <c r="F289" t="s">
        <v>1146</v>
      </c>
      <c r="G289" s="24" t="s">
        <v>41</v>
      </c>
      <c r="H289" s="17">
        <v>4</v>
      </c>
      <c r="I289" s="19">
        <v>655.18</v>
      </c>
      <c r="J289" t="s">
        <v>1147</v>
      </c>
      <c r="K289" s="24" t="s">
        <v>27</v>
      </c>
      <c r="L289" s="24" t="s">
        <v>19</v>
      </c>
      <c r="M289" t="s">
        <v>1148</v>
      </c>
      <c r="N289" s="17">
        <v>5</v>
      </c>
      <c r="O289" t="s">
        <v>4295</v>
      </c>
      <c r="P289" s="24" t="s">
        <v>45</v>
      </c>
      <c r="Q289" s="19">
        <v>2620.72</v>
      </c>
    </row>
    <row r="290" spans="1:17">
      <c r="A290" t="s">
        <v>1149</v>
      </c>
      <c r="B290" s="23">
        <v>44997</v>
      </c>
      <c r="C290" s="23" t="str">
        <f t="shared" si="12"/>
        <v>Mar</v>
      </c>
      <c r="D290" s="23" t="str">
        <f t="shared" si="13"/>
        <v>2023</v>
      </c>
      <c r="E290" s="23" t="str">
        <f t="shared" si="14"/>
        <v>Q1</v>
      </c>
      <c r="F290" t="s">
        <v>1150</v>
      </c>
      <c r="G290" s="24" t="s">
        <v>58</v>
      </c>
      <c r="H290" s="17">
        <v>4</v>
      </c>
      <c r="I290" s="19">
        <v>512.75</v>
      </c>
      <c r="J290" t="s">
        <v>1151</v>
      </c>
      <c r="K290" s="24" t="s">
        <v>18</v>
      </c>
      <c r="L290" s="24" t="s">
        <v>43</v>
      </c>
      <c r="M290" t="s">
        <v>1152</v>
      </c>
      <c r="N290" s="17">
        <v>8</v>
      </c>
      <c r="O290" t="s">
        <v>81</v>
      </c>
      <c r="P290" s="24" t="s">
        <v>76</v>
      </c>
      <c r="Q290" s="19">
        <v>2051</v>
      </c>
    </row>
    <row r="291" spans="1:17">
      <c r="A291" t="s">
        <v>1153</v>
      </c>
      <c r="B291" s="23">
        <v>45133</v>
      </c>
      <c r="C291" s="23" t="str">
        <f t="shared" si="12"/>
        <v>Jul</v>
      </c>
      <c r="D291" s="23" t="str">
        <f t="shared" si="13"/>
        <v>2023</v>
      </c>
      <c r="E291" s="23" t="str">
        <f t="shared" si="14"/>
        <v>Q3</v>
      </c>
      <c r="F291" t="s">
        <v>1154</v>
      </c>
      <c r="G291" s="24" t="s">
        <v>41</v>
      </c>
      <c r="H291" s="17">
        <v>4</v>
      </c>
      <c r="I291" s="19">
        <v>160.49</v>
      </c>
      <c r="J291" t="s">
        <v>79</v>
      </c>
      <c r="K291" s="24" t="s">
        <v>34</v>
      </c>
      <c r="L291" s="24" t="s">
        <v>19</v>
      </c>
      <c r="M291" t="s">
        <v>1155</v>
      </c>
      <c r="N291" s="17">
        <v>8</v>
      </c>
      <c r="O291" t="s">
        <v>81</v>
      </c>
      <c r="P291" s="24" t="s">
        <v>29</v>
      </c>
      <c r="Q291" s="19">
        <v>641.96</v>
      </c>
    </row>
    <row r="292" spans="1:17">
      <c r="A292" t="s">
        <v>1156</v>
      </c>
      <c r="B292" s="23">
        <v>45051</v>
      </c>
      <c r="C292" s="23" t="str">
        <f t="shared" si="12"/>
        <v>May</v>
      </c>
      <c r="D292" s="23" t="str">
        <f t="shared" si="13"/>
        <v>2023</v>
      </c>
      <c r="E292" s="23" t="str">
        <f t="shared" si="14"/>
        <v>Q2</v>
      </c>
      <c r="F292" t="s">
        <v>1157</v>
      </c>
      <c r="G292" s="24" t="s">
        <v>41</v>
      </c>
      <c r="H292" s="17">
        <v>3</v>
      </c>
      <c r="I292" s="19">
        <v>99.9</v>
      </c>
      <c r="J292" t="s">
        <v>755</v>
      </c>
      <c r="K292" s="24" t="s">
        <v>65</v>
      </c>
      <c r="L292" s="24" t="s">
        <v>50</v>
      </c>
      <c r="M292" t="s">
        <v>1158</v>
      </c>
      <c r="N292" s="17">
        <v>8</v>
      </c>
      <c r="O292" t="s">
        <v>37</v>
      </c>
      <c r="P292" s="24" t="s">
        <v>45</v>
      </c>
      <c r="Q292" s="19">
        <v>299.7</v>
      </c>
    </row>
    <row r="293" spans="1:17">
      <c r="A293" t="s">
        <v>1159</v>
      </c>
      <c r="B293" s="23">
        <v>45424</v>
      </c>
      <c r="C293" s="23" t="str">
        <f t="shared" si="12"/>
        <v>May</v>
      </c>
      <c r="D293" s="23" t="str">
        <f t="shared" si="13"/>
        <v>2024</v>
      </c>
      <c r="E293" s="23" t="str">
        <f t="shared" si="14"/>
        <v>Q2</v>
      </c>
      <c r="F293" t="s">
        <v>1160</v>
      </c>
      <c r="G293" s="24" t="s">
        <v>25</v>
      </c>
      <c r="H293" s="17">
        <v>2</v>
      </c>
      <c r="I293" s="19">
        <v>345.01</v>
      </c>
      <c r="J293" t="s">
        <v>1161</v>
      </c>
      <c r="K293" s="24" t="s">
        <v>34</v>
      </c>
      <c r="L293" s="24" t="s">
        <v>50</v>
      </c>
      <c r="M293" t="s">
        <v>1162</v>
      </c>
      <c r="N293" s="17">
        <v>6</v>
      </c>
      <c r="O293" t="s">
        <v>37</v>
      </c>
      <c r="P293" s="24" t="s">
        <v>76</v>
      </c>
      <c r="Q293" s="19">
        <v>690.02</v>
      </c>
    </row>
    <row r="294" spans="1:17">
      <c r="A294" t="s">
        <v>1163</v>
      </c>
      <c r="B294" s="23">
        <v>45672</v>
      </c>
      <c r="C294" s="23" t="str">
        <f t="shared" si="12"/>
        <v>Jan</v>
      </c>
      <c r="D294" s="23" t="str">
        <f t="shared" si="13"/>
        <v>2025</v>
      </c>
      <c r="E294" s="23" t="str">
        <f t="shared" si="14"/>
        <v>Q1</v>
      </c>
      <c r="F294" t="s">
        <v>1164</v>
      </c>
      <c r="G294" s="24" t="s">
        <v>16</v>
      </c>
      <c r="H294" s="17">
        <v>1</v>
      </c>
      <c r="I294" s="19">
        <v>65.95</v>
      </c>
      <c r="J294" t="s">
        <v>858</v>
      </c>
      <c r="K294" s="24" t="s">
        <v>34</v>
      </c>
      <c r="L294" s="24" t="s">
        <v>50</v>
      </c>
      <c r="M294" t="s">
        <v>1165</v>
      </c>
      <c r="N294" s="17">
        <v>5</v>
      </c>
      <c r="O294" t="s">
        <v>4295</v>
      </c>
      <c r="P294" s="24" t="s">
        <v>45</v>
      </c>
      <c r="Q294" s="19">
        <v>65.95</v>
      </c>
    </row>
    <row r="295" spans="1:17">
      <c r="A295" t="s">
        <v>1166</v>
      </c>
      <c r="B295" s="23">
        <v>44973</v>
      </c>
      <c r="C295" s="23" t="str">
        <f t="shared" si="12"/>
        <v>Feb</v>
      </c>
      <c r="D295" s="23" t="str">
        <f t="shared" si="13"/>
        <v>2023</v>
      </c>
      <c r="E295" s="23" t="str">
        <f t="shared" si="14"/>
        <v>Q1</v>
      </c>
      <c r="F295" t="s">
        <v>1167</v>
      </c>
      <c r="G295" s="24" t="s">
        <v>32</v>
      </c>
      <c r="H295" s="17">
        <v>4</v>
      </c>
      <c r="I295" s="19">
        <v>463.04</v>
      </c>
      <c r="J295" t="s">
        <v>1168</v>
      </c>
      <c r="K295" s="24" t="s">
        <v>60</v>
      </c>
      <c r="L295" s="24" t="s">
        <v>43</v>
      </c>
      <c r="M295" t="s">
        <v>1169</v>
      </c>
      <c r="N295" s="17">
        <v>9</v>
      </c>
      <c r="O295" t="s">
        <v>4295</v>
      </c>
      <c r="P295" s="24" t="s">
        <v>22</v>
      </c>
      <c r="Q295" s="19">
        <v>1852.16</v>
      </c>
    </row>
    <row r="296" spans="1:17">
      <c r="A296" t="s">
        <v>1170</v>
      </c>
      <c r="B296" s="23">
        <v>45748</v>
      </c>
      <c r="C296" s="23" t="str">
        <f t="shared" si="12"/>
        <v>Apr</v>
      </c>
      <c r="D296" s="23" t="str">
        <f t="shared" si="13"/>
        <v>2025</v>
      </c>
      <c r="E296" s="23" t="str">
        <f t="shared" si="14"/>
        <v>Q2</v>
      </c>
      <c r="F296" t="s">
        <v>1171</v>
      </c>
      <c r="G296" s="24" t="s">
        <v>25</v>
      </c>
      <c r="H296" s="17">
        <v>2</v>
      </c>
      <c r="I296" s="19">
        <v>297.71</v>
      </c>
      <c r="J296" t="s">
        <v>1172</v>
      </c>
      <c r="K296" s="24" t="s">
        <v>27</v>
      </c>
      <c r="L296" s="24" t="s">
        <v>19</v>
      </c>
      <c r="M296" t="s">
        <v>1173</v>
      </c>
      <c r="N296" s="17">
        <v>7</v>
      </c>
      <c r="O296" t="s">
        <v>21</v>
      </c>
      <c r="P296" s="24" t="s">
        <v>29</v>
      </c>
      <c r="Q296" s="19">
        <v>595.42</v>
      </c>
    </row>
    <row r="297" spans="1:17">
      <c r="A297" t="s">
        <v>1174</v>
      </c>
      <c r="B297" s="23">
        <v>44951</v>
      </c>
      <c r="C297" s="23" t="str">
        <f t="shared" si="12"/>
        <v>Jan</v>
      </c>
      <c r="D297" s="23" t="str">
        <f t="shared" si="13"/>
        <v>2023</v>
      </c>
      <c r="E297" s="23" t="str">
        <f t="shared" si="14"/>
        <v>Q1</v>
      </c>
      <c r="F297" t="s">
        <v>1175</v>
      </c>
      <c r="G297" s="24" t="s">
        <v>48</v>
      </c>
      <c r="H297" s="17">
        <v>5</v>
      </c>
      <c r="I297" s="19">
        <v>107.48</v>
      </c>
      <c r="J297" t="s">
        <v>1176</v>
      </c>
      <c r="K297" s="24" t="s">
        <v>18</v>
      </c>
      <c r="L297" s="24" t="s">
        <v>35</v>
      </c>
      <c r="M297" t="s">
        <v>1177</v>
      </c>
      <c r="N297" s="17">
        <v>9</v>
      </c>
      <c r="O297" t="s">
        <v>37</v>
      </c>
      <c r="P297" s="24" t="s">
        <v>38</v>
      </c>
      <c r="Q297" s="19">
        <v>537.4</v>
      </c>
    </row>
    <row r="298" spans="1:17">
      <c r="A298" t="s">
        <v>1178</v>
      </c>
      <c r="B298" s="23">
        <v>45462</v>
      </c>
      <c r="C298" s="23" t="str">
        <f t="shared" si="12"/>
        <v>Jun</v>
      </c>
      <c r="D298" s="23" t="str">
        <f t="shared" si="13"/>
        <v>2024</v>
      </c>
      <c r="E298" s="23" t="str">
        <f t="shared" si="14"/>
        <v>Q2</v>
      </c>
      <c r="F298" t="s">
        <v>1179</v>
      </c>
      <c r="G298" s="24" t="s">
        <v>73</v>
      </c>
      <c r="H298" s="17">
        <v>5</v>
      </c>
      <c r="I298" s="19">
        <v>638.8</v>
      </c>
      <c r="J298" t="s">
        <v>242</v>
      </c>
      <c r="K298" s="24" t="s">
        <v>18</v>
      </c>
      <c r="L298" s="24" t="s">
        <v>35</v>
      </c>
      <c r="M298" t="s">
        <v>1180</v>
      </c>
      <c r="N298" s="17">
        <v>10</v>
      </c>
      <c r="O298" t="s">
        <v>81</v>
      </c>
      <c r="P298" s="24" t="s">
        <v>29</v>
      </c>
      <c r="Q298" s="19">
        <v>3194</v>
      </c>
    </row>
    <row r="299" spans="1:17">
      <c r="A299" t="s">
        <v>1181</v>
      </c>
      <c r="B299" s="23">
        <v>44979</v>
      </c>
      <c r="C299" s="23" t="str">
        <f t="shared" si="12"/>
        <v>Feb</v>
      </c>
      <c r="D299" s="23" t="str">
        <f t="shared" si="13"/>
        <v>2023</v>
      </c>
      <c r="E299" s="23" t="str">
        <f t="shared" si="14"/>
        <v>Q1</v>
      </c>
      <c r="F299" t="s">
        <v>1182</v>
      </c>
      <c r="G299" s="24" t="s">
        <v>73</v>
      </c>
      <c r="H299" s="17">
        <v>2</v>
      </c>
      <c r="I299" s="19">
        <v>493.88</v>
      </c>
      <c r="J299" t="s">
        <v>1183</v>
      </c>
      <c r="K299" s="24" t="s">
        <v>34</v>
      </c>
      <c r="L299" s="24" t="s">
        <v>43</v>
      </c>
      <c r="M299" t="s">
        <v>1184</v>
      </c>
      <c r="N299" s="17">
        <v>7</v>
      </c>
      <c r="O299" t="s">
        <v>21</v>
      </c>
      <c r="P299" s="24" t="s">
        <v>22</v>
      </c>
      <c r="Q299" s="19">
        <v>987.76</v>
      </c>
    </row>
    <row r="300" spans="1:17">
      <c r="A300" t="s">
        <v>1185</v>
      </c>
      <c r="B300" s="23">
        <v>45279</v>
      </c>
      <c r="C300" s="23" t="str">
        <f t="shared" si="12"/>
        <v>Dec</v>
      </c>
      <c r="D300" s="23" t="str">
        <f t="shared" si="13"/>
        <v>2023</v>
      </c>
      <c r="E300" s="23" t="str">
        <f t="shared" si="14"/>
        <v>Q4</v>
      </c>
      <c r="F300" t="s">
        <v>1186</v>
      </c>
      <c r="G300" s="24" t="s">
        <v>48</v>
      </c>
      <c r="H300" s="17">
        <v>4</v>
      </c>
      <c r="I300" s="19">
        <v>301.17</v>
      </c>
      <c r="J300" t="s">
        <v>201</v>
      </c>
      <c r="K300" s="24" t="s">
        <v>27</v>
      </c>
      <c r="L300" s="24" t="s">
        <v>35</v>
      </c>
      <c r="M300" t="s">
        <v>1187</v>
      </c>
      <c r="N300" s="17">
        <v>6</v>
      </c>
      <c r="O300" t="s">
        <v>4295</v>
      </c>
      <c r="P300" s="24" t="s">
        <v>38</v>
      </c>
      <c r="Q300" s="19">
        <v>1204.68</v>
      </c>
    </row>
    <row r="301" spans="1:17">
      <c r="A301" t="s">
        <v>1188</v>
      </c>
      <c r="B301" s="23">
        <v>45311</v>
      </c>
      <c r="C301" s="23" t="str">
        <f t="shared" si="12"/>
        <v>Jan</v>
      </c>
      <c r="D301" s="23" t="str">
        <f t="shared" si="13"/>
        <v>2024</v>
      </c>
      <c r="E301" s="23" t="str">
        <f t="shared" si="14"/>
        <v>Q1</v>
      </c>
      <c r="F301" t="s">
        <v>1189</v>
      </c>
      <c r="G301" s="24" t="s">
        <v>16</v>
      </c>
      <c r="H301" s="17">
        <v>1</v>
      </c>
      <c r="I301" s="19">
        <v>278.66</v>
      </c>
      <c r="J301" t="s">
        <v>1190</v>
      </c>
      <c r="K301" s="24" t="s">
        <v>60</v>
      </c>
      <c r="L301" s="24" t="s">
        <v>35</v>
      </c>
      <c r="M301" t="s">
        <v>1191</v>
      </c>
      <c r="N301" s="17">
        <v>2</v>
      </c>
      <c r="O301" t="s">
        <v>37</v>
      </c>
      <c r="P301" s="24" t="s">
        <v>22</v>
      </c>
      <c r="Q301" s="19">
        <v>278.66</v>
      </c>
    </row>
    <row r="302" spans="1:17">
      <c r="A302" t="s">
        <v>1192</v>
      </c>
      <c r="B302" s="23">
        <v>45537</v>
      </c>
      <c r="C302" s="23" t="str">
        <f t="shared" si="12"/>
        <v>Sep</v>
      </c>
      <c r="D302" s="23" t="str">
        <f t="shared" si="13"/>
        <v>2024</v>
      </c>
      <c r="E302" s="23" t="str">
        <f t="shared" si="14"/>
        <v>Q3</v>
      </c>
      <c r="F302" t="s">
        <v>1193</v>
      </c>
      <c r="G302" s="24" t="s">
        <v>25</v>
      </c>
      <c r="H302" s="17">
        <v>1</v>
      </c>
      <c r="I302" s="19">
        <v>287.46</v>
      </c>
      <c r="J302" t="s">
        <v>1194</v>
      </c>
      <c r="K302" s="24" t="s">
        <v>18</v>
      </c>
      <c r="L302" s="24" t="s">
        <v>43</v>
      </c>
      <c r="M302" t="s">
        <v>1195</v>
      </c>
      <c r="N302" s="17">
        <v>3</v>
      </c>
      <c r="O302" t="s">
        <v>37</v>
      </c>
      <c r="P302" s="24" t="s">
        <v>45</v>
      </c>
      <c r="Q302" s="19">
        <v>287.46</v>
      </c>
    </row>
    <row r="303" spans="1:17">
      <c r="A303" t="s">
        <v>1196</v>
      </c>
      <c r="B303" s="23">
        <v>45057</v>
      </c>
      <c r="C303" s="23" t="str">
        <f t="shared" si="12"/>
        <v>May</v>
      </c>
      <c r="D303" s="23" t="str">
        <f t="shared" si="13"/>
        <v>2023</v>
      </c>
      <c r="E303" s="23" t="str">
        <f t="shared" si="14"/>
        <v>Q2</v>
      </c>
      <c r="F303" t="s">
        <v>1197</v>
      </c>
      <c r="G303" s="24" t="s">
        <v>41</v>
      </c>
      <c r="H303" s="17">
        <v>1</v>
      </c>
      <c r="I303" s="19">
        <v>583.99</v>
      </c>
      <c r="J303" t="s">
        <v>1198</v>
      </c>
      <c r="K303" s="24" t="s">
        <v>65</v>
      </c>
      <c r="L303" s="24" t="s">
        <v>35</v>
      </c>
      <c r="M303" t="s">
        <v>1199</v>
      </c>
      <c r="N303" s="17">
        <v>2</v>
      </c>
      <c r="O303" t="s">
        <v>21</v>
      </c>
      <c r="P303" s="24" t="s">
        <v>38</v>
      </c>
      <c r="Q303" s="19">
        <v>583.99</v>
      </c>
    </row>
    <row r="304" spans="1:17">
      <c r="A304" t="s">
        <v>1200</v>
      </c>
      <c r="B304" s="23">
        <v>45062</v>
      </c>
      <c r="C304" s="23" t="str">
        <f t="shared" si="12"/>
        <v>May</v>
      </c>
      <c r="D304" s="23" t="str">
        <f t="shared" si="13"/>
        <v>2023</v>
      </c>
      <c r="E304" s="23" t="str">
        <f t="shared" si="14"/>
        <v>Q2</v>
      </c>
      <c r="F304" t="s">
        <v>1201</v>
      </c>
      <c r="G304" s="24" t="s">
        <v>41</v>
      </c>
      <c r="H304" s="17">
        <v>3</v>
      </c>
      <c r="I304" s="19">
        <v>468.74</v>
      </c>
      <c r="J304" t="s">
        <v>1202</v>
      </c>
      <c r="K304" s="24" t="s">
        <v>65</v>
      </c>
      <c r="L304" s="24" t="s">
        <v>89</v>
      </c>
      <c r="M304" t="s">
        <v>1203</v>
      </c>
      <c r="N304" s="17">
        <v>4</v>
      </c>
      <c r="O304" t="s">
        <v>37</v>
      </c>
      <c r="P304" s="24" t="s">
        <v>22</v>
      </c>
      <c r="Q304" s="19">
        <v>1406.22</v>
      </c>
    </row>
    <row r="305" spans="1:17">
      <c r="A305" t="s">
        <v>1204</v>
      </c>
      <c r="B305" s="23">
        <v>45633</v>
      </c>
      <c r="C305" s="23" t="str">
        <f t="shared" si="12"/>
        <v>Dec</v>
      </c>
      <c r="D305" s="23" t="str">
        <f t="shared" si="13"/>
        <v>2024</v>
      </c>
      <c r="E305" s="23" t="str">
        <f t="shared" si="14"/>
        <v>Q4</v>
      </c>
      <c r="F305" t="s">
        <v>1205</v>
      </c>
      <c r="G305" s="24" t="s">
        <v>32</v>
      </c>
      <c r="H305" s="17">
        <v>1</v>
      </c>
      <c r="I305" s="19">
        <v>30.54</v>
      </c>
      <c r="J305" t="s">
        <v>1206</v>
      </c>
      <c r="K305" s="24" t="s">
        <v>18</v>
      </c>
      <c r="L305" s="24" t="s">
        <v>43</v>
      </c>
      <c r="M305" t="s">
        <v>1207</v>
      </c>
      <c r="N305" s="17">
        <v>1</v>
      </c>
      <c r="O305" t="s">
        <v>4295</v>
      </c>
      <c r="P305" s="24" t="s">
        <v>76</v>
      </c>
      <c r="Q305" s="19">
        <v>30.54</v>
      </c>
    </row>
    <row r="306" spans="1:17">
      <c r="A306" t="s">
        <v>1208</v>
      </c>
      <c r="B306" s="23">
        <v>45583</v>
      </c>
      <c r="C306" s="23" t="str">
        <f t="shared" si="12"/>
        <v>Oct</v>
      </c>
      <c r="D306" s="23" t="str">
        <f t="shared" si="13"/>
        <v>2024</v>
      </c>
      <c r="E306" s="23" t="str">
        <f t="shared" si="14"/>
        <v>Q4</v>
      </c>
      <c r="F306" t="s">
        <v>1209</v>
      </c>
      <c r="G306" s="24" t="s">
        <v>16</v>
      </c>
      <c r="H306" s="17">
        <v>5</v>
      </c>
      <c r="I306" s="19">
        <v>408.73</v>
      </c>
      <c r="J306" t="s">
        <v>1210</v>
      </c>
      <c r="K306" s="24" t="s">
        <v>60</v>
      </c>
      <c r="L306" s="24" t="s">
        <v>50</v>
      </c>
      <c r="M306" t="s">
        <v>1211</v>
      </c>
      <c r="N306" s="17">
        <v>10</v>
      </c>
      <c r="O306" t="s">
        <v>37</v>
      </c>
      <c r="P306" s="24" t="s">
        <v>22</v>
      </c>
      <c r="Q306" s="19">
        <v>2043.65</v>
      </c>
    </row>
    <row r="307" spans="1:17">
      <c r="A307" t="s">
        <v>1212</v>
      </c>
      <c r="B307" s="23">
        <v>45255</v>
      </c>
      <c r="C307" s="23" t="str">
        <f t="shared" si="12"/>
        <v>Nov</v>
      </c>
      <c r="D307" s="23" t="str">
        <f t="shared" si="13"/>
        <v>2023</v>
      </c>
      <c r="E307" s="23" t="str">
        <f t="shared" si="14"/>
        <v>Q4</v>
      </c>
      <c r="F307" t="s">
        <v>1213</v>
      </c>
      <c r="G307" s="24" t="s">
        <v>58</v>
      </c>
      <c r="H307" s="17">
        <v>4</v>
      </c>
      <c r="I307" s="19">
        <v>126.89</v>
      </c>
      <c r="J307" t="s">
        <v>1214</v>
      </c>
      <c r="K307" s="24" t="s">
        <v>65</v>
      </c>
      <c r="L307" s="24" t="s">
        <v>89</v>
      </c>
      <c r="M307" t="s">
        <v>1215</v>
      </c>
      <c r="N307" s="17">
        <v>9</v>
      </c>
      <c r="O307" t="s">
        <v>37</v>
      </c>
      <c r="P307" s="24" t="s">
        <v>22</v>
      </c>
      <c r="Q307" s="19">
        <v>507.56</v>
      </c>
    </row>
    <row r="308" spans="1:17">
      <c r="A308" t="s">
        <v>1216</v>
      </c>
      <c r="B308" s="23">
        <v>45450</v>
      </c>
      <c r="C308" s="23" t="str">
        <f t="shared" si="12"/>
        <v>Jun</v>
      </c>
      <c r="D308" s="23" t="str">
        <f t="shared" si="13"/>
        <v>2024</v>
      </c>
      <c r="E308" s="23" t="str">
        <f t="shared" si="14"/>
        <v>Q2</v>
      </c>
      <c r="F308" t="s">
        <v>1217</v>
      </c>
      <c r="G308" s="24" t="s">
        <v>48</v>
      </c>
      <c r="H308" s="17">
        <v>2</v>
      </c>
      <c r="I308" s="19">
        <v>57.07</v>
      </c>
      <c r="J308" t="s">
        <v>1218</v>
      </c>
      <c r="K308" s="24" t="s">
        <v>18</v>
      </c>
      <c r="L308" s="24" t="s">
        <v>43</v>
      </c>
      <c r="M308" t="s">
        <v>1219</v>
      </c>
      <c r="N308" s="17">
        <v>3</v>
      </c>
      <c r="O308" t="s">
        <v>21</v>
      </c>
      <c r="P308" s="24" t="s">
        <v>22</v>
      </c>
      <c r="Q308" s="19">
        <v>114.14</v>
      </c>
    </row>
    <row r="309" spans="1:17">
      <c r="A309" t="s">
        <v>1220</v>
      </c>
      <c r="B309" s="23">
        <v>45108</v>
      </c>
      <c r="C309" s="23" t="str">
        <f t="shared" si="12"/>
        <v>Jul</v>
      </c>
      <c r="D309" s="23" t="str">
        <f t="shared" si="13"/>
        <v>2023</v>
      </c>
      <c r="E309" s="23" t="str">
        <f t="shared" si="14"/>
        <v>Q3</v>
      </c>
      <c r="F309" t="s">
        <v>1221</v>
      </c>
      <c r="G309" s="24" t="s">
        <v>58</v>
      </c>
      <c r="H309" s="17">
        <v>3</v>
      </c>
      <c r="I309" s="19">
        <v>557.41</v>
      </c>
      <c r="J309" t="s">
        <v>1222</v>
      </c>
      <c r="K309" s="24" t="s">
        <v>27</v>
      </c>
      <c r="L309" s="24" t="s">
        <v>50</v>
      </c>
      <c r="M309" t="s">
        <v>1223</v>
      </c>
      <c r="N309" s="17">
        <v>4</v>
      </c>
      <c r="O309" t="s">
        <v>4295</v>
      </c>
      <c r="P309" s="24" t="s">
        <v>38</v>
      </c>
      <c r="Q309" s="19">
        <v>1672.23</v>
      </c>
    </row>
    <row r="310" spans="1:17">
      <c r="A310" t="s">
        <v>1224</v>
      </c>
      <c r="B310" s="23">
        <v>45271</v>
      </c>
      <c r="C310" s="23" t="str">
        <f t="shared" si="12"/>
        <v>Dec</v>
      </c>
      <c r="D310" s="23" t="str">
        <f t="shared" si="13"/>
        <v>2023</v>
      </c>
      <c r="E310" s="23" t="str">
        <f t="shared" si="14"/>
        <v>Q4</v>
      </c>
      <c r="F310" t="s">
        <v>1225</v>
      </c>
      <c r="G310" s="24" t="s">
        <v>48</v>
      </c>
      <c r="H310" s="17">
        <v>3</v>
      </c>
      <c r="I310" s="19">
        <v>448.9</v>
      </c>
      <c r="J310" t="s">
        <v>719</v>
      </c>
      <c r="K310" s="24" t="s">
        <v>18</v>
      </c>
      <c r="L310" s="24" t="s">
        <v>43</v>
      </c>
      <c r="M310" t="s">
        <v>1226</v>
      </c>
      <c r="N310" s="17">
        <v>7</v>
      </c>
      <c r="O310" t="s">
        <v>21</v>
      </c>
      <c r="P310" s="24" t="s">
        <v>22</v>
      </c>
      <c r="Q310" s="19">
        <v>1346.7</v>
      </c>
    </row>
    <row r="311" spans="1:17">
      <c r="A311" t="s">
        <v>1227</v>
      </c>
      <c r="B311" s="23">
        <v>45202</v>
      </c>
      <c r="C311" s="23" t="str">
        <f t="shared" si="12"/>
        <v>Oct</v>
      </c>
      <c r="D311" s="23" t="str">
        <f t="shared" si="13"/>
        <v>2023</v>
      </c>
      <c r="E311" s="23" t="str">
        <f t="shared" si="14"/>
        <v>Q4</v>
      </c>
      <c r="F311" t="s">
        <v>1228</v>
      </c>
      <c r="G311" s="24" t="s">
        <v>41</v>
      </c>
      <c r="H311" s="17">
        <v>4</v>
      </c>
      <c r="I311" s="19">
        <v>549.76</v>
      </c>
      <c r="J311" t="s">
        <v>1229</v>
      </c>
      <c r="K311" s="24" t="s">
        <v>18</v>
      </c>
      <c r="L311" s="24" t="s">
        <v>50</v>
      </c>
      <c r="M311" t="s">
        <v>1230</v>
      </c>
      <c r="N311" s="17">
        <v>4</v>
      </c>
      <c r="O311" t="s">
        <v>37</v>
      </c>
      <c r="P311" s="24" t="s">
        <v>45</v>
      </c>
      <c r="Q311" s="19">
        <v>2199.04</v>
      </c>
    </row>
    <row r="312" spans="1:17">
      <c r="A312" t="s">
        <v>1231</v>
      </c>
      <c r="B312" s="23">
        <v>45346</v>
      </c>
      <c r="C312" s="23" t="str">
        <f t="shared" si="12"/>
        <v>Feb</v>
      </c>
      <c r="D312" s="23" t="str">
        <f t="shared" si="13"/>
        <v>2024</v>
      </c>
      <c r="E312" s="23" t="str">
        <f t="shared" si="14"/>
        <v>Q1</v>
      </c>
      <c r="F312" t="s">
        <v>1232</v>
      </c>
      <c r="G312" s="24" t="s">
        <v>48</v>
      </c>
      <c r="H312" s="17">
        <v>3</v>
      </c>
      <c r="I312" s="19">
        <v>132.48</v>
      </c>
      <c r="J312" t="s">
        <v>1233</v>
      </c>
      <c r="K312" s="24" t="s">
        <v>27</v>
      </c>
      <c r="L312" s="24" t="s">
        <v>19</v>
      </c>
      <c r="M312" t="s">
        <v>1234</v>
      </c>
      <c r="N312" s="17">
        <v>4</v>
      </c>
      <c r="O312" t="s">
        <v>4295</v>
      </c>
      <c r="P312" s="24" t="s">
        <v>29</v>
      </c>
      <c r="Q312" s="19">
        <v>397.44</v>
      </c>
    </row>
    <row r="313" spans="1:17">
      <c r="A313" t="s">
        <v>1235</v>
      </c>
      <c r="B313" s="23">
        <v>45794</v>
      </c>
      <c r="C313" s="23" t="str">
        <f t="shared" si="12"/>
        <v>May</v>
      </c>
      <c r="D313" s="23" t="str">
        <f t="shared" si="13"/>
        <v>2025</v>
      </c>
      <c r="E313" s="23" t="str">
        <f t="shared" si="14"/>
        <v>Q2</v>
      </c>
      <c r="F313" t="s">
        <v>1236</v>
      </c>
      <c r="G313" s="24" t="s">
        <v>73</v>
      </c>
      <c r="H313" s="17">
        <v>5</v>
      </c>
      <c r="I313" s="19">
        <v>489.37</v>
      </c>
      <c r="J313" t="s">
        <v>1237</v>
      </c>
      <c r="K313" s="24" t="s">
        <v>27</v>
      </c>
      <c r="L313" s="24" t="s">
        <v>43</v>
      </c>
      <c r="M313" t="s">
        <v>1238</v>
      </c>
      <c r="N313" s="17">
        <v>8</v>
      </c>
      <c r="O313" t="s">
        <v>4295</v>
      </c>
      <c r="P313" s="24" t="s">
        <v>22</v>
      </c>
      <c r="Q313" s="19">
        <v>2446.85</v>
      </c>
    </row>
    <row r="314" spans="1:17">
      <c r="A314" t="s">
        <v>1239</v>
      </c>
      <c r="B314" s="23">
        <v>45801</v>
      </c>
      <c r="C314" s="23" t="str">
        <f t="shared" si="12"/>
        <v>May</v>
      </c>
      <c r="D314" s="23" t="str">
        <f t="shared" si="13"/>
        <v>2025</v>
      </c>
      <c r="E314" s="23" t="str">
        <f t="shared" si="14"/>
        <v>Q2</v>
      </c>
      <c r="F314" t="s">
        <v>1240</v>
      </c>
      <c r="G314" s="24" t="s">
        <v>48</v>
      </c>
      <c r="H314" s="17">
        <v>5</v>
      </c>
      <c r="I314" s="19">
        <v>66.31</v>
      </c>
      <c r="J314" t="s">
        <v>921</v>
      </c>
      <c r="K314" s="24" t="s">
        <v>60</v>
      </c>
      <c r="L314" s="24" t="s">
        <v>89</v>
      </c>
      <c r="M314" t="s">
        <v>1241</v>
      </c>
      <c r="N314" s="17">
        <v>7</v>
      </c>
      <c r="O314" t="s">
        <v>37</v>
      </c>
      <c r="P314" s="24" t="s">
        <v>29</v>
      </c>
      <c r="Q314" s="19">
        <v>331.55</v>
      </c>
    </row>
    <row r="315" spans="1:17">
      <c r="A315" t="s">
        <v>1242</v>
      </c>
      <c r="B315" s="23">
        <v>45116</v>
      </c>
      <c r="C315" s="23" t="str">
        <f t="shared" si="12"/>
        <v>Jul</v>
      </c>
      <c r="D315" s="23" t="str">
        <f t="shared" si="13"/>
        <v>2023</v>
      </c>
      <c r="E315" s="23" t="str">
        <f t="shared" si="14"/>
        <v>Q3</v>
      </c>
      <c r="F315" t="s">
        <v>1243</v>
      </c>
      <c r="G315" s="24" t="s">
        <v>41</v>
      </c>
      <c r="H315" s="17">
        <v>2</v>
      </c>
      <c r="I315" s="19">
        <v>434.3</v>
      </c>
      <c r="J315" t="s">
        <v>1244</v>
      </c>
      <c r="K315" s="24" t="s">
        <v>65</v>
      </c>
      <c r="L315" s="24" t="s">
        <v>50</v>
      </c>
      <c r="M315" t="s">
        <v>1245</v>
      </c>
      <c r="N315" s="17">
        <v>7</v>
      </c>
      <c r="O315" t="s">
        <v>21</v>
      </c>
      <c r="P315" s="24" t="s">
        <v>22</v>
      </c>
      <c r="Q315" s="19">
        <v>868.6</v>
      </c>
    </row>
    <row r="316" spans="1:17">
      <c r="A316" t="s">
        <v>1246</v>
      </c>
      <c r="B316" s="23">
        <v>45203</v>
      </c>
      <c r="C316" s="23" t="str">
        <f t="shared" si="12"/>
        <v>Oct</v>
      </c>
      <c r="D316" s="23" t="str">
        <f t="shared" si="13"/>
        <v>2023</v>
      </c>
      <c r="E316" s="23" t="str">
        <f t="shared" si="14"/>
        <v>Q4</v>
      </c>
      <c r="F316" t="s">
        <v>1247</v>
      </c>
      <c r="G316" s="24" t="s">
        <v>73</v>
      </c>
      <c r="H316" s="17">
        <v>4</v>
      </c>
      <c r="I316" s="19">
        <v>153.09</v>
      </c>
      <c r="J316" t="s">
        <v>1248</v>
      </c>
      <c r="K316" s="24" t="s">
        <v>27</v>
      </c>
      <c r="L316" s="24" t="s">
        <v>50</v>
      </c>
      <c r="M316" t="s">
        <v>1249</v>
      </c>
      <c r="N316" s="17">
        <v>4</v>
      </c>
      <c r="O316" t="s">
        <v>37</v>
      </c>
      <c r="P316" s="24" t="s">
        <v>29</v>
      </c>
      <c r="Q316" s="19">
        <v>612.36</v>
      </c>
    </row>
    <row r="317" spans="1:17">
      <c r="A317" t="s">
        <v>1250</v>
      </c>
      <c r="B317" s="23">
        <v>45789</v>
      </c>
      <c r="C317" s="23" t="str">
        <f t="shared" si="12"/>
        <v>May</v>
      </c>
      <c r="D317" s="23" t="str">
        <f t="shared" si="13"/>
        <v>2025</v>
      </c>
      <c r="E317" s="23" t="str">
        <f t="shared" si="14"/>
        <v>Q2</v>
      </c>
      <c r="F317" t="s">
        <v>1251</v>
      </c>
      <c r="G317" s="24" t="s">
        <v>32</v>
      </c>
      <c r="H317" s="17">
        <v>5</v>
      </c>
      <c r="I317" s="19">
        <v>91.67</v>
      </c>
      <c r="J317" t="s">
        <v>1252</v>
      </c>
      <c r="K317" s="24" t="s">
        <v>27</v>
      </c>
      <c r="L317" s="24" t="s">
        <v>35</v>
      </c>
      <c r="M317" t="s">
        <v>1253</v>
      </c>
      <c r="N317" s="17">
        <v>9</v>
      </c>
      <c r="O317" t="s">
        <v>37</v>
      </c>
      <c r="P317" s="24" t="s">
        <v>38</v>
      </c>
      <c r="Q317" s="19">
        <v>458.35</v>
      </c>
    </row>
    <row r="318" spans="1:17">
      <c r="A318" t="s">
        <v>1254</v>
      </c>
      <c r="B318" s="23">
        <v>45201</v>
      </c>
      <c r="C318" s="23" t="str">
        <f t="shared" si="12"/>
        <v>Oct</v>
      </c>
      <c r="D318" s="23" t="str">
        <f t="shared" si="13"/>
        <v>2023</v>
      </c>
      <c r="E318" s="23" t="str">
        <f t="shared" si="14"/>
        <v>Q4</v>
      </c>
      <c r="F318" t="s">
        <v>1255</v>
      </c>
      <c r="G318" s="24" t="s">
        <v>73</v>
      </c>
      <c r="H318" s="17">
        <v>4</v>
      </c>
      <c r="I318" s="19">
        <v>275.28</v>
      </c>
      <c r="J318" t="s">
        <v>1256</v>
      </c>
      <c r="K318" s="24" t="s">
        <v>60</v>
      </c>
      <c r="L318" s="24" t="s">
        <v>19</v>
      </c>
      <c r="M318" t="s">
        <v>1257</v>
      </c>
      <c r="N318" s="17">
        <v>9</v>
      </c>
      <c r="O318" t="s">
        <v>81</v>
      </c>
      <c r="P318" s="24" t="s">
        <v>45</v>
      </c>
      <c r="Q318" s="19">
        <v>1101.12</v>
      </c>
    </row>
    <row r="319" spans="1:17">
      <c r="A319" t="s">
        <v>1258</v>
      </c>
      <c r="B319" s="23">
        <v>45026</v>
      </c>
      <c r="C319" s="23" t="str">
        <f t="shared" si="12"/>
        <v>Apr</v>
      </c>
      <c r="D319" s="23" t="str">
        <f t="shared" si="13"/>
        <v>2023</v>
      </c>
      <c r="E319" s="23" t="str">
        <f t="shared" si="14"/>
        <v>Q2</v>
      </c>
      <c r="F319" t="s">
        <v>1259</v>
      </c>
      <c r="G319" s="24" t="s">
        <v>16</v>
      </c>
      <c r="H319" s="17">
        <v>2</v>
      </c>
      <c r="I319" s="19">
        <v>139.95</v>
      </c>
      <c r="J319" t="s">
        <v>1260</v>
      </c>
      <c r="K319" s="24" t="s">
        <v>27</v>
      </c>
      <c r="L319" s="24" t="s">
        <v>43</v>
      </c>
      <c r="M319" t="s">
        <v>1261</v>
      </c>
      <c r="N319" s="17">
        <v>5</v>
      </c>
      <c r="O319" t="s">
        <v>4295</v>
      </c>
      <c r="P319" s="24" t="s">
        <v>22</v>
      </c>
      <c r="Q319" s="19">
        <v>279.9</v>
      </c>
    </row>
    <row r="320" spans="1:17">
      <c r="A320" t="s">
        <v>1262</v>
      </c>
      <c r="B320" s="23">
        <v>45500</v>
      </c>
      <c r="C320" s="23" t="str">
        <f t="shared" si="12"/>
        <v>Jul</v>
      </c>
      <c r="D320" s="23" t="str">
        <f t="shared" si="13"/>
        <v>2024</v>
      </c>
      <c r="E320" s="23" t="str">
        <f t="shared" si="14"/>
        <v>Q3</v>
      </c>
      <c r="F320" t="s">
        <v>1263</v>
      </c>
      <c r="G320" s="24" t="s">
        <v>41</v>
      </c>
      <c r="H320" s="17">
        <v>3</v>
      </c>
      <c r="I320" s="19">
        <v>148.72</v>
      </c>
      <c r="J320" t="s">
        <v>866</v>
      </c>
      <c r="K320" s="24" t="s">
        <v>18</v>
      </c>
      <c r="L320" s="24" t="s">
        <v>35</v>
      </c>
      <c r="M320" t="s">
        <v>1264</v>
      </c>
      <c r="N320" s="17">
        <v>7</v>
      </c>
      <c r="O320" t="s">
        <v>21</v>
      </c>
      <c r="P320" s="24" t="s">
        <v>76</v>
      </c>
      <c r="Q320" s="19">
        <v>446.16</v>
      </c>
    </row>
    <row r="321" spans="1:17">
      <c r="A321" t="s">
        <v>1265</v>
      </c>
      <c r="B321" s="23">
        <v>45262</v>
      </c>
      <c r="C321" s="23" t="str">
        <f t="shared" si="12"/>
        <v>Dec</v>
      </c>
      <c r="D321" s="23" t="str">
        <f t="shared" si="13"/>
        <v>2023</v>
      </c>
      <c r="E321" s="23" t="str">
        <f t="shared" si="14"/>
        <v>Q4</v>
      </c>
      <c r="F321" t="s">
        <v>1266</v>
      </c>
      <c r="G321" s="24" t="s">
        <v>58</v>
      </c>
      <c r="H321" s="17">
        <v>2</v>
      </c>
      <c r="I321" s="19">
        <v>563.06</v>
      </c>
      <c r="J321" t="s">
        <v>1267</v>
      </c>
      <c r="K321" s="24" t="s">
        <v>65</v>
      </c>
      <c r="L321" s="24" t="s">
        <v>43</v>
      </c>
      <c r="M321" t="s">
        <v>1268</v>
      </c>
      <c r="N321" s="17">
        <v>6</v>
      </c>
      <c r="O321" t="s">
        <v>4295</v>
      </c>
      <c r="P321" s="24" t="s">
        <v>22</v>
      </c>
      <c r="Q321" s="19">
        <v>1126.12</v>
      </c>
    </row>
    <row r="322" spans="1:17">
      <c r="A322" t="s">
        <v>1269</v>
      </c>
      <c r="B322" s="23">
        <v>45645</v>
      </c>
      <c r="C322" s="23" t="str">
        <f t="shared" ref="C322:C385" si="15">TEXT(B322,"MMM")</f>
        <v>Dec</v>
      </c>
      <c r="D322" s="23" t="str">
        <f t="shared" ref="D322:D385" si="16">TEXT(B322,"YYYY")</f>
        <v>2024</v>
      </c>
      <c r="E322" s="23" t="str">
        <f t="shared" ref="E322:E385" si="17">"Q"&amp;ROUNDUP(MONTH(B322)/3,0)</f>
        <v>Q4</v>
      </c>
      <c r="F322" t="s">
        <v>1270</v>
      </c>
      <c r="G322" s="24" t="s">
        <v>48</v>
      </c>
      <c r="H322" s="17">
        <v>1</v>
      </c>
      <c r="I322" s="19">
        <v>625.51</v>
      </c>
      <c r="J322" t="s">
        <v>1271</v>
      </c>
      <c r="K322" s="24" t="s">
        <v>34</v>
      </c>
      <c r="L322" s="24" t="s">
        <v>19</v>
      </c>
      <c r="M322" t="s">
        <v>1272</v>
      </c>
      <c r="N322" s="17">
        <v>1</v>
      </c>
      <c r="O322" t="s">
        <v>37</v>
      </c>
      <c r="P322" s="24" t="s">
        <v>45</v>
      </c>
      <c r="Q322" s="19">
        <v>625.51</v>
      </c>
    </row>
    <row r="323" spans="1:17">
      <c r="A323" t="s">
        <v>1273</v>
      </c>
      <c r="B323" s="23">
        <v>45147</v>
      </c>
      <c r="C323" s="23" t="str">
        <f t="shared" si="15"/>
        <v>Aug</v>
      </c>
      <c r="D323" s="23" t="str">
        <f t="shared" si="16"/>
        <v>2023</v>
      </c>
      <c r="E323" s="23" t="str">
        <f t="shared" si="17"/>
        <v>Q3</v>
      </c>
      <c r="F323" t="s">
        <v>1274</v>
      </c>
      <c r="G323" s="24" t="s">
        <v>25</v>
      </c>
      <c r="H323" s="17">
        <v>4</v>
      </c>
      <c r="I323" s="19">
        <v>152.29</v>
      </c>
      <c r="J323" t="s">
        <v>1222</v>
      </c>
      <c r="K323" s="24" t="s">
        <v>18</v>
      </c>
      <c r="L323" s="24" t="s">
        <v>35</v>
      </c>
      <c r="M323" t="s">
        <v>1275</v>
      </c>
      <c r="N323" s="17">
        <v>6</v>
      </c>
      <c r="O323" t="s">
        <v>81</v>
      </c>
      <c r="P323" s="24" t="s">
        <v>76</v>
      </c>
      <c r="Q323" s="19">
        <v>609.16</v>
      </c>
    </row>
    <row r="324" spans="1:17">
      <c r="A324" t="s">
        <v>1276</v>
      </c>
      <c r="B324" s="23">
        <v>45457</v>
      </c>
      <c r="C324" s="23" t="str">
        <f t="shared" si="15"/>
        <v>Jun</v>
      </c>
      <c r="D324" s="23" t="str">
        <f t="shared" si="16"/>
        <v>2024</v>
      </c>
      <c r="E324" s="23" t="str">
        <f t="shared" si="17"/>
        <v>Q2</v>
      </c>
      <c r="F324" t="s">
        <v>1277</v>
      </c>
      <c r="G324" s="24" t="s">
        <v>25</v>
      </c>
      <c r="H324" s="17">
        <v>5</v>
      </c>
      <c r="I324" s="19">
        <v>231.82</v>
      </c>
      <c r="J324" t="s">
        <v>1260</v>
      </c>
      <c r="K324" s="24" t="s">
        <v>18</v>
      </c>
      <c r="L324" s="24" t="s">
        <v>50</v>
      </c>
      <c r="M324" t="s">
        <v>1278</v>
      </c>
      <c r="N324" s="17">
        <v>6</v>
      </c>
      <c r="O324" t="s">
        <v>21</v>
      </c>
      <c r="P324" s="24" t="s">
        <v>45</v>
      </c>
      <c r="Q324" s="19">
        <v>1159.1</v>
      </c>
    </row>
    <row r="325" spans="1:17">
      <c r="A325" t="s">
        <v>1279</v>
      </c>
      <c r="B325" s="23">
        <v>45683</v>
      </c>
      <c r="C325" s="23" t="str">
        <f t="shared" si="15"/>
        <v>Jan</v>
      </c>
      <c r="D325" s="23" t="str">
        <f t="shared" si="16"/>
        <v>2025</v>
      </c>
      <c r="E325" s="23" t="str">
        <f t="shared" si="17"/>
        <v>Q1</v>
      </c>
      <c r="F325" t="s">
        <v>1280</v>
      </c>
      <c r="G325" s="24" t="s">
        <v>58</v>
      </c>
      <c r="H325" s="17">
        <v>1</v>
      </c>
      <c r="I325" s="19">
        <v>150.17</v>
      </c>
      <c r="J325" t="s">
        <v>1281</v>
      </c>
      <c r="K325" s="24" t="s">
        <v>18</v>
      </c>
      <c r="L325" s="24" t="s">
        <v>43</v>
      </c>
      <c r="M325" t="s">
        <v>1282</v>
      </c>
      <c r="N325" s="17">
        <v>1</v>
      </c>
      <c r="O325" t="s">
        <v>21</v>
      </c>
      <c r="P325" s="24" t="s">
        <v>29</v>
      </c>
      <c r="Q325" s="19">
        <v>150.17</v>
      </c>
    </row>
    <row r="326" spans="1:17">
      <c r="A326" t="s">
        <v>1283</v>
      </c>
      <c r="B326" s="23">
        <v>45456</v>
      </c>
      <c r="C326" s="23" t="str">
        <f t="shared" si="15"/>
        <v>Jun</v>
      </c>
      <c r="D326" s="23" t="str">
        <f t="shared" si="16"/>
        <v>2024</v>
      </c>
      <c r="E326" s="23" t="str">
        <f t="shared" si="17"/>
        <v>Q2</v>
      </c>
      <c r="F326" t="s">
        <v>1284</v>
      </c>
      <c r="G326" s="24" t="s">
        <v>32</v>
      </c>
      <c r="H326" s="17">
        <v>3</v>
      </c>
      <c r="I326" s="19">
        <v>70.93</v>
      </c>
      <c r="J326" t="s">
        <v>1285</v>
      </c>
      <c r="K326" s="24" t="s">
        <v>18</v>
      </c>
      <c r="L326" s="24" t="s">
        <v>43</v>
      </c>
      <c r="M326" t="s">
        <v>1286</v>
      </c>
      <c r="N326" s="17">
        <v>5</v>
      </c>
      <c r="O326" t="s">
        <v>4295</v>
      </c>
      <c r="P326" s="24" t="s">
        <v>29</v>
      </c>
      <c r="Q326" s="19">
        <v>212.79</v>
      </c>
    </row>
    <row r="327" spans="1:17">
      <c r="A327" t="s">
        <v>1287</v>
      </c>
      <c r="B327" s="23">
        <v>45106</v>
      </c>
      <c r="C327" s="23" t="str">
        <f t="shared" si="15"/>
        <v>Jun</v>
      </c>
      <c r="D327" s="23" t="str">
        <f t="shared" si="16"/>
        <v>2023</v>
      </c>
      <c r="E327" s="23" t="str">
        <f t="shared" si="17"/>
        <v>Q2</v>
      </c>
      <c r="F327" t="s">
        <v>1288</v>
      </c>
      <c r="G327" s="24" t="s">
        <v>73</v>
      </c>
      <c r="H327" s="17">
        <v>3</v>
      </c>
      <c r="I327" s="19">
        <v>361.39</v>
      </c>
      <c r="J327" t="s">
        <v>1289</v>
      </c>
      <c r="K327" s="24" t="s">
        <v>34</v>
      </c>
      <c r="L327" s="24" t="s">
        <v>19</v>
      </c>
      <c r="M327" t="s">
        <v>1290</v>
      </c>
      <c r="N327" s="17">
        <v>8</v>
      </c>
      <c r="O327" t="s">
        <v>4295</v>
      </c>
      <c r="P327" s="24" t="s">
        <v>29</v>
      </c>
      <c r="Q327" s="19">
        <v>1084.17</v>
      </c>
    </row>
    <row r="328" spans="1:17">
      <c r="A328" t="s">
        <v>1291</v>
      </c>
      <c r="B328" s="23">
        <v>45474</v>
      </c>
      <c r="C328" s="23" t="str">
        <f t="shared" si="15"/>
        <v>Jul</v>
      </c>
      <c r="D328" s="23" t="str">
        <f t="shared" si="16"/>
        <v>2024</v>
      </c>
      <c r="E328" s="23" t="str">
        <f t="shared" si="17"/>
        <v>Q3</v>
      </c>
      <c r="F328" t="s">
        <v>1292</v>
      </c>
      <c r="G328" s="24" t="s">
        <v>58</v>
      </c>
      <c r="H328" s="17">
        <v>5</v>
      </c>
      <c r="I328" s="19">
        <v>670.48</v>
      </c>
      <c r="J328" t="s">
        <v>117</v>
      </c>
      <c r="K328" s="24" t="s">
        <v>60</v>
      </c>
      <c r="L328" s="24" t="s">
        <v>43</v>
      </c>
      <c r="M328" t="s">
        <v>1293</v>
      </c>
      <c r="N328" s="17">
        <v>5</v>
      </c>
      <c r="O328" t="s">
        <v>21</v>
      </c>
      <c r="P328" s="24" t="s">
        <v>45</v>
      </c>
      <c r="Q328" s="19">
        <v>3352.4</v>
      </c>
    </row>
    <row r="329" spans="1:17">
      <c r="A329" t="s">
        <v>1294</v>
      </c>
      <c r="B329" s="23">
        <v>45132</v>
      </c>
      <c r="C329" s="23" t="str">
        <f t="shared" si="15"/>
        <v>Jul</v>
      </c>
      <c r="D329" s="23" t="str">
        <f t="shared" si="16"/>
        <v>2023</v>
      </c>
      <c r="E329" s="23" t="str">
        <f t="shared" si="17"/>
        <v>Q3</v>
      </c>
      <c r="F329" t="s">
        <v>1295</v>
      </c>
      <c r="G329" s="24" t="s">
        <v>25</v>
      </c>
      <c r="H329" s="17">
        <v>1</v>
      </c>
      <c r="I329" s="19">
        <v>359.99</v>
      </c>
      <c r="J329" t="s">
        <v>297</v>
      </c>
      <c r="K329" s="24" t="s">
        <v>60</v>
      </c>
      <c r="L329" s="24" t="s">
        <v>35</v>
      </c>
      <c r="M329" t="s">
        <v>1296</v>
      </c>
      <c r="N329" s="17">
        <v>5</v>
      </c>
      <c r="O329" t="s">
        <v>21</v>
      </c>
      <c r="P329" s="24" t="s">
        <v>38</v>
      </c>
      <c r="Q329" s="19">
        <v>359.99</v>
      </c>
    </row>
    <row r="330" spans="1:17">
      <c r="A330" t="s">
        <v>1297</v>
      </c>
      <c r="B330" s="23">
        <v>44985</v>
      </c>
      <c r="C330" s="23" t="str">
        <f t="shared" si="15"/>
        <v>Feb</v>
      </c>
      <c r="D330" s="23" t="str">
        <f t="shared" si="16"/>
        <v>2023</v>
      </c>
      <c r="E330" s="23" t="str">
        <f t="shared" si="17"/>
        <v>Q1</v>
      </c>
      <c r="F330" t="s">
        <v>1298</v>
      </c>
      <c r="G330" s="24" t="s">
        <v>32</v>
      </c>
      <c r="H330" s="17">
        <v>5</v>
      </c>
      <c r="I330" s="19">
        <v>674.04</v>
      </c>
      <c r="J330" t="s">
        <v>1299</v>
      </c>
      <c r="K330" s="24" t="s">
        <v>27</v>
      </c>
      <c r="L330" s="24" t="s">
        <v>35</v>
      </c>
      <c r="M330" t="s">
        <v>1300</v>
      </c>
      <c r="N330" s="17">
        <v>7</v>
      </c>
      <c r="O330" t="s">
        <v>21</v>
      </c>
      <c r="P330" s="24" t="s">
        <v>76</v>
      </c>
      <c r="Q330" s="19">
        <v>3370.2</v>
      </c>
    </row>
    <row r="331" spans="1:17">
      <c r="A331" t="s">
        <v>1301</v>
      </c>
      <c r="B331" s="23">
        <v>45651</v>
      </c>
      <c r="C331" s="23" t="str">
        <f t="shared" si="15"/>
        <v>Dec</v>
      </c>
      <c r="D331" s="23" t="str">
        <f t="shared" si="16"/>
        <v>2024</v>
      </c>
      <c r="E331" s="23" t="str">
        <f t="shared" si="17"/>
        <v>Q4</v>
      </c>
      <c r="F331" t="s">
        <v>1302</v>
      </c>
      <c r="G331" s="24" t="s">
        <v>41</v>
      </c>
      <c r="H331" s="17">
        <v>4</v>
      </c>
      <c r="I331" s="19">
        <v>283.16</v>
      </c>
      <c r="J331" t="s">
        <v>988</v>
      </c>
      <c r="K331" s="24" t="s">
        <v>34</v>
      </c>
      <c r="L331" s="24" t="s">
        <v>19</v>
      </c>
      <c r="M331" t="s">
        <v>1303</v>
      </c>
      <c r="N331" s="17">
        <v>6</v>
      </c>
      <c r="O331" t="s">
        <v>4295</v>
      </c>
      <c r="P331" s="24" t="s">
        <v>76</v>
      </c>
      <c r="Q331" s="19">
        <v>1132.64</v>
      </c>
    </row>
    <row r="332" spans="1:17">
      <c r="A332" t="s">
        <v>1304</v>
      </c>
      <c r="B332" s="23">
        <v>45445</v>
      </c>
      <c r="C332" s="23" t="str">
        <f t="shared" si="15"/>
        <v>Jun</v>
      </c>
      <c r="D332" s="23" t="str">
        <f t="shared" si="16"/>
        <v>2024</v>
      </c>
      <c r="E332" s="23" t="str">
        <f t="shared" si="17"/>
        <v>Q2</v>
      </c>
      <c r="F332" t="s">
        <v>1305</v>
      </c>
      <c r="G332" s="24" t="s">
        <v>73</v>
      </c>
      <c r="H332" s="17">
        <v>5</v>
      </c>
      <c r="I332" s="19">
        <v>260.53</v>
      </c>
      <c r="J332" t="s">
        <v>1306</v>
      </c>
      <c r="K332" s="24" t="s">
        <v>60</v>
      </c>
      <c r="L332" s="24" t="s">
        <v>89</v>
      </c>
      <c r="M332" t="s">
        <v>1307</v>
      </c>
      <c r="N332" s="17">
        <v>5</v>
      </c>
      <c r="O332" t="s">
        <v>21</v>
      </c>
      <c r="P332" s="24" t="s">
        <v>22</v>
      </c>
      <c r="Q332" s="19">
        <v>1302.65</v>
      </c>
    </row>
    <row r="333" spans="1:17">
      <c r="A333" t="s">
        <v>1308</v>
      </c>
      <c r="B333" s="23">
        <v>45031</v>
      </c>
      <c r="C333" s="23" t="str">
        <f t="shared" si="15"/>
        <v>Apr</v>
      </c>
      <c r="D333" s="23" t="str">
        <f t="shared" si="16"/>
        <v>2023</v>
      </c>
      <c r="E333" s="23" t="str">
        <f t="shared" si="17"/>
        <v>Q2</v>
      </c>
      <c r="F333" t="s">
        <v>1309</v>
      </c>
      <c r="G333" s="24" t="s">
        <v>48</v>
      </c>
      <c r="H333" s="17">
        <v>3</v>
      </c>
      <c r="I333" s="19">
        <v>422.13</v>
      </c>
      <c r="J333" t="s">
        <v>510</v>
      </c>
      <c r="K333" s="24" t="s">
        <v>27</v>
      </c>
      <c r="L333" s="24" t="s">
        <v>50</v>
      </c>
      <c r="M333" t="s">
        <v>1310</v>
      </c>
      <c r="N333" s="17">
        <v>7</v>
      </c>
      <c r="O333" t="s">
        <v>21</v>
      </c>
      <c r="P333" s="24" t="s">
        <v>45</v>
      </c>
      <c r="Q333" s="19">
        <v>1266.39</v>
      </c>
    </row>
    <row r="334" spans="1:17">
      <c r="A334" t="s">
        <v>1311</v>
      </c>
      <c r="B334" s="23">
        <v>45476</v>
      </c>
      <c r="C334" s="23" t="str">
        <f t="shared" si="15"/>
        <v>Jul</v>
      </c>
      <c r="D334" s="23" t="str">
        <f t="shared" si="16"/>
        <v>2024</v>
      </c>
      <c r="E334" s="23" t="str">
        <f t="shared" si="17"/>
        <v>Q3</v>
      </c>
      <c r="F334" t="s">
        <v>1312</v>
      </c>
      <c r="G334" s="24" t="s">
        <v>73</v>
      </c>
      <c r="H334" s="17">
        <v>5</v>
      </c>
      <c r="I334" s="19">
        <v>125.02</v>
      </c>
      <c r="J334" t="s">
        <v>1313</v>
      </c>
      <c r="K334" s="24" t="s">
        <v>18</v>
      </c>
      <c r="L334" s="24" t="s">
        <v>89</v>
      </c>
      <c r="M334" t="s">
        <v>1314</v>
      </c>
      <c r="N334" s="17">
        <v>9</v>
      </c>
      <c r="O334" t="s">
        <v>21</v>
      </c>
      <c r="P334" s="24" t="s">
        <v>76</v>
      </c>
      <c r="Q334" s="19">
        <v>625.1</v>
      </c>
    </row>
    <row r="335" spans="1:17">
      <c r="A335" t="s">
        <v>1315</v>
      </c>
      <c r="B335" s="23">
        <v>45398</v>
      </c>
      <c r="C335" s="23" t="str">
        <f t="shared" si="15"/>
        <v>Apr</v>
      </c>
      <c r="D335" s="23" t="str">
        <f t="shared" si="16"/>
        <v>2024</v>
      </c>
      <c r="E335" s="23" t="str">
        <f t="shared" si="17"/>
        <v>Q2</v>
      </c>
      <c r="F335" t="s">
        <v>1316</v>
      </c>
      <c r="G335" s="24" t="s">
        <v>25</v>
      </c>
      <c r="H335" s="17">
        <v>1</v>
      </c>
      <c r="I335" s="19">
        <v>198.51</v>
      </c>
      <c r="J335" t="s">
        <v>1317</v>
      </c>
      <c r="K335" s="24" t="s">
        <v>34</v>
      </c>
      <c r="L335" s="24" t="s">
        <v>43</v>
      </c>
      <c r="M335" t="s">
        <v>1318</v>
      </c>
      <c r="N335" s="17">
        <v>5</v>
      </c>
      <c r="O335" t="s">
        <v>81</v>
      </c>
      <c r="P335" s="24" t="s">
        <v>22</v>
      </c>
      <c r="Q335" s="19">
        <v>198.51</v>
      </c>
    </row>
    <row r="336" spans="1:17">
      <c r="A336" t="s">
        <v>1319</v>
      </c>
      <c r="B336" s="23">
        <v>45377</v>
      </c>
      <c r="C336" s="23" t="str">
        <f t="shared" si="15"/>
        <v>Mar</v>
      </c>
      <c r="D336" s="23" t="str">
        <f t="shared" si="16"/>
        <v>2024</v>
      </c>
      <c r="E336" s="23" t="str">
        <f t="shared" si="17"/>
        <v>Q1</v>
      </c>
      <c r="F336" t="s">
        <v>1320</v>
      </c>
      <c r="G336" s="24" t="s">
        <v>41</v>
      </c>
      <c r="H336" s="17">
        <v>4</v>
      </c>
      <c r="I336" s="19">
        <v>224.75</v>
      </c>
      <c r="J336" t="s">
        <v>1321</v>
      </c>
      <c r="K336" s="24" t="s">
        <v>27</v>
      </c>
      <c r="L336" s="24" t="s">
        <v>50</v>
      </c>
      <c r="M336" t="s">
        <v>1322</v>
      </c>
      <c r="N336" s="17">
        <v>7</v>
      </c>
      <c r="O336" t="s">
        <v>81</v>
      </c>
      <c r="P336" s="24" t="s">
        <v>45</v>
      </c>
      <c r="Q336" s="19">
        <v>899</v>
      </c>
    </row>
    <row r="337" spans="1:17">
      <c r="A337" t="s">
        <v>1323</v>
      </c>
      <c r="B337" s="23">
        <v>45719</v>
      </c>
      <c r="C337" s="23" t="str">
        <f t="shared" si="15"/>
        <v>Mar</v>
      </c>
      <c r="D337" s="23" t="str">
        <f t="shared" si="16"/>
        <v>2025</v>
      </c>
      <c r="E337" s="23" t="str">
        <f t="shared" si="17"/>
        <v>Q1</v>
      </c>
      <c r="F337" t="s">
        <v>1324</v>
      </c>
      <c r="G337" s="24" t="s">
        <v>32</v>
      </c>
      <c r="H337" s="17">
        <v>3</v>
      </c>
      <c r="I337" s="19">
        <v>205.86</v>
      </c>
      <c r="J337" t="s">
        <v>1244</v>
      </c>
      <c r="K337" s="24" t="s">
        <v>60</v>
      </c>
      <c r="L337" s="24" t="s">
        <v>19</v>
      </c>
      <c r="M337" t="s">
        <v>1325</v>
      </c>
      <c r="N337" s="17">
        <v>4</v>
      </c>
      <c r="O337" t="s">
        <v>4295</v>
      </c>
      <c r="P337" s="24" t="s">
        <v>38</v>
      </c>
      <c r="Q337" s="19">
        <v>617.58</v>
      </c>
    </row>
    <row r="338" spans="1:17">
      <c r="A338" t="s">
        <v>1326</v>
      </c>
      <c r="B338" s="23">
        <v>45289</v>
      </c>
      <c r="C338" s="23" t="str">
        <f t="shared" si="15"/>
        <v>Dec</v>
      </c>
      <c r="D338" s="23" t="str">
        <f t="shared" si="16"/>
        <v>2023</v>
      </c>
      <c r="E338" s="23" t="str">
        <f t="shared" si="17"/>
        <v>Q4</v>
      </c>
      <c r="F338" t="s">
        <v>1327</v>
      </c>
      <c r="G338" s="24" t="s">
        <v>58</v>
      </c>
      <c r="H338" s="17">
        <v>1</v>
      </c>
      <c r="I338" s="19">
        <v>18.2</v>
      </c>
      <c r="J338" t="s">
        <v>1328</v>
      </c>
      <c r="K338" s="24" t="s">
        <v>18</v>
      </c>
      <c r="L338" s="24" t="s">
        <v>89</v>
      </c>
      <c r="M338" t="s">
        <v>1329</v>
      </c>
      <c r="N338" s="17">
        <v>4</v>
      </c>
      <c r="O338" t="s">
        <v>21</v>
      </c>
      <c r="P338" s="24" t="s">
        <v>22</v>
      </c>
      <c r="Q338" s="19">
        <v>18.2</v>
      </c>
    </row>
    <row r="339" spans="1:17">
      <c r="A339" t="s">
        <v>1330</v>
      </c>
      <c r="B339" s="23">
        <v>45075</v>
      </c>
      <c r="C339" s="23" t="str">
        <f t="shared" si="15"/>
        <v>May</v>
      </c>
      <c r="D339" s="23" t="str">
        <f t="shared" si="16"/>
        <v>2023</v>
      </c>
      <c r="E339" s="23" t="str">
        <f t="shared" si="17"/>
        <v>Q2</v>
      </c>
      <c r="F339" t="s">
        <v>1331</v>
      </c>
      <c r="G339" s="24" t="s">
        <v>32</v>
      </c>
      <c r="H339" s="17">
        <v>3</v>
      </c>
      <c r="I339" s="19">
        <v>502.77</v>
      </c>
      <c r="J339" t="s">
        <v>1332</v>
      </c>
      <c r="K339" s="24" t="s">
        <v>18</v>
      </c>
      <c r="L339" s="24" t="s">
        <v>43</v>
      </c>
      <c r="M339" t="s">
        <v>1333</v>
      </c>
      <c r="N339" s="17">
        <v>8</v>
      </c>
      <c r="O339" t="s">
        <v>81</v>
      </c>
      <c r="P339" s="24" t="s">
        <v>38</v>
      </c>
      <c r="Q339" s="19">
        <v>1508.31</v>
      </c>
    </row>
    <row r="340" spans="1:17">
      <c r="A340" t="s">
        <v>1334</v>
      </c>
      <c r="B340" s="23">
        <v>45238</v>
      </c>
      <c r="C340" s="23" t="str">
        <f t="shared" si="15"/>
        <v>Nov</v>
      </c>
      <c r="D340" s="23" t="str">
        <f t="shared" si="16"/>
        <v>2023</v>
      </c>
      <c r="E340" s="23" t="str">
        <f t="shared" si="17"/>
        <v>Q4</v>
      </c>
      <c r="F340" t="s">
        <v>1335</v>
      </c>
      <c r="G340" s="24" t="s">
        <v>25</v>
      </c>
      <c r="H340" s="17">
        <v>5</v>
      </c>
      <c r="I340" s="19">
        <v>305.49</v>
      </c>
      <c r="J340" t="s">
        <v>1336</v>
      </c>
      <c r="K340" s="24" t="s">
        <v>18</v>
      </c>
      <c r="L340" s="24" t="s">
        <v>19</v>
      </c>
      <c r="M340" t="s">
        <v>1337</v>
      </c>
      <c r="N340" s="17">
        <v>10</v>
      </c>
      <c r="O340" t="s">
        <v>4295</v>
      </c>
      <c r="P340" s="24" t="s">
        <v>29</v>
      </c>
      <c r="Q340" s="19">
        <v>1527.45</v>
      </c>
    </row>
    <row r="341" spans="1:17">
      <c r="A341" t="s">
        <v>1338</v>
      </c>
      <c r="B341" s="23">
        <v>45392</v>
      </c>
      <c r="C341" s="23" t="str">
        <f t="shared" si="15"/>
        <v>Apr</v>
      </c>
      <c r="D341" s="23" t="str">
        <f t="shared" si="16"/>
        <v>2024</v>
      </c>
      <c r="E341" s="23" t="str">
        <f t="shared" si="17"/>
        <v>Q2</v>
      </c>
      <c r="F341" t="s">
        <v>1339</v>
      </c>
      <c r="G341" s="24" t="s">
        <v>48</v>
      </c>
      <c r="H341" s="17">
        <v>2</v>
      </c>
      <c r="I341" s="19">
        <v>236.33</v>
      </c>
      <c r="J341" t="s">
        <v>1340</v>
      </c>
      <c r="K341" s="24" t="s">
        <v>27</v>
      </c>
      <c r="L341" s="24" t="s">
        <v>89</v>
      </c>
      <c r="M341" t="s">
        <v>1341</v>
      </c>
      <c r="N341" s="17">
        <v>3</v>
      </c>
      <c r="O341" t="s">
        <v>21</v>
      </c>
      <c r="P341" s="24" t="s">
        <v>22</v>
      </c>
      <c r="Q341" s="19">
        <v>472.66</v>
      </c>
    </row>
    <row r="342" spans="1:17">
      <c r="A342" t="s">
        <v>1342</v>
      </c>
      <c r="B342" s="23">
        <v>45039</v>
      </c>
      <c r="C342" s="23" t="str">
        <f t="shared" si="15"/>
        <v>Apr</v>
      </c>
      <c r="D342" s="23" t="str">
        <f t="shared" si="16"/>
        <v>2023</v>
      </c>
      <c r="E342" s="23" t="str">
        <f t="shared" si="17"/>
        <v>Q2</v>
      </c>
      <c r="F342" t="s">
        <v>1343</v>
      </c>
      <c r="G342" s="24" t="s">
        <v>58</v>
      </c>
      <c r="H342" s="17">
        <v>5</v>
      </c>
      <c r="I342" s="19">
        <v>521.25</v>
      </c>
      <c r="J342" t="s">
        <v>1344</v>
      </c>
      <c r="K342" s="24" t="s">
        <v>65</v>
      </c>
      <c r="L342" s="24" t="s">
        <v>35</v>
      </c>
      <c r="M342" t="s">
        <v>1345</v>
      </c>
      <c r="N342" s="17">
        <v>8</v>
      </c>
      <c r="O342" t="s">
        <v>4295</v>
      </c>
      <c r="P342" s="24" t="s">
        <v>38</v>
      </c>
      <c r="Q342" s="19">
        <v>2606.25</v>
      </c>
    </row>
    <row r="343" spans="1:17">
      <c r="A343" t="s">
        <v>1346</v>
      </c>
      <c r="B343" s="23">
        <v>45558</v>
      </c>
      <c r="C343" s="23" t="str">
        <f t="shared" si="15"/>
        <v>Sep</v>
      </c>
      <c r="D343" s="23" t="str">
        <f t="shared" si="16"/>
        <v>2024</v>
      </c>
      <c r="E343" s="23" t="str">
        <f t="shared" si="17"/>
        <v>Q3</v>
      </c>
      <c r="F343" t="s">
        <v>1347</v>
      </c>
      <c r="G343" s="24" t="s">
        <v>32</v>
      </c>
      <c r="H343" s="17">
        <v>1</v>
      </c>
      <c r="I343" s="19">
        <v>167.15</v>
      </c>
      <c r="J343" t="s">
        <v>1348</v>
      </c>
      <c r="K343" s="24" t="s">
        <v>60</v>
      </c>
      <c r="L343" s="24" t="s">
        <v>19</v>
      </c>
      <c r="M343" t="s">
        <v>1349</v>
      </c>
      <c r="N343" s="17">
        <v>5</v>
      </c>
      <c r="O343" t="s">
        <v>81</v>
      </c>
      <c r="P343" s="24" t="s">
        <v>38</v>
      </c>
      <c r="Q343" s="19">
        <v>167.15</v>
      </c>
    </row>
    <row r="344" spans="1:17">
      <c r="A344" t="s">
        <v>1350</v>
      </c>
      <c r="B344" s="23">
        <v>45832</v>
      </c>
      <c r="C344" s="23" t="str">
        <f t="shared" si="15"/>
        <v>Jun</v>
      </c>
      <c r="D344" s="23" t="str">
        <f t="shared" si="16"/>
        <v>2025</v>
      </c>
      <c r="E344" s="23" t="str">
        <f t="shared" si="17"/>
        <v>Q2</v>
      </c>
      <c r="F344" t="s">
        <v>1351</v>
      </c>
      <c r="G344" s="24" t="s">
        <v>16</v>
      </c>
      <c r="H344" s="17">
        <v>5</v>
      </c>
      <c r="I344" s="19">
        <v>466.42</v>
      </c>
      <c r="J344" t="s">
        <v>1352</v>
      </c>
      <c r="K344" s="24" t="s">
        <v>60</v>
      </c>
      <c r="L344" s="24" t="s">
        <v>43</v>
      </c>
      <c r="M344" t="s">
        <v>1353</v>
      </c>
      <c r="N344" s="17">
        <v>5</v>
      </c>
      <c r="O344" t="s">
        <v>4295</v>
      </c>
      <c r="P344" s="24" t="s">
        <v>29</v>
      </c>
      <c r="Q344" s="19">
        <v>2332.1</v>
      </c>
    </row>
    <row r="345" spans="1:17">
      <c r="A345" t="s">
        <v>1354</v>
      </c>
      <c r="B345" s="23">
        <v>44983</v>
      </c>
      <c r="C345" s="23" t="str">
        <f t="shared" si="15"/>
        <v>Feb</v>
      </c>
      <c r="D345" s="23" t="str">
        <f t="shared" si="16"/>
        <v>2023</v>
      </c>
      <c r="E345" s="23" t="str">
        <f t="shared" si="17"/>
        <v>Q1</v>
      </c>
      <c r="F345" t="s">
        <v>1355</v>
      </c>
      <c r="G345" s="24" t="s">
        <v>48</v>
      </c>
      <c r="H345" s="17">
        <v>1</v>
      </c>
      <c r="I345" s="19">
        <v>527.57</v>
      </c>
      <c r="J345" t="s">
        <v>1356</v>
      </c>
      <c r="K345" s="24" t="s">
        <v>18</v>
      </c>
      <c r="L345" s="24" t="s">
        <v>89</v>
      </c>
      <c r="M345" t="s">
        <v>1357</v>
      </c>
      <c r="N345" s="17">
        <v>3</v>
      </c>
      <c r="O345" t="s">
        <v>37</v>
      </c>
      <c r="P345" s="24" t="s">
        <v>45</v>
      </c>
      <c r="Q345" s="19">
        <v>527.57</v>
      </c>
    </row>
    <row r="346" spans="1:17">
      <c r="A346" t="s">
        <v>1358</v>
      </c>
      <c r="B346" s="23">
        <v>45722</v>
      </c>
      <c r="C346" s="23" t="str">
        <f t="shared" si="15"/>
        <v>Mar</v>
      </c>
      <c r="D346" s="23" t="str">
        <f t="shared" si="16"/>
        <v>2025</v>
      </c>
      <c r="E346" s="23" t="str">
        <f t="shared" si="17"/>
        <v>Q1</v>
      </c>
      <c r="F346" t="s">
        <v>1359</v>
      </c>
      <c r="G346" s="24" t="s">
        <v>32</v>
      </c>
      <c r="H346" s="17">
        <v>3</v>
      </c>
      <c r="I346" s="19">
        <v>623.34</v>
      </c>
      <c r="J346" t="s">
        <v>1360</v>
      </c>
      <c r="K346" s="24" t="s">
        <v>27</v>
      </c>
      <c r="L346" s="24" t="s">
        <v>35</v>
      </c>
      <c r="M346" t="s">
        <v>1361</v>
      </c>
      <c r="N346" s="17">
        <v>3</v>
      </c>
      <c r="O346" t="s">
        <v>21</v>
      </c>
      <c r="P346" s="24" t="s">
        <v>22</v>
      </c>
      <c r="Q346" s="19">
        <v>1870.02</v>
      </c>
    </row>
    <row r="347" spans="1:17">
      <c r="A347" t="s">
        <v>1362</v>
      </c>
      <c r="B347" s="23">
        <v>45267</v>
      </c>
      <c r="C347" s="23" t="str">
        <f t="shared" si="15"/>
        <v>Dec</v>
      </c>
      <c r="D347" s="23" t="str">
        <f t="shared" si="16"/>
        <v>2023</v>
      </c>
      <c r="E347" s="23" t="str">
        <f t="shared" si="17"/>
        <v>Q4</v>
      </c>
      <c r="F347" t="s">
        <v>1363</v>
      </c>
      <c r="G347" s="24" t="s">
        <v>32</v>
      </c>
      <c r="H347" s="17">
        <v>5</v>
      </c>
      <c r="I347" s="19">
        <v>501.26</v>
      </c>
      <c r="J347" t="s">
        <v>1364</v>
      </c>
      <c r="K347" s="24" t="s">
        <v>60</v>
      </c>
      <c r="L347" s="24" t="s">
        <v>19</v>
      </c>
      <c r="M347" t="s">
        <v>1365</v>
      </c>
      <c r="N347" s="17">
        <v>10</v>
      </c>
      <c r="O347" t="s">
        <v>37</v>
      </c>
      <c r="P347" s="24" t="s">
        <v>29</v>
      </c>
      <c r="Q347" s="19">
        <v>2506.3</v>
      </c>
    </row>
    <row r="348" spans="1:17">
      <c r="A348" t="s">
        <v>1366</v>
      </c>
      <c r="B348" s="23">
        <v>45632</v>
      </c>
      <c r="C348" s="23" t="str">
        <f t="shared" si="15"/>
        <v>Dec</v>
      </c>
      <c r="D348" s="23" t="str">
        <f t="shared" si="16"/>
        <v>2024</v>
      </c>
      <c r="E348" s="23" t="str">
        <f t="shared" si="17"/>
        <v>Q4</v>
      </c>
      <c r="F348" t="s">
        <v>1367</v>
      </c>
      <c r="G348" s="24" t="s">
        <v>32</v>
      </c>
      <c r="H348" s="17">
        <v>1</v>
      </c>
      <c r="I348" s="19">
        <v>655.09</v>
      </c>
      <c r="J348" t="s">
        <v>1368</v>
      </c>
      <c r="K348" s="24" t="s">
        <v>65</v>
      </c>
      <c r="L348" s="24" t="s">
        <v>89</v>
      </c>
      <c r="M348" t="s">
        <v>1369</v>
      </c>
      <c r="N348" s="17">
        <v>6</v>
      </c>
      <c r="O348" t="s">
        <v>4295</v>
      </c>
      <c r="P348" s="24" t="s">
        <v>29</v>
      </c>
      <c r="Q348" s="19">
        <v>655.09</v>
      </c>
    </row>
    <row r="349" spans="1:17">
      <c r="A349" t="s">
        <v>1370</v>
      </c>
      <c r="B349" s="23">
        <v>45325</v>
      </c>
      <c r="C349" s="23" t="str">
        <f t="shared" si="15"/>
        <v>Feb</v>
      </c>
      <c r="D349" s="23" t="str">
        <f t="shared" si="16"/>
        <v>2024</v>
      </c>
      <c r="E349" s="23" t="str">
        <f t="shared" si="17"/>
        <v>Q1</v>
      </c>
      <c r="F349" t="s">
        <v>1371</v>
      </c>
      <c r="G349" s="24" t="s">
        <v>48</v>
      </c>
      <c r="H349" s="17">
        <v>4</v>
      </c>
      <c r="I349" s="19">
        <v>264.79</v>
      </c>
      <c r="J349" t="s">
        <v>1372</v>
      </c>
      <c r="K349" s="24" t="s">
        <v>34</v>
      </c>
      <c r="L349" s="24" t="s">
        <v>89</v>
      </c>
      <c r="M349" t="s">
        <v>1373</v>
      </c>
      <c r="N349" s="17">
        <v>5</v>
      </c>
      <c r="O349" t="s">
        <v>21</v>
      </c>
      <c r="P349" s="24" t="s">
        <v>76</v>
      </c>
      <c r="Q349" s="19">
        <v>1059.16</v>
      </c>
    </row>
    <row r="350" spans="1:17">
      <c r="A350" t="s">
        <v>1374</v>
      </c>
      <c r="B350" s="23">
        <v>45364</v>
      </c>
      <c r="C350" s="23" t="str">
        <f t="shared" si="15"/>
        <v>Mar</v>
      </c>
      <c r="D350" s="23" t="str">
        <f t="shared" si="16"/>
        <v>2024</v>
      </c>
      <c r="E350" s="23" t="str">
        <f t="shared" si="17"/>
        <v>Q1</v>
      </c>
      <c r="F350" t="s">
        <v>1375</v>
      </c>
      <c r="G350" s="24" t="s">
        <v>58</v>
      </c>
      <c r="H350" s="17">
        <v>3</v>
      </c>
      <c r="I350" s="19">
        <v>359.73</v>
      </c>
      <c r="J350" t="s">
        <v>1376</v>
      </c>
      <c r="K350" s="24" t="s">
        <v>18</v>
      </c>
      <c r="L350" s="24" t="s">
        <v>43</v>
      </c>
      <c r="M350" t="s">
        <v>1377</v>
      </c>
      <c r="N350" s="17">
        <v>7</v>
      </c>
      <c r="O350" t="s">
        <v>37</v>
      </c>
      <c r="P350" s="24" t="s">
        <v>38</v>
      </c>
      <c r="Q350" s="19">
        <v>1079.19</v>
      </c>
    </row>
    <row r="351" spans="1:17">
      <c r="A351" t="s">
        <v>1378</v>
      </c>
      <c r="B351" s="23">
        <v>45260</v>
      </c>
      <c r="C351" s="23" t="str">
        <f t="shared" si="15"/>
        <v>Nov</v>
      </c>
      <c r="D351" s="23" t="str">
        <f t="shared" si="16"/>
        <v>2023</v>
      </c>
      <c r="E351" s="23" t="str">
        <f t="shared" si="17"/>
        <v>Q4</v>
      </c>
      <c r="F351" t="s">
        <v>1379</v>
      </c>
      <c r="G351" s="24" t="s">
        <v>41</v>
      </c>
      <c r="H351" s="17">
        <v>1</v>
      </c>
      <c r="I351" s="19">
        <v>465.33</v>
      </c>
      <c r="J351" t="s">
        <v>1380</v>
      </c>
      <c r="K351" s="24" t="s">
        <v>60</v>
      </c>
      <c r="L351" s="24" t="s">
        <v>50</v>
      </c>
      <c r="M351" t="s">
        <v>1381</v>
      </c>
      <c r="N351" s="17">
        <v>2</v>
      </c>
      <c r="O351" t="s">
        <v>37</v>
      </c>
      <c r="P351" s="24" t="s">
        <v>76</v>
      </c>
      <c r="Q351" s="19">
        <v>465.33</v>
      </c>
    </row>
    <row r="352" spans="1:17">
      <c r="A352" t="s">
        <v>1382</v>
      </c>
      <c r="B352" s="23">
        <v>45080</v>
      </c>
      <c r="C352" s="23" t="str">
        <f t="shared" si="15"/>
        <v>Jun</v>
      </c>
      <c r="D352" s="23" t="str">
        <f t="shared" si="16"/>
        <v>2023</v>
      </c>
      <c r="E352" s="23" t="str">
        <f t="shared" si="17"/>
        <v>Q2</v>
      </c>
      <c r="F352" t="s">
        <v>1383</v>
      </c>
      <c r="G352" s="24" t="s">
        <v>41</v>
      </c>
      <c r="H352" s="17">
        <v>2</v>
      </c>
      <c r="I352" s="19">
        <v>54.41</v>
      </c>
      <c r="J352" t="s">
        <v>1384</v>
      </c>
      <c r="K352" s="24" t="s">
        <v>27</v>
      </c>
      <c r="L352" s="24" t="s">
        <v>19</v>
      </c>
      <c r="M352" t="s">
        <v>1385</v>
      </c>
      <c r="N352" s="17">
        <v>6</v>
      </c>
      <c r="O352" t="s">
        <v>4295</v>
      </c>
      <c r="P352" s="24" t="s">
        <v>22</v>
      </c>
      <c r="Q352" s="19">
        <v>108.82</v>
      </c>
    </row>
    <row r="353" spans="1:17">
      <c r="A353" t="s">
        <v>1386</v>
      </c>
      <c r="B353" s="23">
        <v>45703</v>
      </c>
      <c r="C353" s="23" t="str">
        <f t="shared" si="15"/>
        <v>Feb</v>
      </c>
      <c r="D353" s="23" t="str">
        <f t="shared" si="16"/>
        <v>2025</v>
      </c>
      <c r="E353" s="23" t="str">
        <f t="shared" si="17"/>
        <v>Q1</v>
      </c>
      <c r="F353" t="s">
        <v>1387</v>
      </c>
      <c r="G353" s="24" t="s">
        <v>58</v>
      </c>
      <c r="H353" s="17">
        <v>1</v>
      </c>
      <c r="I353" s="19">
        <v>64.66</v>
      </c>
      <c r="J353" t="s">
        <v>1388</v>
      </c>
      <c r="K353" s="24" t="s">
        <v>18</v>
      </c>
      <c r="L353" s="24" t="s">
        <v>50</v>
      </c>
      <c r="M353" t="s">
        <v>1389</v>
      </c>
      <c r="N353" s="17">
        <v>4</v>
      </c>
      <c r="O353" t="s">
        <v>4295</v>
      </c>
      <c r="P353" s="24" t="s">
        <v>22</v>
      </c>
      <c r="Q353" s="19">
        <v>64.66</v>
      </c>
    </row>
    <row r="354" spans="1:17">
      <c r="A354" t="s">
        <v>1390</v>
      </c>
      <c r="B354" s="23">
        <v>45169</v>
      </c>
      <c r="C354" s="23" t="str">
        <f t="shared" si="15"/>
        <v>Aug</v>
      </c>
      <c r="D354" s="23" t="str">
        <f t="shared" si="16"/>
        <v>2023</v>
      </c>
      <c r="E354" s="23" t="str">
        <f t="shared" si="17"/>
        <v>Q3</v>
      </c>
      <c r="F354" t="s">
        <v>1391</v>
      </c>
      <c r="G354" s="24" t="s">
        <v>41</v>
      </c>
      <c r="H354" s="17">
        <v>5</v>
      </c>
      <c r="I354" s="19">
        <v>173.96</v>
      </c>
      <c r="J354" t="s">
        <v>1392</v>
      </c>
      <c r="K354" s="24" t="s">
        <v>18</v>
      </c>
      <c r="L354" s="24" t="s">
        <v>89</v>
      </c>
      <c r="M354" t="s">
        <v>1393</v>
      </c>
      <c r="N354" s="17">
        <v>8</v>
      </c>
      <c r="O354" t="s">
        <v>81</v>
      </c>
      <c r="P354" s="24" t="s">
        <v>22</v>
      </c>
      <c r="Q354" s="19">
        <v>869.8</v>
      </c>
    </row>
    <row r="355" spans="1:17">
      <c r="A355" t="s">
        <v>1394</v>
      </c>
      <c r="B355" s="23">
        <v>45744</v>
      </c>
      <c r="C355" s="23" t="str">
        <f t="shared" si="15"/>
        <v>Mar</v>
      </c>
      <c r="D355" s="23" t="str">
        <f t="shared" si="16"/>
        <v>2025</v>
      </c>
      <c r="E355" s="23" t="str">
        <f t="shared" si="17"/>
        <v>Q1</v>
      </c>
      <c r="F355" t="s">
        <v>1395</v>
      </c>
      <c r="G355" s="24" t="s">
        <v>32</v>
      </c>
      <c r="H355" s="17">
        <v>1</v>
      </c>
      <c r="I355" s="19">
        <v>630.82</v>
      </c>
      <c r="J355" t="s">
        <v>1396</v>
      </c>
      <c r="K355" s="24" t="s">
        <v>27</v>
      </c>
      <c r="L355" s="24" t="s">
        <v>50</v>
      </c>
      <c r="M355" t="s">
        <v>1397</v>
      </c>
      <c r="N355" s="17">
        <v>5</v>
      </c>
      <c r="O355" t="s">
        <v>37</v>
      </c>
      <c r="P355" s="24" t="s">
        <v>76</v>
      </c>
      <c r="Q355" s="19">
        <v>630.82</v>
      </c>
    </row>
    <row r="356" spans="1:17">
      <c r="A356" t="s">
        <v>1398</v>
      </c>
      <c r="B356" s="23">
        <v>45118</v>
      </c>
      <c r="C356" s="23" t="str">
        <f t="shared" si="15"/>
        <v>Jul</v>
      </c>
      <c r="D356" s="23" t="str">
        <f t="shared" si="16"/>
        <v>2023</v>
      </c>
      <c r="E356" s="23" t="str">
        <f t="shared" si="17"/>
        <v>Q3</v>
      </c>
      <c r="F356" t="s">
        <v>1399</v>
      </c>
      <c r="G356" s="24" t="s">
        <v>25</v>
      </c>
      <c r="H356" s="17">
        <v>1</v>
      </c>
      <c r="I356" s="19">
        <v>693.41</v>
      </c>
      <c r="J356" t="s">
        <v>1400</v>
      </c>
      <c r="K356" s="24" t="s">
        <v>18</v>
      </c>
      <c r="L356" s="24" t="s">
        <v>19</v>
      </c>
      <c r="M356" t="s">
        <v>1401</v>
      </c>
      <c r="N356" s="17">
        <v>4</v>
      </c>
      <c r="O356" t="s">
        <v>4295</v>
      </c>
      <c r="P356" s="24" t="s">
        <v>22</v>
      </c>
      <c r="Q356" s="19">
        <v>693.41</v>
      </c>
    </row>
    <row r="357" spans="1:17">
      <c r="A357" t="s">
        <v>1402</v>
      </c>
      <c r="B357" s="23">
        <v>45811</v>
      </c>
      <c r="C357" s="23" t="str">
        <f t="shared" si="15"/>
        <v>Jun</v>
      </c>
      <c r="D357" s="23" t="str">
        <f t="shared" si="16"/>
        <v>2025</v>
      </c>
      <c r="E357" s="23" t="str">
        <f t="shared" si="17"/>
        <v>Q2</v>
      </c>
      <c r="F357" t="s">
        <v>1403</v>
      </c>
      <c r="G357" s="24" t="s">
        <v>32</v>
      </c>
      <c r="H357" s="17">
        <v>3</v>
      </c>
      <c r="I357" s="19">
        <v>433.33</v>
      </c>
      <c r="J357" t="s">
        <v>1404</v>
      </c>
      <c r="K357" s="24" t="s">
        <v>34</v>
      </c>
      <c r="L357" s="24" t="s">
        <v>35</v>
      </c>
      <c r="M357" t="s">
        <v>1405</v>
      </c>
      <c r="N357" s="17">
        <v>4</v>
      </c>
      <c r="O357" t="s">
        <v>37</v>
      </c>
      <c r="P357" s="24" t="s">
        <v>29</v>
      </c>
      <c r="Q357" s="19">
        <v>1299.99</v>
      </c>
    </row>
    <row r="358" spans="1:17">
      <c r="A358" t="s">
        <v>1406</v>
      </c>
      <c r="B358" s="23">
        <v>45052</v>
      </c>
      <c r="C358" s="23" t="str">
        <f t="shared" si="15"/>
        <v>May</v>
      </c>
      <c r="D358" s="23" t="str">
        <f t="shared" si="16"/>
        <v>2023</v>
      </c>
      <c r="E358" s="23" t="str">
        <f t="shared" si="17"/>
        <v>Q2</v>
      </c>
      <c r="F358" t="s">
        <v>1407</v>
      </c>
      <c r="G358" s="24" t="s">
        <v>48</v>
      </c>
      <c r="H358" s="17">
        <v>5</v>
      </c>
      <c r="I358" s="19">
        <v>374.58</v>
      </c>
      <c r="J358" t="s">
        <v>1408</v>
      </c>
      <c r="K358" s="24" t="s">
        <v>60</v>
      </c>
      <c r="L358" s="24" t="s">
        <v>35</v>
      </c>
      <c r="M358" t="s">
        <v>1409</v>
      </c>
      <c r="N358" s="17">
        <v>10</v>
      </c>
      <c r="O358" t="s">
        <v>37</v>
      </c>
      <c r="P358" s="24" t="s">
        <v>22</v>
      </c>
      <c r="Q358" s="19">
        <v>1872.9</v>
      </c>
    </row>
    <row r="359" spans="1:17">
      <c r="A359" t="s">
        <v>1410</v>
      </c>
      <c r="B359" s="23">
        <v>45115</v>
      </c>
      <c r="C359" s="23" t="str">
        <f t="shared" si="15"/>
        <v>Jul</v>
      </c>
      <c r="D359" s="23" t="str">
        <f t="shared" si="16"/>
        <v>2023</v>
      </c>
      <c r="E359" s="23" t="str">
        <f t="shared" si="17"/>
        <v>Q3</v>
      </c>
      <c r="F359" t="s">
        <v>1411</v>
      </c>
      <c r="G359" s="24" t="s">
        <v>58</v>
      </c>
      <c r="H359" s="17">
        <v>5</v>
      </c>
      <c r="I359" s="19">
        <v>408.56</v>
      </c>
      <c r="J359" t="s">
        <v>1340</v>
      </c>
      <c r="K359" s="24" t="s">
        <v>18</v>
      </c>
      <c r="L359" s="24" t="s">
        <v>50</v>
      </c>
      <c r="M359" t="s">
        <v>1412</v>
      </c>
      <c r="N359" s="17">
        <v>8</v>
      </c>
      <c r="O359" t="s">
        <v>37</v>
      </c>
      <c r="P359" s="24" t="s">
        <v>22</v>
      </c>
      <c r="Q359" s="19">
        <v>2042.8</v>
      </c>
    </row>
    <row r="360" spans="1:17">
      <c r="A360" t="s">
        <v>1413</v>
      </c>
      <c r="B360" s="23">
        <v>45389</v>
      </c>
      <c r="C360" s="23" t="str">
        <f t="shared" si="15"/>
        <v>Apr</v>
      </c>
      <c r="D360" s="23" t="str">
        <f t="shared" si="16"/>
        <v>2024</v>
      </c>
      <c r="E360" s="23" t="str">
        <f t="shared" si="17"/>
        <v>Q2</v>
      </c>
      <c r="F360" t="s">
        <v>1414</v>
      </c>
      <c r="G360" s="24" t="s">
        <v>32</v>
      </c>
      <c r="H360" s="17">
        <v>2</v>
      </c>
      <c r="I360" s="19">
        <v>183.67</v>
      </c>
      <c r="J360" t="s">
        <v>1415</v>
      </c>
      <c r="K360" s="24" t="s">
        <v>27</v>
      </c>
      <c r="L360" s="24" t="s">
        <v>35</v>
      </c>
      <c r="M360" t="s">
        <v>1416</v>
      </c>
      <c r="N360" s="17">
        <v>3</v>
      </c>
      <c r="O360" t="s">
        <v>21</v>
      </c>
      <c r="P360" s="24" t="s">
        <v>76</v>
      </c>
      <c r="Q360" s="19">
        <v>367.34</v>
      </c>
    </row>
    <row r="361" spans="1:17">
      <c r="A361" t="s">
        <v>1417</v>
      </c>
      <c r="B361" s="23">
        <v>45086</v>
      </c>
      <c r="C361" s="23" t="str">
        <f t="shared" si="15"/>
        <v>Jun</v>
      </c>
      <c r="D361" s="23" t="str">
        <f t="shared" si="16"/>
        <v>2023</v>
      </c>
      <c r="E361" s="23" t="str">
        <f t="shared" si="17"/>
        <v>Q2</v>
      </c>
      <c r="F361" t="s">
        <v>1418</v>
      </c>
      <c r="G361" s="24" t="s">
        <v>73</v>
      </c>
      <c r="H361" s="17">
        <v>4</v>
      </c>
      <c r="I361" s="19">
        <v>606.57</v>
      </c>
      <c r="J361" t="s">
        <v>1419</v>
      </c>
      <c r="K361" s="24" t="s">
        <v>18</v>
      </c>
      <c r="L361" s="24" t="s">
        <v>50</v>
      </c>
      <c r="M361" t="s">
        <v>1420</v>
      </c>
      <c r="N361" s="17">
        <v>5</v>
      </c>
      <c r="O361" t="s">
        <v>81</v>
      </c>
      <c r="P361" s="24" t="s">
        <v>29</v>
      </c>
      <c r="Q361" s="19">
        <v>2426.28</v>
      </c>
    </row>
    <row r="362" spans="1:17">
      <c r="A362" t="s">
        <v>1421</v>
      </c>
      <c r="B362" s="23">
        <v>45449</v>
      </c>
      <c r="C362" s="23" t="str">
        <f t="shared" si="15"/>
        <v>Jun</v>
      </c>
      <c r="D362" s="23" t="str">
        <f t="shared" si="16"/>
        <v>2024</v>
      </c>
      <c r="E362" s="23" t="str">
        <f t="shared" si="17"/>
        <v>Q2</v>
      </c>
      <c r="F362" t="s">
        <v>1422</v>
      </c>
      <c r="G362" s="24" t="s">
        <v>25</v>
      </c>
      <c r="H362" s="17">
        <v>4</v>
      </c>
      <c r="I362" s="19">
        <v>589.57</v>
      </c>
      <c r="J362" t="s">
        <v>1423</v>
      </c>
      <c r="K362" s="24" t="s">
        <v>65</v>
      </c>
      <c r="L362" s="24" t="s">
        <v>89</v>
      </c>
      <c r="M362" t="s">
        <v>1424</v>
      </c>
      <c r="N362" s="17">
        <v>8</v>
      </c>
      <c r="O362" t="s">
        <v>4295</v>
      </c>
      <c r="P362" s="24" t="s">
        <v>22</v>
      </c>
      <c r="Q362" s="19">
        <v>2358.28</v>
      </c>
    </row>
    <row r="363" spans="1:17">
      <c r="A363" t="s">
        <v>1425</v>
      </c>
      <c r="B363" s="23">
        <v>45472</v>
      </c>
      <c r="C363" s="23" t="str">
        <f t="shared" si="15"/>
        <v>Jun</v>
      </c>
      <c r="D363" s="23" t="str">
        <f t="shared" si="16"/>
        <v>2024</v>
      </c>
      <c r="E363" s="23" t="str">
        <f t="shared" si="17"/>
        <v>Q2</v>
      </c>
      <c r="F363" t="s">
        <v>1426</v>
      </c>
      <c r="G363" s="24" t="s">
        <v>48</v>
      </c>
      <c r="H363" s="17">
        <v>5</v>
      </c>
      <c r="I363" s="19">
        <v>659.85</v>
      </c>
      <c r="J363" t="s">
        <v>1427</v>
      </c>
      <c r="K363" s="24" t="s">
        <v>34</v>
      </c>
      <c r="L363" s="24" t="s">
        <v>50</v>
      </c>
      <c r="M363" t="s">
        <v>1428</v>
      </c>
      <c r="N363" s="17">
        <v>9</v>
      </c>
      <c r="O363" t="s">
        <v>21</v>
      </c>
      <c r="P363" s="24" t="s">
        <v>45</v>
      </c>
      <c r="Q363" s="19">
        <v>3299.25</v>
      </c>
    </row>
    <row r="364" spans="1:17">
      <c r="A364" t="s">
        <v>1429</v>
      </c>
      <c r="B364" s="23">
        <v>45104</v>
      </c>
      <c r="C364" s="23" t="str">
        <f t="shared" si="15"/>
        <v>Jun</v>
      </c>
      <c r="D364" s="23" t="str">
        <f t="shared" si="16"/>
        <v>2023</v>
      </c>
      <c r="E364" s="23" t="str">
        <f t="shared" si="17"/>
        <v>Q2</v>
      </c>
      <c r="F364" t="s">
        <v>1430</v>
      </c>
      <c r="G364" s="24" t="s">
        <v>16</v>
      </c>
      <c r="H364" s="17">
        <v>4</v>
      </c>
      <c r="I364" s="19">
        <v>206.84</v>
      </c>
      <c r="J364" t="s">
        <v>1431</v>
      </c>
      <c r="K364" s="24" t="s">
        <v>65</v>
      </c>
      <c r="L364" s="24" t="s">
        <v>35</v>
      </c>
      <c r="M364" t="s">
        <v>1432</v>
      </c>
      <c r="N364" s="17">
        <v>5</v>
      </c>
      <c r="O364" t="s">
        <v>81</v>
      </c>
      <c r="P364" s="24" t="s">
        <v>22</v>
      </c>
      <c r="Q364" s="19">
        <v>827.36</v>
      </c>
    </row>
    <row r="365" spans="1:17">
      <c r="A365" t="s">
        <v>1433</v>
      </c>
      <c r="B365" s="23">
        <v>45436</v>
      </c>
      <c r="C365" s="23" t="str">
        <f t="shared" si="15"/>
        <v>May</v>
      </c>
      <c r="D365" s="23" t="str">
        <f t="shared" si="16"/>
        <v>2024</v>
      </c>
      <c r="E365" s="23" t="str">
        <f t="shared" si="17"/>
        <v>Q2</v>
      </c>
      <c r="F365" t="s">
        <v>1434</v>
      </c>
      <c r="G365" s="24" t="s">
        <v>58</v>
      </c>
      <c r="H365" s="17">
        <v>5</v>
      </c>
      <c r="I365" s="19">
        <v>113.87</v>
      </c>
      <c r="J365" t="s">
        <v>212</v>
      </c>
      <c r="K365" s="24" t="s">
        <v>34</v>
      </c>
      <c r="L365" s="24" t="s">
        <v>89</v>
      </c>
      <c r="M365" t="s">
        <v>1435</v>
      </c>
      <c r="N365" s="17">
        <v>6</v>
      </c>
      <c r="O365" t="s">
        <v>21</v>
      </c>
      <c r="P365" s="24" t="s">
        <v>38</v>
      </c>
      <c r="Q365" s="19">
        <v>569.35</v>
      </c>
    </row>
    <row r="366" spans="1:17">
      <c r="A366" t="s">
        <v>1436</v>
      </c>
      <c r="B366" s="23">
        <v>45254</v>
      </c>
      <c r="C366" s="23" t="str">
        <f t="shared" si="15"/>
        <v>Nov</v>
      </c>
      <c r="D366" s="23" t="str">
        <f t="shared" si="16"/>
        <v>2023</v>
      </c>
      <c r="E366" s="23" t="str">
        <f t="shared" si="17"/>
        <v>Q4</v>
      </c>
      <c r="F366" t="s">
        <v>1437</v>
      </c>
      <c r="G366" s="24" t="s">
        <v>25</v>
      </c>
      <c r="H366" s="17">
        <v>5</v>
      </c>
      <c r="I366" s="19">
        <v>628.74</v>
      </c>
      <c r="J366" t="s">
        <v>1121</v>
      </c>
      <c r="K366" s="24" t="s">
        <v>65</v>
      </c>
      <c r="L366" s="24" t="s">
        <v>35</v>
      </c>
      <c r="M366" t="s">
        <v>1438</v>
      </c>
      <c r="N366" s="17">
        <v>9</v>
      </c>
      <c r="O366" t="s">
        <v>37</v>
      </c>
      <c r="P366" s="24" t="s">
        <v>45</v>
      </c>
      <c r="Q366" s="19">
        <v>3143.7</v>
      </c>
    </row>
    <row r="367" spans="1:17">
      <c r="A367" t="s">
        <v>1439</v>
      </c>
      <c r="B367" s="23">
        <v>45702</v>
      </c>
      <c r="C367" s="23" t="str">
        <f t="shared" si="15"/>
        <v>Feb</v>
      </c>
      <c r="D367" s="23" t="str">
        <f t="shared" si="16"/>
        <v>2025</v>
      </c>
      <c r="E367" s="23" t="str">
        <f t="shared" si="17"/>
        <v>Q1</v>
      </c>
      <c r="F367" t="s">
        <v>1440</v>
      </c>
      <c r="G367" s="24" t="s">
        <v>25</v>
      </c>
      <c r="H367" s="17">
        <v>1</v>
      </c>
      <c r="I367" s="19">
        <v>678.38</v>
      </c>
      <c r="J367" t="s">
        <v>1313</v>
      </c>
      <c r="K367" s="24" t="s">
        <v>34</v>
      </c>
      <c r="L367" s="24" t="s">
        <v>35</v>
      </c>
      <c r="M367" t="s">
        <v>1441</v>
      </c>
      <c r="N367" s="17">
        <v>4</v>
      </c>
      <c r="O367" t="s">
        <v>21</v>
      </c>
      <c r="P367" s="24" t="s">
        <v>29</v>
      </c>
      <c r="Q367" s="19">
        <v>678.38</v>
      </c>
    </row>
    <row r="368" spans="1:17">
      <c r="A368" t="s">
        <v>1442</v>
      </c>
      <c r="B368" s="23">
        <v>44967</v>
      </c>
      <c r="C368" s="23" t="str">
        <f t="shared" si="15"/>
        <v>Feb</v>
      </c>
      <c r="D368" s="23" t="str">
        <f t="shared" si="16"/>
        <v>2023</v>
      </c>
      <c r="E368" s="23" t="str">
        <f t="shared" si="17"/>
        <v>Q1</v>
      </c>
      <c r="F368" t="s">
        <v>1443</v>
      </c>
      <c r="G368" s="24" t="s">
        <v>48</v>
      </c>
      <c r="H368" s="17">
        <v>3</v>
      </c>
      <c r="I368" s="19">
        <v>602.24</v>
      </c>
      <c r="J368" t="s">
        <v>1444</v>
      </c>
      <c r="K368" s="24" t="s">
        <v>18</v>
      </c>
      <c r="L368" s="24" t="s">
        <v>89</v>
      </c>
      <c r="M368" t="s">
        <v>1445</v>
      </c>
      <c r="N368" s="17">
        <v>8</v>
      </c>
      <c r="O368" t="s">
        <v>4295</v>
      </c>
      <c r="P368" s="24" t="s">
        <v>29</v>
      </c>
      <c r="Q368" s="19">
        <v>1806.72</v>
      </c>
    </row>
    <row r="369" spans="1:17">
      <c r="A369" t="s">
        <v>1446</v>
      </c>
      <c r="B369" s="23">
        <v>45407</v>
      </c>
      <c r="C369" s="23" t="str">
        <f t="shared" si="15"/>
        <v>Apr</v>
      </c>
      <c r="D369" s="23" t="str">
        <f t="shared" si="16"/>
        <v>2024</v>
      </c>
      <c r="E369" s="23" t="str">
        <f t="shared" si="17"/>
        <v>Q2</v>
      </c>
      <c r="F369" t="s">
        <v>1447</v>
      </c>
      <c r="G369" s="24" t="s">
        <v>58</v>
      </c>
      <c r="H369" s="17">
        <v>5</v>
      </c>
      <c r="I369" s="19">
        <v>658.77</v>
      </c>
      <c r="J369" t="s">
        <v>1032</v>
      </c>
      <c r="K369" s="24" t="s">
        <v>60</v>
      </c>
      <c r="L369" s="24" t="s">
        <v>89</v>
      </c>
      <c r="M369" t="s">
        <v>1448</v>
      </c>
      <c r="N369" s="17">
        <v>10</v>
      </c>
      <c r="O369" t="s">
        <v>37</v>
      </c>
      <c r="P369" s="24" t="s">
        <v>22</v>
      </c>
      <c r="Q369" s="19">
        <v>3293.85</v>
      </c>
    </row>
    <row r="370" spans="1:17">
      <c r="A370" t="s">
        <v>1449</v>
      </c>
      <c r="B370" s="23">
        <v>45047</v>
      </c>
      <c r="C370" s="23" t="str">
        <f t="shared" si="15"/>
        <v>May</v>
      </c>
      <c r="D370" s="23" t="str">
        <f t="shared" si="16"/>
        <v>2023</v>
      </c>
      <c r="E370" s="23" t="str">
        <f t="shared" si="17"/>
        <v>Q2</v>
      </c>
      <c r="F370" t="s">
        <v>1450</v>
      </c>
      <c r="G370" s="24" t="s">
        <v>16</v>
      </c>
      <c r="H370" s="17">
        <v>3</v>
      </c>
      <c r="I370" s="19">
        <v>271.02</v>
      </c>
      <c r="J370" t="s">
        <v>1451</v>
      </c>
      <c r="K370" s="24" t="s">
        <v>34</v>
      </c>
      <c r="L370" s="24" t="s">
        <v>35</v>
      </c>
      <c r="M370" t="s">
        <v>1452</v>
      </c>
      <c r="N370" s="17">
        <v>6</v>
      </c>
      <c r="O370" t="s">
        <v>4295</v>
      </c>
      <c r="P370" s="24" t="s">
        <v>76</v>
      </c>
      <c r="Q370" s="19">
        <v>813.06</v>
      </c>
    </row>
    <row r="371" spans="1:17">
      <c r="A371" t="s">
        <v>1453</v>
      </c>
      <c r="B371" s="23">
        <v>45648</v>
      </c>
      <c r="C371" s="23" t="str">
        <f t="shared" si="15"/>
        <v>Dec</v>
      </c>
      <c r="D371" s="23" t="str">
        <f t="shared" si="16"/>
        <v>2024</v>
      </c>
      <c r="E371" s="23" t="str">
        <f t="shared" si="17"/>
        <v>Q4</v>
      </c>
      <c r="F371" t="s">
        <v>1454</v>
      </c>
      <c r="G371" s="24" t="s">
        <v>16</v>
      </c>
      <c r="H371" s="17">
        <v>5</v>
      </c>
      <c r="I371" s="19">
        <v>375.25</v>
      </c>
      <c r="J371" t="s">
        <v>1455</v>
      </c>
      <c r="K371" s="24" t="s">
        <v>60</v>
      </c>
      <c r="L371" s="24" t="s">
        <v>89</v>
      </c>
      <c r="M371" t="s">
        <v>1456</v>
      </c>
      <c r="N371" s="17">
        <v>9</v>
      </c>
      <c r="O371" t="s">
        <v>21</v>
      </c>
      <c r="P371" s="24" t="s">
        <v>38</v>
      </c>
      <c r="Q371" s="19">
        <v>1876.25</v>
      </c>
    </row>
    <row r="372" spans="1:17">
      <c r="A372" t="s">
        <v>1457</v>
      </c>
      <c r="B372" s="23">
        <v>45780</v>
      </c>
      <c r="C372" s="23" t="str">
        <f t="shared" si="15"/>
        <v>May</v>
      </c>
      <c r="D372" s="23" t="str">
        <f t="shared" si="16"/>
        <v>2025</v>
      </c>
      <c r="E372" s="23" t="str">
        <f t="shared" si="17"/>
        <v>Q2</v>
      </c>
      <c r="F372" t="s">
        <v>1458</v>
      </c>
      <c r="G372" s="24" t="s">
        <v>25</v>
      </c>
      <c r="H372" s="17">
        <v>1</v>
      </c>
      <c r="I372" s="19">
        <v>312.11</v>
      </c>
      <c r="J372" t="s">
        <v>1459</v>
      </c>
      <c r="K372" s="24" t="s">
        <v>27</v>
      </c>
      <c r="L372" s="24" t="s">
        <v>35</v>
      </c>
      <c r="M372" t="s">
        <v>1460</v>
      </c>
      <c r="N372" s="17">
        <v>4</v>
      </c>
      <c r="O372" t="s">
        <v>81</v>
      </c>
      <c r="P372" s="24" t="s">
        <v>45</v>
      </c>
      <c r="Q372" s="19">
        <v>312.11</v>
      </c>
    </row>
    <row r="373" spans="1:17">
      <c r="A373" t="s">
        <v>1461</v>
      </c>
      <c r="B373" s="23">
        <v>44931</v>
      </c>
      <c r="C373" s="23" t="str">
        <f t="shared" si="15"/>
        <v>Jan</v>
      </c>
      <c r="D373" s="23" t="str">
        <f t="shared" si="16"/>
        <v>2023</v>
      </c>
      <c r="E373" s="23" t="str">
        <f t="shared" si="17"/>
        <v>Q1</v>
      </c>
      <c r="F373" t="s">
        <v>1462</v>
      </c>
      <c r="G373" s="24" t="s">
        <v>25</v>
      </c>
      <c r="H373" s="17">
        <v>5</v>
      </c>
      <c r="I373" s="19">
        <v>307.76</v>
      </c>
      <c r="J373" t="s">
        <v>88</v>
      </c>
      <c r="K373" s="24" t="s">
        <v>60</v>
      </c>
      <c r="L373" s="24" t="s">
        <v>89</v>
      </c>
      <c r="M373" t="s">
        <v>1463</v>
      </c>
      <c r="N373" s="17">
        <v>9</v>
      </c>
      <c r="O373" t="s">
        <v>37</v>
      </c>
      <c r="P373" s="24" t="s">
        <v>76</v>
      </c>
      <c r="Q373" s="19">
        <v>1538.8</v>
      </c>
    </row>
    <row r="374" spans="1:17">
      <c r="A374" t="s">
        <v>1464</v>
      </c>
      <c r="B374" s="23">
        <v>45702</v>
      </c>
      <c r="C374" s="23" t="str">
        <f t="shared" si="15"/>
        <v>Feb</v>
      </c>
      <c r="D374" s="23" t="str">
        <f t="shared" si="16"/>
        <v>2025</v>
      </c>
      <c r="E374" s="23" t="str">
        <f t="shared" si="17"/>
        <v>Q1</v>
      </c>
      <c r="F374" t="s">
        <v>1465</v>
      </c>
      <c r="G374" s="24" t="s">
        <v>41</v>
      </c>
      <c r="H374" s="17">
        <v>3</v>
      </c>
      <c r="I374" s="19">
        <v>483.53</v>
      </c>
      <c r="J374" t="s">
        <v>1466</v>
      </c>
      <c r="K374" s="24" t="s">
        <v>65</v>
      </c>
      <c r="L374" s="24" t="s">
        <v>43</v>
      </c>
      <c r="M374" t="s">
        <v>1467</v>
      </c>
      <c r="N374" s="17">
        <v>4</v>
      </c>
      <c r="O374" t="s">
        <v>4295</v>
      </c>
      <c r="P374" s="24" t="s">
        <v>29</v>
      </c>
      <c r="Q374" s="19">
        <v>1450.59</v>
      </c>
    </row>
    <row r="375" spans="1:17">
      <c r="A375" t="s">
        <v>1468</v>
      </c>
      <c r="B375" s="23">
        <v>44928</v>
      </c>
      <c r="C375" s="23" t="str">
        <f t="shared" si="15"/>
        <v>Jan</v>
      </c>
      <c r="D375" s="23" t="str">
        <f t="shared" si="16"/>
        <v>2023</v>
      </c>
      <c r="E375" s="23" t="str">
        <f t="shared" si="17"/>
        <v>Q1</v>
      </c>
      <c r="F375" t="s">
        <v>1469</v>
      </c>
      <c r="G375" s="24" t="s">
        <v>58</v>
      </c>
      <c r="H375" s="17">
        <v>3</v>
      </c>
      <c r="I375" s="19">
        <v>341.15</v>
      </c>
      <c r="J375" t="s">
        <v>1470</v>
      </c>
      <c r="K375" s="24" t="s">
        <v>65</v>
      </c>
      <c r="L375" s="24" t="s">
        <v>89</v>
      </c>
      <c r="M375" t="s">
        <v>1471</v>
      </c>
      <c r="N375" s="17">
        <v>4</v>
      </c>
      <c r="O375" t="s">
        <v>37</v>
      </c>
      <c r="P375" s="24" t="s">
        <v>22</v>
      </c>
      <c r="Q375" s="19">
        <v>1023.45</v>
      </c>
    </row>
    <row r="376" spans="1:17">
      <c r="A376" t="s">
        <v>1472</v>
      </c>
      <c r="B376" s="23">
        <v>45551</v>
      </c>
      <c r="C376" s="23" t="str">
        <f t="shared" si="15"/>
        <v>Sep</v>
      </c>
      <c r="D376" s="23" t="str">
        <f t="shared" si="16"/>
        <v>2024</v>
      </c>
      <c r="E376" s="23" t="str">
        <f t="shared" si="17"/>
        <v>Q3</v>
      </c>
      <c r="F376" t="s">
        <v>1473</v>
      </c>
      <c r="G376" s="24" t="s">
        <v>16</v>
      </c>
      <c r="H376" s="17">
        <v>1</v>
      </c>
      <c r="I376" s="19">
        <v>571.9</v>
      </c>
      <c r="J376" t="s">
        <v>327</v>
      </c>
      <c r="K376" s="24" t="s">
        <v>60</v>
      </c>
      <c r="L376" s="24" t="s">
        <v>89</v>
      </c>
      <c r="M376" t="s">
        <v>1474</v>
      </c>
      <c r="N376" s="17">
        <v>1</v>
      </c>
      <c r="O376" t="s">
        <v>81</v>
      </c>
      <c r="P376" s="24" t="s">
        <v>22</v>
      </c>
      <c r="Q376" s="19">
        <v>571.9</v>
      </c>
    </row>
    <row r="377" spans="1:17">
      <c r="A377" t="s">
        <v>1475</v>
      </c>
      <c r="B377" s="23">
        <v>45673</v>
      </c>
      <c r="C377" s="23" t="str">
        <f t="shared" si="15"/>
        <v>Jan</v>
      </c>
      <c r="D377" s="23" t="str">
        <f t="shared" si="16"/>
        <v>2025</v>
      </c>
      <c r="E377" s="23" t="str">
        <f t="shared" si="17"/>
        <v>Q1</v>
      </c>
      <c r="F377" t="s">
        <v>1476</v>
      </c>
      <c r="G377" s="24" t="s">
        <v>16</v>
      </c>
      <c r="H377" s="17">
        <v>4</v>
      </c>
      <c r="I377" s="19">
        <v>95.03</v>
      </c>
      <c r="J377" t="s">
        <v>1477</v>
      </c>
      <c r="K377" s="24" t="s">
        <v>27</v>
      </c>
      <c r="L377" s="24" t="s">
        <v>19</v>
      </c>
      <c r="M377" t="s">
        <v>1478</v>
      </c>
      <c r="N377" s="17">
        <v>8</v>
      </c>
      <c r="O377" t="s">
        <v>37</v>
      </c>
      <c r="P377" s="24" t="s">
        <v>45</v>
      </c>
      <c r="Q377" s="19">
        <v>380.12</v>
      </c>
    </row>
    <row r="378" spans="1:17">
      <c r="A378" t="s">
        <v>1479</v>
      </c>
      <c r="B378" s="23">
        <v>45162</v>
      </c>
      <c r="C378" s="23" t="str">
        <f t="shared" si="15"/>
        <v>Aug</v>
      </c>
      <c r="D378" s="23" t="str">
        <f t="shared" si="16"/>
        <v>2023</v>
      </c>
      <c r="E378" s="23" t="str">
        <f t="shared" si="17"/>
        <v>Q3</v>
      </c>
      <c r="F378" t="s">
        <v>1480</v>
      </c>
      <c r="G378" s="24" t="s">
        <v>16</v>
      </c>
      <c r="H378" s="17">
        <v>5</v>
      </c>
      <c r="I378" s="19">
        <v>201.22</v>
      </c>
      <c r="J378" t="s">
        <v>1481</v>
      </c>
      <c r="K378" s="24" t="s">
        <v>18</v>
      </c>
      <c r="L378" s="24" t="s">
        <v>89</v>
      </c>
      <c r="M378" t="s">
        <v>1482</v>
      </c>
      <c r="N378" s="17">
        <v>6</v>
      </c>
      <c r="O378" t="s">
        <v>37</v>
      </c>
      <c r="P378" s="24" t="s">
        <v>45</v>
      </c>
      <c r="Q378" s="19">
        <v>1006.1</v>
      </c>
    </row>
    <row r="379" spans="1:17">
      <c r="A379" t="s">
        <v>1483</v>
      </c>
      <c r="B379" s="23">
        <v>45495</v>
      </c>
      <c r="C379" s="23" t="str">
        <f t="shared" si="15"/>
        <v>Jul</v>
      </c>
      <c r="D379" s="23" t="str">
        <f t="shared" si="16"/>
        <v>2024</v>
      </c>
      <c r="E379" s="23" t="str">
        <f t="shared" si="17"/>
        <v>Q3</v>
      </c>
      <c r="F379" t="s">
        <v>1484</v>
      </c>
      <c r="G379" s="24" t="s">
        <v>16</v>
      </c>
      <c r="H379" s="17">
        <v>1</v>
      </c>
      <c r="I379" s="19">
        <v>260.26</v>
      </c>
      <c r="J379" t="s">
        <v>1229</v>
      </c>
      <c r="K379" s="24" t="s">
        <v>27</v>
      </c>
      <c r="L379" s="24" t="s">
        <v>89</v>
      </c>
      <c r="M379" t="s">
        <v>1485</v>
      </c>
      <c r="N379" s="17">
        <v>5</v>
      </c>
      <c r="O379" t="s">
        <v>81</v>
      </c>
      <c r="P379" s="24" t="s">
        <v>22</v>
      </c>
      <c r="Q379" s="19">
        <v>260.26</v>
      </c>
    </row>
    <row r="380" spans="1:17">
      <c r="A380" t="s">
        <v>1486</v>
      </c>
      <c r="B380" s="23">
        <v>45323</v>
      </c>
      <c r="C380" s="23" t="str">
        <f t="shared" si="15"/>
        <v>Feb</v>
      </c>
      <c r="D380" s="23" t="str">
        <f t="shared" si="16"/>
        <v>2024</v>
      </c>
      <c r="E380" s="23" t="str">
        <f t="shared" si="17"/>
        <v>Q1</v>
      </c>
      <c r="F380" t="s">
        <v>1487</v>
      </c>
      <c r="G380" s="24" t="s">
        <v>41</v>
      </c>
      <c r="H380" s="17">
        <v>5</v>
      </c>
      <c r="I380" s="19">
        <v>64.5</v>
      </c>
      <c r="J380" t="s">
        <v>1488</v>
      </c>
      <c r="K380" s="24" t="s">
        <v>34</v>
      </c>
      <c r="L380" s="24" t="s">
        <v>89</v>
      </c>
      <c r="M380" t="s">
        <v>1489</v>
      </c>
      <c r="N380" s="17">
        <v>8</v>
      </c>
      <c r="O380" t="s">
        <v>81</v>
      </c>
      <c r="P380" s="24" t="s">
        <v>22</v>
      </c>
      <c r="Q380" s="19">
        <v>322.5</v>
      </c>
    </row>
    <row r="381" spans="1:17">
      <c r="A381" t="s">
        <v>1490</v>
      </c>
      <c r="B381" s="23">
        <v>45556</v>
      </c>
      <c r="C381" s="23" t="str">
        <f t="shared" si="15"/>
        <v>Sep</v>
      </c>
      <c r="D381" s="23" t="str">
        <f t="shared" si="16"/>
        <v>2024</v>
      </c>
      <c r="E381" s="23" t="str">
        <f t="shared" si="17"/>
        <v>Q3</v>
      </c>
      <c r="F381" t="s">
        <v>1491</v>
      </c>
      <c r="G381" s="24" t="s">
        <v>25</v>
      </c>
      <c r="H381" s="17">
        <v>3</v>
      </c>
      <c r="I381" s="19">
        <v>297.67</v>
      </c>
      <c r="J381" t="s">
        <v>739</v>
      </c>
      <c r="K381" s="24" t="s">
        <v>27</v>
      </c>
      <c r="L381" s="24" t="s">
        <v>19</v>
      </c>
      <c r="M381" t="s">
        <v>1492</v>
      </c>
      <c r="N381" s="17">
        <v>6</v>
      </c>
      <c r="O381" t="s">
        <v>4295</v>
      </c>
      <c r="P381" s="24" t="s">
        <v>76</v>
      </c>
      <c r="Q381" s="19">
        <v>893.01</v>
      </c>
    </row>
    <row r="382" spans="1:17">
      <c r="A382" t="s">
        <v>1493</v>
      </c>
      <c r="B382" s="23">
        <v>45402</v>
      </c>
      <c r="C382" s="23" t="str">
        <f t="shared" si="15"/>
        <v>Apr</v>
      </c>
      <c r="D382" s="23" t="str">
        <f t="shared" si="16"/>
        <v>2024</v>
      </c>
      <c r="E382" s="23" t="str">
        <f t="shared" si="17"/>
        <v>Q2</v>
      </c>
      <c r="F382" t="s">
        <v>1494</v>
      </c>
      <c r="G382" s="24" t="s">
        <v>48</v>
      </c>
      <c r="H382" s="17">
        <v>4</v>
      </c>
      <c r="I382" s="19">
        <v>331.9</v>
      </c>
      <c r="J382" t="s">
        <v>1081</v>
      </c>
      <c r="K382" s="24" t="s">
        <v>65</v>
      </c>
      <c r="L382" s="24" t="s">
        <v>89</v>
      </c>
      <c r="M382" t="s">
        <v>1495</v>
      </c>
      <c r="N382" s="17">
        <v>5</v>
      </c>
      <c r="O382" t="s">
        <v>21</v>
      </c>
      <c r="P382" s="24" t="s">
        <v>22</v>
      </c>
      <c r="Q382" s="19">
        <v>1327.6</v>
      </c>
    </row>
    <row r="383" spans="1:17">
      <c r="A383" t="s">
        <v>1496</v>
      </c>
      <c r="B383" s="23">
        <v>45084</v>
      </c>
      <c r="C383" s="23" t="str">
        <f t="shared" si="15"/>
        <v>Jun</v>
      </c>
      <c r="D383" s="23" t="str">
        <f t="shared" si="16"/>
        <v>2023</v>
      </c>
      <c r="E383" s="23" t="str">
        <f t="shared" si="17"/>
        <v>Q2</v>
      </c>
      <c r="F383" t="s">
        <v>1497</v>
      </c>
      <c r="G383" s="24" t="s">
        <v>41</v>
      </c>
      <c r="H383" s="17">
        <v>1</v>
      </c>
      <c r="I383" s="19">
        <v>191.76</v>
      </c>
      <c r="J383" t="s">
        <v>223</v>
      </c>
      <c r="K383" s="24" t="s">
        <v>34</v>
      </c>
      <c r="L383" s="24" t="s">
        <v>43</v>
      </c>
      <c r="M383" t="s">
        <v>1498</v>
      </c>
      <c r="N383" s="17">
        <v>1</v>
      </c>
      <c r="O383" t="s">
        <v>37</v>
      </c>
      <c r="P383" s="24" t="s">
        <v>22</v>
      </c>
      <c r="Q383" s="19">
        <v>191.76</v>
      </c>
    </row>
    <row r="384" spans="1:17">
      <c r="A384" t="s">
        <v>1499</v>
      </c>
      <c r="B384" s="23">
        <v>45687</v>
      </c>
      <c r="C384" s="23" t="str">
        <f t="shared" si="15"/>
        <v>Jan</v>
      </c>
      <c r="D384" s="23" t="str">
        <f t="shared" si="16"/>
        <v>2025</v>
      </c>
      <c r="E384" s="23" t="str">
        <f t="shared" si="17"/>
        <v>Q1</v>
      </c>
      <c r="F384" t="s">
        <v>1500</v>
      </c>
      <c r="G384" s="24" t="s">
        <v>48</v>
      </c>
      <c r="H384" s="17">
        <v>4</v>
      </c>
      <c r="I384" s="19">
        <v>263.09</v>
      </c>
      <c r="J384" t="s">
        <v>1501</v>
      </c>
      <c r="K384" s="24" t="s">
        <v>18</v>
      </c>
      <c r="L384" s="24" t="s">
        <v>19</v>
      </c>
      <c r="M384" t="s">
        <v>1502</v>
      </c>
      <c r="N384" s="17">
        <v>8</v>
      </c>
      <c r="O384" t="s">
        <v>21</v>
      </c>
      <c r="P384" s="24" t="s">
        <v>76</v>
      </c>
      <c r="Q384" s="19">
        <v>1052.36</v>
      </c>
    </row>
    <row r="385" spans="1:17">
      <c r="A385" t="s">
        <v>1503</v>
      </c>
      <c r="B385" s="23">
        <v>44946</v>
      </c>
      <c r="C385" s="23" t="str">
        <f t="shared" si="15"/>
        <v>Jan</v>
      </c>
      <c r="D385" s="23" t="str">
        <f t="shared" si="16"/>
        <v>2023</v>
      </c>
      <c r="E385" s="23" t="str">
        <f t="shared" si="17"/>
        <v>Q1</v>
      </c>
      <c r="F385" t="s">
        <v>1504</v>
      </c>
      <c r="G385" s="24" t="s">
        <v>41</v>
      </c>
      <c r="H385" s="17">
        <v>4</v>
      </c>
      <c r="I385" s="19">
        <v>393.8</v>
      </c>
      <c r="J385" t="s">
        <v>407</v>
      </c>
      <c r="K385" s="24" t="s">
        <v>34</v>
      </c>
      <c r="L385" s="24" t="s">
        <v>89</v>
      </c>
      <c r="M385" t="s">
        <v>1505</v>
      </c>
      <c r="N385" s="17">
        <v>7</v>
      </c>
      <c r="O385" t="s">
        <v>21</v>
      </c>
      <c r="P385" s="24" t="s">
        <v>38</v>
      </c>
      <c r="Q385" s="19">
        <v>1575.2</v>
      </c>
    </row>
    <row r="386" spans="1:17">
      <c r="A386" t="s">
        <v>1506</v>
      </c>
      <c r="B386" s="23">
        <v>45620</v>
      </c>
      <c r="C386" s="23" t="str">
        <f t="shared" ref="C386:C449" si="18">TEXT(B386,"MMM")</f>
        <v>Nov</v>
      </c>
      <c r="D386" s="23" t="str">
        <f t="shared" ref="D386:D449" si="19">TEXT(B386,"YYYY")</f>
        <v>2024</v>
      </c>
      <c r="E386" s="23" t="str">
        <f t="shared" ref="E386:E449" si="20">"Q"&amp;ROUNDUP(MONTH(B386)/3,0)</f>
        <v>Q4</v>
      </c>
      <c r="F386" t="s">
        <v>1507</v>
      </c>
      <c r="G386" s="24" t="s">
        <v>41</v>
      </c>
      <c r="H386" s="17">
        <v>3</v>
      </c>
      <c r="I386" s="19">
        <v>553.57</v>
      </c>
      <c r="J386" t="s">
        <v>1508</v>
      </c>
      <c r="K386" s="24" t="s">
        <v>34</v>
      </c>
      <c r="L386" s="24" t="s">
        <v>43</v>
      </c>
      <c r="M386" t="s">
        <v>1509</v>
      </c>
      <c r="N386" s="17">
        <v>4</v>
      </c>
      <c r="O386" t="s">
        <v>37</v>
      </c>
      <c r="P386" s="24" t="s">
        <v>45</v>
      </c>
      <c r="Q386" s="19">
        <v>1660.71</v>
      </c>
    </row>
    <row r="387" spans="1:17">
      <c r="A387" t="s">
        <v>1510</v>
      </c>
      <c r="B387" s="23">
        <v>45230</v>
      </c>
      <c r="C387" s="23" t="str">
        <f t="shared" si="18"/>
        <v>Oct</v>
      </c>
      <c r="D387" s="23" t="str">
        <f t="shared" si="19"/>
        <v>2023</v>
      </c>
      <c r="E387" s="23" t="str">
        <f t="shared" si="20"/>
        <v>Q4</v>
      </c>
      <c r="F387" t="s">
        <v>1511</v>
      </c>
      <c r="G387" s="24" t="s">
        <v>41</v>
      </c>
      <c r="H387" s="17">
        <v>5</v>
      </c>
      <c r="I387" s="19">
        <v>191.63</v>
      </c>
      <c r="J387" t="s">
        <v>293</v>
      </c>
      <c r="K387" s="24" t="s">
        <v>60</v>
      </c>
      <c r="L387" s="24" t="s">
        <v>50</v>
      </c>
      <c r="M387" t="s">
        <v>1512</v>
      </c>
      <c r="N387" s="17">
        <v>6</v>
      </c>
      <c r="O387" t="s">
        <v>37</v>
      </c>
      <c r="P387" s="24" t="s">
        <v>45</v>
      </c>
      <c r="Q387" s="19">
        <v>958.15</v>
      </c>
    </row>
    <row r="388" spans="1:17">
      <c r="A388" t="s">
        <v>1513</v>
      </c>
      <c r="B388" s="23">
        <v>45044</v>
      </c>
      <c r="C388" s="23" t="str">
        <f t="shared" si="18"/>
        <v>Apr</v>
      </c>
      <c r="D388" s="23" t="str">
        <f t="shared" si="19"/>
        <v>2023</v>
      </c>
      <c r="E388" s="23" t="str">
        <f t="shared" si="20"/>
        <v>Q2</v>
      </c>
      <c r="F388" t="s">
        <v>1514</v>
      </c>
      <c r="G388" s="24" t="s">
        <v>32</v>
      </c>
      <c r="H388" s="17">
        <v>1</v>
      </c>
      <c r="I388" s="19">
        <v>93.02</v>
      </c>
      <c r="J388" t="s">
        <v>1515</v>
      </c>
      <c r="K388" s="24" t="s">
        <v>27</v>
      </c>
      <c r="L388" s="24" t="s">
        <v>43</v>
      </c>
      <c r="M388" t="s">
        <v>1516</v>
      </c>
      <c r="N388" s="17">
        <v>4</v>
      </c>
      <c r="O388" t="s">
        <v>4295</v>
      </c>
      <c r="P388" s="24" t="s">
        <v>38</v>
      </c>
      <c r="Q388" s="19">
        <v>93.02</v>
      </c>
    </row>
    <row r="389" spans="1:17">
      <c r="A389" t="s">
        <v>1517</v>
      </c>
      <c r="B389" s="23">
        <v>45470</v>
      </c>
      <c r="C389" s="23" t="str">
        <f t="shared" si="18"/>
        <v>Jun</v>
      </c>
      <c r="D389" s="23" t="str">
        <f t="shared" si="19"/>
        <v>2024</v>
      </c>
      <c r="E389" s="23" t="str">
        <f t="shared" si="20"/>
        <v>Q2</v>
      </c>
      <c r="F389" t="s">
        <v>1518</v>
      </c>
      <c r="G389" s="24" t="s">
        <v>48</v>
      </c>
      <c r="H389" s="17">
        <v>2</v>
      </c>
      <c r="I389" s="19">
        <v>39.53</v>
      </c>
      <c r="J389" t="s">
        <v>69</v>
      </c>
      <c r="K389" s="24" t="s">
        <v>34</v>
      </c>
      <c r="L389" s="24" t="s">
        <v>19</v>
      </c>
      <c r="M389" t="s">
        <v>1519</v>
      </c>
      <c r="N389" s="17">
        <v>3</v>
      </c>
      <c r="O389" t="s">
        <v>81</v>
      </c>
      <c r="P389" s="24" t="s">
        <v>76</v>
      </c>
      <c r="Q389" s="19">
        <v>79.06</v>
      </c>
    </row>
    <row r="390" spans="1:17">
      <c r="A390" t="s">
        <v>1520</v>
      </c>
      <c r="B390" s="23">
        <v>45288</v>
      </c>
      <c r="C390" s="23" t="str">
        <f t="shared" si="18"/>
        <v>Dec</v>
      </c>
      <c r="D390" s="23" t="str">
        <f t="shared" si="19"/>
        <v>2023</v>
      </c>
      <c r="E390" s="23" t="str">
        <f t="shared" si="20"/>
        <v>Q4</v>
      </c>
      <c r="F390" t="s">
        <v>1521</v>
      </c>
      <c r="G390" s="24" t="s">
        <v>48</v>
      </c>
      <c r="H390" s="17">
        <v>3</v>
      </c>
      <c r="I390" s="19">
        <v>633.97</v>
      </c>
      <c r="J390" t="s">
        <v>438</v>
      </c>
      <c r="K390" s="24" t="s">
        <v>65</v>
      </c>
      <c r="L390" s="24" t="s">
        <v>89</v>
      </c>
      <c r="M390" t="s">
        <v>1522</v>
      </c>
      <c r="N390" s="17">
        <v>7</v>
      </c>
      <c r="O390" t="s">
        <v>81</v>
      </c>
      <c r="P390" s="24" t="s">
        <v>45</v>
      </c>
      <c r="Q390" s="19">
        <v>1901.91</v>
      </c>
    </row>
    <row r="391" spans="1:17">
      <c r="A391" t="s">
        <v>1523</v>
      </c>
      <c r="B391" s="23">
        <v>45277</v>
      </c>
      <c r="C391" s="23" t="str">
        <f t="shared" si="18"/>
        <v>Dec</v>
      </c>
      <c r="D391" s="23" t="str">
        <f t="shared" si="19"/>
        <v>2023</v>
      </c>
      <c r="E391" s="23" t="str">
        <f t="shared" si="20"/>
        <v>Q4</v>
      </c>
      <c r="F391" t="s">
        <v>1524</v>
      </c>
      <c r="G391" s="24" t="s">
        <v>73</v>
      </c>
      <c r="H391" s="17">
        <v>4</v>
      </c>
      <c r="I391" s="19">
        <v>697.5</v>
      </c>
      <c r="J391" t="s">
        <v>1525</v>
      </c>
      <c r="K391" s="24" t="s">
        <v>65</v>
      </c>
      <c r="L391" s="24" t="s">
        <v>19</v>
      </c>
      <c r="M391" t="s">
        <v>1526</v>
      </c>
      <c r="N391" s="17">
        <v>7</v>
      </c>
      <c r="O391" t="s">
        <v>37</v>
      </c>
      <c r="P391" s="24" t="s">
        <v>29</v>
      </c>
      <c r="Q391" s="19">
        <v>2790</v>
      </c>
    </row>
    <row r="392" spans="1:17">
      <c r="A392" t="s">
        <v>1527</v>
      </c>
      <c r="B392" s="23">
        <v>45121</v>
      </c>
      <c r="C392" s="23" t="str">
        <f t="shared" si="18"/>
        <v>Jul</v>
      </c>
      <c r="D392" s="23" t="str">
        <f t="shared" si="19"/>
        <v>2023</v>
      </c>
      <c r="E392" s="23" t="str">
        <f t="shared" si="20"/>
        <v>Q3</v>
      </c>
      <c r="F392" t="s">
        <v>1528</v>
      </c>
      <c r="G392" s="24" t="s">
        <v>48</v>
      </c>
      <c r="H392" s="17">
        <v>5</v>
      </c>
      <c r="I392" s="19">
        <v>508.69</v>
      </c>
      <c r="J392" t="s">
        <v>1376</v>
      </c>
      <c r="K392" s="24" t="s">
        <v>65</v>
      </c>
      <c r="L392" s="24" t="s">
        <v>50</v>
      </c>
      <c r="M392" t="s">
        <v>1529</v>
      </c>
      <c r="N392" s="17">
        <v>10</v>
      </c>
      <c r="O392" t="s">
        <v>37</v>
      </c>
      <c r="P392" s="24" t="s">
        <v>76</v>
      </c>
      <c r="Q392" s="19">
        <v>2543.45</v>
      </c>
    </row>
    <row r="393" spans="1:17">
      <c r="A393" t="s">
        <v>1530</v>
      </c>
      <c r="B393" s="23">
        <v>45673</v>
      </c>
      <c r="C393" s="23" t="str">
        <f t="shared" si="18"/>
        <v>Jan</v>
      </c>
      <c r="D393" s="23" t="str">
        <f t="shared" si="19"/>
        <v>2025</v>
      </c>
      <c r="E393" s="23" t="str">
        <f t="shared" si="20"/>
        <v>Q1</v>
      </c>
      <c r="F393" t="s">
        <v>1531</v>
      </c>
      <c r="G393" s="24" t="s">
        <v>58</v>
      </c>
      <c r="H393" s="17">
        <v>2</v>
      </c>
      <c r="I393" s="19">
        <v>527.46</v>
      </c>
      <c r="J393" t="s">
        <v>1137</v>
      </c>
      <c r="K393" s="24" t="s">
        <v>18</v>
      </c>
      <c r="L393" s="24" t="s">
        <v>35</v>
      </c>
      <c r="M393" t="s">
        <v>1532</v>
      </c>
      <c r="N393" s="17">
        <v>3</v>
      </c>
      <c r="O393" t="s">
        <v>37</v>
      </c>
      <c r="P393" s="24" t="s">
        <v>29</v>
      </c>
      <c r="Q393" s="19">
        <v>1054.92</v>
      </c>
    </row>
    <row r="394" spans="1:17">
      <c r="A394" t="s">
        <v>1533</v>
      </c>
      <c r="B394" s="23">
        <v>45350</v>
      </c>
      <c r="C394" s="23" t="str">
        <f t="shared" si="18"/>
        <v>Feb</v>
      </c>
      <c r="D394" s="23" t="str">
        <f t="shared" si="19"/>
        <v>2024</v>
      </c>
      <c r="E394" s="23" t="str">
        <f t="shared" si="20"/>
        <v>Q1</v>
      </c>
      <c r="F394" t="s">
        <v>1534</v>
      </c>
      <c r="G394" s="24" t="s">
        <v>25</v>
      </c>
      <c r="H394" s="17">
        <v>1</v>
      </c>
      <c r="I394" s="19">
        <v>627.2</v>
      </c>
      <c r="J394" t="s">
        <v>1427</v>
      </c>
      <c r="K394" s="24" t="s">
        <v>27</v>
      </c>
      <c r="L394" s="24" t="s">
        <v>50</v>
      </c>
      <c r="M394" t="s">
        <v>1535</v>
      </c>
      <c r="N394" s="17">
        <v>1</v>
      </c>
      <c r="O394" t="s">
        <v>81</v>
      </c>
      <c r="P394" s="24" t="s">
        <v>38</v>
      </c>
      <c r="Q394" s="19">
        <v>627.2</v>
      </c>
    </row>
    <row r="395" spans="1:17">
      <c r="A395" t="s">
        <v>1536</v>
      </c>
      <c r="B395" s="23">
        <v>45487</v>
      </c>
      <c r="C395" s="23" t="str">
        <f t="shared" si="18"/>
        <v>Jul</v>
      </c>
      <c r="D395" s="23" t="str">
        <f t="shared" si="19"/>
        <v>2024</v>
      </c>
      <c r="E395" s="23" t="str">
        <f t="shared" si="20"/>
        <v>Q3</v>
      </c>
      <c r="F395" t="s">
        <v>1537</v>
      </c>
      <c r="G395" s="24" t="s">
        <v>48</v>
      </c>
      <c r="H395" s="17">
        <v>1</v>
      </c>
      <c r="I395" s="19">
        <v>75.01</v>
      </c>
      <c r="J395" t="s">
        <v>1538</v>
      </c>
      <c r="K395" s="24" t="s">
        <v>34</v>
      </c>
      <c r="L395" s="24" t="s">
        <v>43</v>
      </c>
      <c r="M395" t="s">
        <v>1539</v>
      </c>
      <c r="N395" s="17">
        <v>3</v>
      </c>
      <c r="O395" t="s">
        <v>4295</v>
      </c>
      <c r="P395" s="24" t="s">
        <v>76</v>
      </c>
      <c r="Q395" s="19">
        <v>75.01</v>
      </c>
    </row>
    <row r="396" spans="1:17">
      <c r="A396" t="s">
        <v>1540</v>
      </c>
      <c r="B396" s="23">
        <v>45112</v>
      </c>
      <c r="C396" s="23" t="str">
        <f t="shared" si="18"/>
        <v>Jul</v>
      </c>
      <c r="D396" s="23" t="str">
        <f t="shared" si="19"/>
        <v>2023</v>
      </c>
      <c r="E396" s="23" t="str">
        <f t="shared" si="20"/>
        <v>Q3</v>
      </c>
      <c r="F396" t="s">
        <v>1541</v>
      </c>
      <c r="G396" s="24" t="s">
        <v>73</v>
      </c>
      <c r="H396" s="17">
        <v>5</v>
      </c>
      <c r="I396" s="19">
        <v>529.55</v>
      </c>
      <c r="J396" t="s">
        <v>1542</v>
      </c>
      <c r="K396" s="24" t="s">
        <v>60</v>
      </c>
      <c r="L396" s="24" t="s">
        <v>19</v>
      </c>
      <c r="M396" t="s">
        <v>1543</v>
      </c>
      <c r="N396" s="17">
        <v>10</v>
      </c>
      <c r="O396" t="s">
        <v>4295</v>
      </c>
      <c r="P396" s="24" t="s">
        <v>45</v>
      </c>
      <c r="Q396" s="19">
        <v>2647.75</v>
      </c>
    </row>
    <row r="397" spans="1:17">
      <c r="A397" t="s">
        <v>1544</v>
      </c>
      <c r="B397" s="23">
        <v>45772</v>
      </c>
      <c r="C397" s="23" t="str">
        <f t="shared" si="18"/>
        <v>Apr</v>
      </c>
      <c r="D397" s="23" t="str">
        <f t="shared" si="19"/>
        <v>2025</v>
      </c>
      <c r="E397" s="23" t="str">
        <f t="shared" si="20"/>
        <v>Q2</v>
      </c>
      <c r="F397" t="s">
        <v>1545</v>
      </c>
      <c r="G397" s="24" t="s">
        <v>25</v>
      </c>
      <c r="H397" s="17">
        <v>3</v>
      </c>
      <c r="I397" s="19">
        <v>127.41</v>
      </c>
      <c r="J397" t="s">
        <v>169</v>
      </c>
      <c r="K397" s="24" t="s">
        <v>60</v>
      </c>
      <c r="L397" s="24" t="s">
        <v>50</v>
      </c>
      <c r="M397" t="s">
        <v>1546</v>
      </c>
      <c r="N397" s="17">
        <v>7</v>
      </c>
      <c r="O397" t="s">
        <v>21</v>
      </c>
      <c r="P397" s="24" t="s">
        <v>29</v>
      </c>
      <c r="Q397" s="19">
        <v>382.23</v>
      </c>
    </row>
    <row r="398" spans="1:17">
      <c r="A398" t="s">
        <v>1547</v>
      </c>
      <c r="B398" s="23">
        <v>45261</v>
      </c>
      <c r="C398" s="23" t="str">
        <f t="shared" si="18"/>
        <v>Dec</v>
      </c>
      <c r="D398" s="23" t="str">
        <f t="shared" si="19"/>
        <v>2023</v>
      </c>
      <c r="E398" s="23" t="str">
        <f t="shared" si="20"/>
        <v>Q4</v>
      </c>
      <c r="F398" t="s">
        <v>1548</v>
      </c>
      <c r="G398" s="24" t="s">
        <v>32</v>
      </c>
      <c r="H398" s="17">
        <v>5</v>
      </c>
      <c r="I398" s="19">
        <v>287.13</v>
      </c>
      <c r="J398" t="s">
        <v>1549</v>
      </c>
      <c r="K398" s="24" t="s">
        <v>27</v>
      </c>
      <c r="L398" s="24" t="s">
        <v>19</v>
      </c>
      <c r="M398" t="s">
        <v>1550</v>
      </c>
      <c r="N398" s="17">
        <v>10</v>
      </c>
      <c r="O398" t="s">
        <v>21</v>
      </c>
      <c r="P398" s="24" t="s">
        <v>38</v>
      </c>
      <c r="Q398" s="19">
        <v>1435.65</v>
      </c>
    </row>
    <row r="399" spans="1:17">
      <c r="A399" t="s">
        <v>1551</v>
      </c>
      <c r="B399" s="23">
        <v>45197</v>
      </c>
      <c r="C399" s="23" t="str">
        <f t="shared" si="18"/>
        <v>Sep</v>
      </c>
      <c r="D399" s="23" t="str">
        <f t="shared" si="19"/>
        <v>2023</v>
      </c>
      <c r="E399" s="23" t="str">
        <f t="shared" si="20"/>
        <v>Q3</v>
      </c>
      <c r="F399" t="s">
        <v>1552</v>
      </c>
      <c r="G399" s="24" t="s">
        <v>16</v>
      </c>
      <c r="H399" s="17">
        <v>1</v>
      </c>
      <c r="I399" s="19">
        <v>427.06</v>
      </c>
      <c r="J399" t="s">
        <v>1553</v>
      </c>
      <c r="K399" s="24" t="s">
        <v>27</v>
      </c>
      <c r="L399" s="24" t="s">
        <v>35</v>
      </c>
      <c r="M399" t="s">
        <v>1554</v>
      </c>
      <c r="N399" s="17">
        <v>1</v>
      </c>
      <c r="O399" t="s">
        <v>81</v>
      </c>
      <c r="P399" s="24" t="s">
        <v>29</v>
      </c>
      <c r="Q399" s="19">
        <v>427.06</v>
      </c>
    </row>
    <row r="400" spans="1:17">
      <c r="A400" t="s">
        <v>1555</v>
      </c>
      <c r="B400" s="23">
        <v>45539</v>
      </c>
      <c r="C400" s="23" t="str">
        <f t="shared" si="18"/>
        <v>Sep</v>
      </c>
      <c r="D400" s="23" t="str">
        <f t="shared" si="19"/>
        <v>2024</v>
      </c>
      <c r="E400" s="23" t="str">
        <f t="shared" si="20"/>
        <v>Q3</v>
      </c>
      <c r="F400" t="s">
        <v>1556</v>
      </c>
      <c r="G400" s="24" t="s">
        <v>25</v>
      </c>
      <c r="H400" s="17">
        <v>5</v>
      </c>
      <c r="I400" s="19">
        <v>53.93</v>
      </c>
      <c r="J400" t="s">
        <v>841</v>
      </c>
      <c r="K400" s="24" t="s">
        <v>60</v>
      </c>
      <c r="L400" s="24" t="s">
        <v>19</v>
      </c>
      <c r="M400" t="s">
        <v>1557</v>
      </c>
      <c r="N400" s="17">
        <v>7</v>
      </c>
      <c r="O400" t="s">
        <v>21</v>
      </c>
      <c r="P400" s="24" t="s">
        <v>22</v>
      </c>
      <c r="Q400" s="19">
        <v>269.65</v>
      </c>
    </row>
    <row r="401" spans="1:17">
      <c r="A401" t="s">
        <v>1558</v>
      </c>
      <c r="B401" s="23">
        <v>45298</v>
      </c>
      <c r="C401" s="23" t="str">
        <f t="shared" si="18"/>
        <v>Jan</v>
      </c>
      <c r="D401" s="23" t="str">
        <f t="shared" si="19"/>
        <v>2024</v>
      </c>
      <c r="E401" s="23" t="str">
        <f t="shared" si="20"/>
        <v>Q1</v>
      </c>
      <c r="F401" t="s">
        <v>1559</v>
      </c>
      <c r="G401" s="24" t="s">
        <v>32</v>
      </c>
      <c r="H401" s="17">
        <v>5</v>
      </c>
      <c r="I401" s="19">
        <v>423.93</v>
      </c>
      <c r="J401" t="s">
        <v>1560</v>
      </c>
      <c r="K401" s="24" t="s">
        <v>18</v>
      </c>
      <c r="L401" s="24" t="s">
        <v>43</v>
      </c>
      <c r="M401" t="s">
        <v>1561</v>
      </c>
      <c r="N401" s="17">
        <v>5</v>
      </c>
      <c r="O401" t="s">
        <v>37</v>
      </c>
      <c r="P401" s="24" t="s">
        <v>45</v>
      </c>
      <c r="Q401" s="19">
        <v>2119.65</v>
      </c>
    </row>
    <row r="402" spans="1:17">
      <c r="A402" t="s">
        <v>1562</v>
      </c>
      <c r="B402" s="23">
        <v>45563</v>
      </c>
      <c r="C402" s="23" t="str">
        <f t="shared" si="18"/>
        <v>Sep</v>
      </c>
      <c r="D402" s="23" t="str">
        <f t="shared" si="19"/>
        <v>2024</v>
      </c>
      <c r="E402" s="23" t="str">
        <f t="shared" si="20"/>
        <v>Q3</v>
      </c>
      <c r="F402" t="s">
        <v>1563</v>
      </c>
      <c r="G402" s="24" t="s">
        <v>73</v>
      </c>
      <c r="H402" s="17">
        <v>4</v>
      </c>
      <c r="I402" s="19">
        <v>160.22</v>
      </c>
      <c r="J402" t="s">
        <v>1564</v>
      </c>
      <c r="K402" s="24" t="s">
        <v>18</v>
      </c>
      <c r="L402" s="24" t="s">
        <v>43</v>
      </c>
      <c r="M402" t="s">
        <v>1565</v>
      </c>
      <c r="N402" s="17">
        <v>9</v>
      </c>
      <c r="O402" t="s">
        <v>81</v>
      </c>
      <c r="P402" s="24" t="s">
        <v>22</v>
      </c>
      <c r="Q402" s="19">
        <v>640.88</v>
      </c>
    </row>
    <row r="403" spans="1:17">
      <c r="A403" t="s">
        <v>1566</v>
      </c>
      <c r="B403" s="23">
        <v>45756</v>
      </c>
      <c r="C403" s="23" t="str">
        <f t="shared" si="18"/>
        <v>Apr</v>
      </c>
      <c r="D403" s="23" t="str">
        <f t="shared" si="19"/>
        <v>2025</v>
      </c>
      <c r="E403" s="23" t="str">
        <f t="shared" si="20"/>
        <v>Q2</v>
      </c>
      <c r="F403" t="s">
        <v>1567</v>
      </c>
      <c r="G403" s="24" t="s">
        <v>48</v>
      </c>
      <c r="H403" s="17">
        <v>1</v>
      </c>
      <c r="I403" s="19">
        <v>538.68</v>
      </c>
      <c r="J403" t="s">
        <v>1427</v>
      </c>
      <c r="K403" s="24" t="s">
        <v>18</v>
      </c>
      <c r="L403" s="24" t="s">
        <v>43</v>
      </c>
      <c r="M403" t="s">
        <v>1568</v>
      </c>
      <c r="N403" s="17">
        <v>6</v>
      </c>
      <c r="O403" t="s">
        <v>4295</v>
      </c>
      <c r="P403" s="24" t="s">
        <v>29</v>
      </c>
      <c r="Q403" s="19">
        <v>538.68</v>
      </c>
    </row>
    <row r="404" spans="1:17">
      <c r="A404" t="s">
        <v>1569</v>
      </c>
      <c r="B404" s="23">
        <v>45025</v>
      </c>
      <c r="C404" s="23" t="str">
        <f t="shared" si="18"/>
        <v>Apr</v>
      </c>
      <c r="D404" s="23" t="str">
        <f t="shared" si="19"/>
        <v>2023</v>
      </c>
      <c r="E404" s="23" t="str">
        <f t="shared" si="20"/>
        <v>Q2</v>
      </c>
      <c r="F404" t="s">
        <v>1570</v>
      </c>
      <c r="G404" s="24" t="s">
        <v>48</v>
      </c>
      <c r="H404" s="17">
        <v>5</v>
      </c>
      <c r="I404" s="19">
        <v>337.38</v>
      </c>
      <c r="J404" t="s">
        <v>1571</v>
      </c>
      <c r="K404" s="24" t="s">
        <v>60</v>
      </c>
      <c r="L404" s="24" t="s">
        <v>19</v>
      </c>
      <c r="M404" t="s">
        <v>1572</v>
      </c>
      <c r="N404" s="17">
        <v>5</v>
      </c>
      <c r="O404" t="s">
        <v>4295</v>
      </c>
      <c r="P404" s="24" t="s">
        <v>29</v>
      </c>
      <c r="Q404" s="19">
        <v>1686.9</v>
      </c>
    </row>
    <row r="405" spans="1:17">
      <c r="A405" t="s">
        <v>1573</v>
      </c>
      <c r="B405" s="23">
        <v>45606</v>
      </c>
      <c r="C405" s="23" t="str">
        <f t="shared" si="18"/>
        <v>Nov</v>
      </c>
      <c r="D405" s="23" t="str">
        <f t="shared" si="19"/>
        <v>2024</v>
      </c>
      <c r="E405" s="23" t="str">
        <f t="shared" si="20"/>
        <v>Q4</v>
      </c>
      <c r="F405" t="s">
        <v>1574</v>
      </c>
      <c r="G405" s="24" t="s">
        <v>32</v>
      </c>
      <c r="H405" s="17">
        <v>1</v>
      </c>
      <c r="I405" s="19">
        <v>620.21</v>
      </c>
      <c r="J405" t="s">
        <v>1121</v>
      </c>
      <c r="K405" s="24" t="s">
        <v>27</v>
      </c>
      <c r="L405" s="24" t="s">
        <v>43</v>
      </c>
      <c r="M405" t="s">
        <v>1575</v>
      </c>
      <c r="N405" s="17">
        <v>1</v>
      </c>
      <c r="O405" t="s">
        <v>37</v>
      </c>
      <c r="P405" s="24" t="s">
        <v>29</v>
      </c>
      <c r="Q405" s="19">
        <v>620.21</v>
      </c>
    </row>
    <row r="406" spans="1:17">
      <c r="A406" t="s">
        <v>1576</v>
      </c>
      <c r="B406" s="23">
        <v>44994</v>
      </c>
      <c r="C406" s="23" t="str">
        <f t="shared" si="18"/>
        <v>Mar</v>
      </c>
      <c r="D406" s="23" t="str">
        <f t="shared" si="19"/>
        <v>2023</v>
      </c>
      <c r="E406" s="23" t="str">
        <f t="shared" si="20"/>
        <v>Q1</v>
      </c>
      <c r="F406" t="s">
        <v>1577</v>
      </c>
      <c r="G406" s="24" t="s">
        <v>16</v>
      </c>
      <c r="H406" s="17">
        <v>2</v>
      </c>
      <c r="I406" s="19">
        <v>99.1</v>
      </c>
      <c r="J406" t="s">
        <v>305</v>
      </c>
      <c r="K406" s="24" t="s">
        <v>65</v>
      </c>
      <c r="L406" s="24" t="s">
        <v>50</v>
      </c>
      <c r="M406" t="s">
        <v>1578</v>
      </c>
      <c r="N406" s="17">
        <v>6</v>
      </c>
      <c r="O406" t="s">
        <v>4295</v>
      </c>
      <c r="P406" s="24" t="s">
        <v>22</v>
      </c>
      <c r="Q406" s="19">
        <v>198.2</v>
      </c>
    </row>
    <row r="407" spans="1:17">
      <c r="A407" t="s">
        <v>1579</v>
      </c>
      <c r="B407" s="23">
        <v>45683</v>
      </c>
      <c r="C407" s="23" t="str">
        <f t="shared" si="18"/>
        <v>Jan</v>
      </c>
      <c r="D407" s="23" t="str">
        <f t="shared" si="19"/>
        <v>2025</v>
      </c>
      <c r="E407" s="23" t="str">
        <f t="shared" si="20"/>
        <v>Q1</v>
      </c>
      <c r="F407" t="s">
        <v>1580</v>
      </c>
      <c r="G407" s="24" t="s">
        <v>16</v>
      </c>
      <c r="H407" s="17">
        <v>4</v>
      </c>
      <c r="I407" s="19">
        <v>451.97</v>
      </c>
      <c r="J407" t="s">
        <v>1444</v>
      </c>
      <c r="K407" s="24" t="s">
        <v>27</v>
      </c>
      <c r="L407" s="24" t="s">
        <v>35</v>
      </c>
      <c r="M407" t="s">
        <v>1581</v>
      </c>
      <c r="N407" s="17">
        <v>7</v>
      </c>
      <c r="O407" t="s">
        <v>81</v>
      </c>
      <c r="P407" s="24" t="s">
        <v>38</v>
      </c>
      <c r="Q407" s="19">
        <v>1807.88</v>
      </c>
    </row>
    <row r="408" spans="1:17">
      <c r="A408" t="s">
        <v>1582</v>
      </c>
      <c r="B408" s="23">
        <v>45270</v>
      </c>
      <c r="C408" s="23" t="str">
        <f t="shared" si="18"/>
        <v>Dec</v>
      </c>
      <c r="D408" s="23" t="str">
        <f t="shared" si="19"/>
        <v>2023</v>
      </c>
      <c r="E408" s="23" t="str">
        <f t="shared" si="20"/>
        <v>Q4</v>
      </c>
      <c r="F408" t="s">
        <v>1583</v>
      </c>
      <c r="G408" s="24" t="s">
        <v>32</v>
      </c>
      <c r="H408" s="17">
        <v>4</v>
      </c>
      <c r="I408" s="19">
        <v>66.1</v>
      </c>
      <c r="J408" t="s">
        <v>763</v>
      </c>
      <c r="K408" s="24" t="s">
        <v>65</v>
      </c>
      <c r="L408" s="24" t="s">
        <v>43</v>
      </c>
      <c r="M408" t="s">
        <v>1584</v>
      </c>
      <c r="N408" s="17">
        <v>9</v>
      </c>
      <c r="O408" t="s">
        <v>81</v>
      </c>
      <c r="P408" s="24" t="s">
        <v>76</v>
      </c>
      <c r="Q408" s="19">
        <v>264.4</v>
      </c>
    </row>
    <row r="409" spans="1:17">
      <c r="A409" t="s">
        <v>1585</v>
      </c>
      <c r="B409" s="23">
        <v>45151</v>
      </c>
      <c r="C409" s="23" t="str">
        <f t="shared" si="18"/>
        <v>Aug</v>
      </c>
      <c r="D409" s="23" t="str">
        <f t="shared" si="19"/>
        <v>2023</v>
      </c>
      <c r="E409" s="23" t="str">
        <f t="shared" si="20"/>
        <v>Q3</v>
      </c>
      <c r="F409" t="s">
        <v>1586</v>
      </c>
      <c r="G409" s="24" t="s">
        <v>32</v>
      </c>
      <c r="H409" s="17">
        <v>4</v>
      </c>
      <c r="I409" s="19">
        <v>547.32</v>
      </c>
      <c r="J409" t="s">
        <v>1054</v>
      </c>
      <c r="K409" s="24" t="s">
        <v>65</v>
      </c>
      <c r="L409" s="24" t="s">
        <v>43</v>
      </c>
      <c r="M409" t="s">
        <v>1587</v>
      </c>
      <c r="N409" s="17">
        <v>8</v>
      </c>
      <c r="O409" t="s">
        <v>37</v>
      </c>
      <c r="P409" s="24" t="s">
        <v>22</v>
      </c>
      <c r="Q409" s="19">
        <v>2189.28</v>
      </c>
    </row>
    <row r="410" spans="1:17">
      <c r="A410" t="s">
        <v>1588</v>
      </c>
      <c r="B410" s="23">
        <v>45658</v>
      </c>
      <c r="C410" s="23" t="str">
        <f t="shared" si="18"/>
        <v>Jan</v>
      </c>
      <c r="D410" s="23" t="str">
        <f t="shared" si="19"/>
        <v>2025</v>
      </c>
      <c r="E410" s="23" t="str">
        <f t="shared" si="20"/>
        <v>Q1</v>
      </c>
      <c r="F410" t="s">
        <v>1589</v>
      </c>
      <c r="G410" s="24" t="s">
        <v>48</v>
      </c>
      <c r="H410" s="17">
        <v>3</v>
      </c>
      <c r="I410" s="19">
        <v>412.53</v>
      </c>
      <c r="J410" t="s">
        <v>1590</v>
      </c>
      <c r="K410" s="24" t="s">
        <v>27</v>
      </c>
      <c r="L410" s="24" t="s">
        <v>89</v>
      </c>
      <c r="M410" t="s">
        <v>1591</v>
      </c>
      <c r="N410" s="17">
        <v>6</v>
      </c>
      <c r="O410" t="s">
        <v>81</v>
      </c>
      <c r="P410" s="24" t="s">
        <v>76</v>
      </c>
      <c r="Q410" s="19">
        <v>1237.59</v>
      </c>
    </row>
    <row r="411" spans="1:17">
      <c r="A411" t="s">
        <v>1592</v>
      </c>
      <c r="B411" s="23">
        <v>45105</v>
      </c>
      <c r="C411" s="23" t="str">
        <f t="shared" si="18"/>
        <v>Jun</v>
      </c>
      <c r="D411" s="23" t="str">
        <f t="shared" si="19"/>
        <v>2023</v>
      </c>
      <c r="E411" s="23" t="str">
        <f t="shared" si="20"/>
        <v>Q2</v>
      </c>
      <c r="F411" t="s">
        <v>1593</v>
      </c>
      <c r="G411" s="24" t="s">
        <v>73</v>
      </c>
      <c r="H411" s="17">
        <v>5</v>
      </c>
      <c r="I411" s="19">
        <v>84.13</v>
      </c>
      <c r="J411" t="s">
        <v>1594</v>
      </c>
      <c r="K411" s="24" t="s">
        <v>27</v>
      </c>
      <c r="L411" s="24" t="s">
        <v>50</v>
      </c>
      <c r="M411" t="s">
        <v>1595</v>
      </c>
      <c r="N411" s="17">
        <v>9</v>
      </c>
      <c r="O411" t="s">
        <v>21</v>
      </c>
      <c r="P411" s="24" t="s">
        <v>76</v>
      </c>
      <c r="Q411" s="19">
        <v>420.65</v>
      </c>
    </row>
    <row r="412" spans="1:17">
      <c r="A412" t="s">
        <v>1596</v>
      </c>
      <c r="B412" s="23">
        <v>45309</v>
      </c>
      <c r="C412" s="23" t="str">
        <f t="shared" si="18"/>
        <v>Jan</v>
      </c>
      <c r="D412" s="23" t="str">
        <f t="shared" si="19"/>
        <v>2024</v>
      </c>
      <c r="E412" s="23" t="str">
        <f t="shared" si="20"/>
        <v>Q1</v>
      </c>
      <c r="F412" t="s">
        <v>1597</v>
      </c>
      <c r="G412" s="24" t="s">
        <v>32</v>
      </c>
      <c r="H412" s="17">
        <v>2</v>
      </c>
      <c r="I412" s="19">
        <v>518.23</v>
      </c>
      <c r="J412" t="s">
        <v>1598</v>
      </c>
      <c r="K412" s="24" t="s">
        <v>18</v>
      </c>
      <c r="L412" s="24" t="s">
        <v>19</v>
      </c>
      <c r="M412" t="s">
        <v>1599</v>
      </c>
      <c r="N412" s="17">
        <v>5</v>
      </c>
      <c r="O412" t="s">
        <v>4295</v>
      </c>
      <c r="P412" s="24" t="s">
        <v>38</v>
      </c>
      <c r="Q412" s="19">
        <v>1036.46</v>
      </c>
    </row>
    <row r="413" spans="1:17">
      <c r="A413" t="s">
        <v>1600</v>
      </c>
      <c r="B413" s="23">
        <v>45462</v>
      </c>
      <c r="C413" s="23" t="str">
        <f t="shared" si="18"/>
        <v>Jun</v>
      </c>
      <c r="D413" s="23" t="str">
        <f t="shared" si="19"/>
        <v>2024</v>
      </c>
      <c r="E413" s="23" t="str">
        <f t="shared" si="20"/>
        <v>Q2</v>
      </c>
      <c r="F413" t="s">
        <v>1601</v>
      </c>
      <c r="G413" s="24" t="s">
        <v>73</v>
      </c>
      <c r="H413" s="17">
        <v>2</v>
      </c>
      <c r="I413" s="19">
        <v>39.51</v>
      </c>
      <c r="J413" t="s">
        <v>630</v>
      </c>
      <c r="K413" s="24" t="s">
        <v>27</v>
      </c>
      <c r="L413" s="24" t="s">
        <v>19</v>
      </c>
      <c r="M413" t="s">
        <v>1602</v>
      </c>
      <c r="N413" s="17">
        <v>5</v>
      </c>
      <c r="O413" t="s">
        <v>4295</v>
      </c>
      <c r="P413" s="24" t="s">
        <v>45</v>
      </c>
      <c r="Q413" s="19">
        <v>79.02</v>
      </c>
    </row>
    <row r="414" spans="1:17">
      <c r="A414" t="s">
        <v>1603</v>
      </c>
      <c r="B414" s="23">
        <v>45758</v>
      </c>
      <c r="C414" s="23" t="str">
        <f t="shared" si="18"/>
        <v>Apr</v>
      </c>
      <c r="D414" s="23" t="str">
        <f t="shared" si="19"/>
        <v>2025</v>
      </c>
      <c r="E414" s="23" t="str">
        <f t="shared" si="20"/>
        <v>Q2</v>
      </c>
      <c r="F414" t="s">
        <v>1604</v>
      </c>
      <c r="G414" s="24" t="s">
        <v>32</v>
      </c>
      <c r="H414" s="17">
        <v>5</v>
      </c>
      <c r="I414" s="19">
        <v>133.01</v>
      </c>
      <c r="J414" t="s">
        <v>1605</v>
      </c>
      <c r="K414" s="24" t="s">
        <v>34</v>
      </c>
      <c r="L414" s="24" t="s">
        <v>43</v>
      </c>
      <c r="M414" t="s">
        <v>1606</v>
      </c>
      <c r="N414" s="17">
        <v>10</v>
      </c>
      <c r="O414" t="s">
        <v>4295</v>
      </c>
      <c r="P414" s="24" t="s">
        <v>45</v>
      </c>
      <c r="Q414" s="19">
        <v>665.05</v>
      </c>
    </row>
    <row r="415" spans="1:17">
      <c r="A415" t="s">
        <v>1607</v>
      </c>
      <c r="B415" s="23">
        <v>45207</v>
      </c>
      <c r="C415" s="23" t="str">
        <f t="shared" si="18"/>
        <v>Oct</v>
      </c>
      <c r="D415" s="23" t="str">
        <f t="shared" si="19"/>
        <v>2023</v>
      </c>
      <c r="E415" s="23" t="str">
        <f t="shared" si="20"/>
        <v>Q4</v>
      </c>
      <c r="F415" t="s">
        <v>1608</v>
      </c>
      <c r="G415" s="24" t="s">
        <v>32</v>
      </c>
      <c r="H415" s="17">
        <v>1</v>
      </c>
      <c r="I415" s="19">
        <v>118.8</v>
      </c>
      <c r="J415" t="s">
        <v>1609</v>
      </c>
      <c r="K415" s="24" t="s">
        <v>27</v>
      </c>
      <c r="L415" s="24" t="s">
        <v>50</v>
      </c>
      <c r="M415" t="s">
        <v>1610</v>
      </c>
      <c r="N415" s="17">
        <v>6</v>
      </c>
      <c r="O415" t="s">
        <v>21</v>
      </c>
      <c r="P415" s="24" t="s">
        <v>38</v>
      </c>
      <c r="Q415" s="19">
        <v>118.8</v>
      </c>
    </row>
    <row r="416" spans="1:17">
      <c r="A416" t="s">
        <v>1611</v>
      </c>
      <c r="B416" s="23">
        <v>45781</v>
      </c>
      <c r="C416" s="23" t="str">
        <f t="shared" si="18"/>
        <v>May</v>
      </c>
      <c r="D416" s="23" t="str">
        <f t="shared" si="19"/>
        <v>2025</v>
      </c>
      <c r="E416" s="23" t="str">
        <f t="shared" si="20"/>
        <v>Q2</v>
      </c>
      <c r="F416" t="s">
        <v>1612</v>
      </c>
      <c r="G416" s="24" t="s">
        <v>73</v>
      </c>
      <c r="H416" s="17">
        <v>2</v>
      </c>
      <c r="I416" s="19">
        <v>139.57</v>
      </c>
      <c r="J416" t="s">
        <v>1613</v>
      </c>
      <c r="K416" s="24" t="s">
        <v>65</v>
      </c>
      <c r="L416" s="24" t="s">
        <v>50</v>
      </c>
      <c r="M416" t="s">
        <v>1614</v>
      </c>
      <c r="N416" s="17">
        <v>4</v>
      </c>
      <c r="O416" t="s">
        <v>81</v>
      </c>
      <c r="P416" s="24" t="s">
        <v>45</v>
      </c>
      <c r="Q416" s="19">
        <v>279.14</v>
      </c>
    </row>
    <row r="417" spans="1:17">
      <c r="A417" t="s">
        <v>1615</v>
      </c>
      <c r="B417" s="23">
        <v>45753</v>
      </c>
      <c r="C417" s="23" t="str">
        <f t="shared" si="18"/>
        <v>Apr</v>
      </c>
      <c r="D417" s="23" t="str">
        <f t="shared" si="19"/>
        <v>2025</v>
      </c>
      <c r="E417" s="23" t="str">
        <f t="shared" si="20"/>
        <v>Q2</v>
      </c>
      <c r="F417" t="s">
        <v>1616</v>
      </c>
      <c r="G417" s="24" t="s">
        <v>41</v>
      </c>
      <c r="H417" s="17">
        <v>1</v>
      </c>
      <c r="I417" s="19">
        <v>184.15</v>
      </c>
      <c r="J417" t="s">
        <v>1074</v>
      </c>
      <c r="K417" s="24" t="s">
        <v>60</v>
      </c>
      <c r="L417" s="24" t="s">
        <v>19</v>
      </c>
      <c r="M417" t="s">
        <v>1617</v>
      </c>
      <c r="N417" s="17">
        <v>5</v>
      </c>
      <c r="O417" t="s">
        <v>37</v>
      </c>
      <c r="P417" s="24" t="s">
        <v>45</v>
      </c>
      <c r="Q417" s="19">
        <v>184.15</v>
      </c>
    </row>
    <row r="418" spans="1:17">
      <c r="A418" t="s">
        <v>1618</v>
      </c>
      <c r="B418" s="23">
        <v>45125</v>
      </c>
      <c r="C418" s="23" t="str">
        <f t="shared" si="18"/>
        <v>Jul</v>
      </c>
      <c r="D418" s="23" t="str">
        <f t="shared" si="19"/>
        <v>2023</v>
      </c>
      <c r="E418" s="23" t="str">
        <f t="shared" si="20"/>
        <v>Q3</v>
      </c>
      <c r="F418" t="s">
        <v>1619</v>
      </c>
      <c r="G418" s="24" t="s">
        <v>58</v>
      </c>
      <c r="H418" s="17">
        <v>2</v>
      </c>
      <c r="I418" s="19">
        <v>644.05</v>
      </c>
      <c r="J418" t="s">
        <v>1620</v>
      </c>
      <c r="K418" s="24" t="s">
        <v>60</v>
      </c>
      <c r="L418" s="24" t="s">
        <v>35</v>
      </c>
      <c r="M418" t="s">
        <v>1621</v>
      </c>
      <c r="N418" s="17">
        <v>5</v>
      </c>
      <c r="O418" t="s">
        <v>81</v>
      </c>
      <c r="P418" s="24" t="s">
        <v>29</v>
      </c>
      <c r="Q418" s="19">
        <v>1288.1</v>
      </c>
    </row>
    <row r="419" spans="1:17">
      <c r="A419" t="s">
        <v>1622</v>
      </c>
      <c r="B419" s="23">
        <v>45223</v>
      </c>
      <c r="C419" s="23" t="str">
        <f t="shared" si="18"/>
        <v>Oct</v>
      </c>
      <c r="D419" s="23" t="str">
        <f t="shared" si="19"/>
        <v>2023</v>
      </c>
      <c r="E419" s="23" t="str">
        <f t="shared" si="20"/>
        <v>Q4</v>
      </c>
      <c r="F419" t="s">
        <v>1623</v>
      </c>
      <c r="G419" s="24" t="s">
        <v>58</v>
      </c>
      <c r="H419" s="17">
        <v>5</v>
      </c>
      <c r="I419" s="19">
        <v>55.41</v>
      </c>
      <c r="J419" t="s">
        <v>1624</v>
      </c>
      <c r="K419" s="24" t="s">
        <v>27</v>
      </c>
      <c r="L419" s="24" t="s">
        <v>35</v>
      </c>
      <c r="M419" t="s">
        <v>1625</v>
      </c>
      <c r="N419" s="17">
        <v>5</v>
      </c>
      <c r="O419" t="s">
        <v>4295</v>
      </c>
      <c r="P419" s="24" t="s">
        <v>76</v>
      </c>
      <c r="Q419" s="19">
        <v>277.05</v>
      </c>
    </row>
    <row r="420" spans="1:17">
      <c r="A420" t="s">
        <v>1626</v>
      </c>
      <c r="B420" s="23">
        <v>44937</v>
      </c>
      <c r="C420" s="23" t="str">
        <f t="shared" si="18"/>
        <v>Jan</v>
      </c>
      <c r="D420" s="23" t="str">
        <f t="shared" si="19"/>
        <v>2023</v>
      </c>
      <c r="E420" s="23" t="str">
        <f t="shared" si="20"/>
        <v>Q1</v>
      </c>
      <c r="F420" t="s">
        <v>1627</v>
      </c>
      <c r="G420" s="24" t="s">
        <v>48</v>
      </c>
      <c r="H420" s="17">
        <v>1</v>
      </c>
      <c r="I420" s="19">
        <v>310.93</v>
      </c>
      <c r="J420" t="s">
        <v>1628</v>
      </c>
      <c r="K420" s="24" t="s">
        <v>27</v>
      </c>
      <c r="L420" s="24" t="s">
        <v>35</v>
      </c>
      <c r="M420" t="s">
        <v>1629</v>
      </c>
      <c r="N420" s="17">
        <v>3</v>
      </c>
      <c r="O420" t="s">
        <v>4295</v>
      </c>
      <c r="P420" s="24" t="s">
        <v>45</v>
      </c>
      <c r="Q420" s="19">
        <v>310.93</v>
      </c>
    </row>
    <row r="421" spans="1:17">
      <c r="A421" t="s">
        <v>1630</v>
      </c>
      <c r="B421" s="23">
        <v>45399</v>
      </c>
      <c r="C421" s="23" t="str">
        <f t="shared" si="18"/>
        <v>Apr</v>
      </c>
      <c r="D421" s="23" t="str">
        <f t="shared" si="19"/>
        <v>2024</v>
      </c>
      <c r="E421" s="23" t="str">
        <f t="shared" si="20"/>
        <v>Q2</v>
      </c>
      <c r="F421" t="s">
        <v>1631</v>
      </c>
      <c r="G421" s="24" t="s">
        <v>32</v>
      </c>
      <c r="H421" s="17">
        <v>2</v>
      </c>
      <c r="I421" s="19">
        <v>216.66</v>
      </c>
      <c r="J421" t="s">
        <v>1376</v>
      </c>
      <c r="K421" s="24" t="s">
        <v>18</v>
      </c>
      <c r="L421" s="24" t="s">
        <v>89</v>
      </c>
      <c r="M421" t="s">
        <v>1632</v>
      </c>
      <c r="N421" s="17">
        <v>6</v>
      </c>
      <c r="O421" t="s">
        <v>37</v>
      </c>
      <c r="P421" s="24" t="s">
        <v>22</v>
      </c>
      <c r="Q421" s="19">
        <v>433.32</v>
      </c>
    </row>
    <row r="422" spans="1:17">
      <c r="A422" t="s">
        <v>1633</v>
      </c>
      <c r="B422" s="23">
        <v>45625</v>
      </c>
      <c r="C422" s="23" t="str">
        <f t="shared" si="18"/>
        <v>Nov</v>
      </c>
      <c r="D422" s="23" t="str">
        <f t="shared" si="19"/>
        <v>2024</v>
      </c>
      <c r="E422" s="23" t="str">
        <f t="shared" si="20"/>
        <v>Q4</v>
      </c>
      <c r="F422" t="s">
        <v>1634</v>
      </c>
      <c r="G422" s="24" t="s">
        <v>25</v>
      </c>
      <c r="H422" s="17">
        <v>1</v>
      </c>
      <c r="I422" s="19">
        <v>452.7</v>
      </c>
      <c r="J422" t="s">
        <v>1635</v>
      </c>
      <c r="K422" s="24" t="s">
        <v>18</v>
      </c>
      <c r="L422" s="24" t="s">
        <v>19</v>
      </c>
      <c r="M422" t="s">
        <v>1636</v>
      </c>
      <c r="N422" s="17">
        <v>5</v>
      </c>
      <c r="O422" t="s">
        <v>37</v>
      </c>
      <c r="P422" s="24" t="s">
        <v>22</v>
      </c>
      <c r="Q422" s="19">
        <v>452.7</v>
      </c>
    </row>
    <row r="423" spans="1:17">
      <c r="A423" t="s">
        <v>1637</v>
      </c>
      <c r="B423" s="23">
        <v>45214</v>
      </c>
      <c r="C423" s="23" t="str">
        <f t="shared" si="18"/>
        <v>Oct</v>
      </c>
      <c r="D423" s="23" t="str">
        <f t="shared" si="19"/>
        <v>2023</v>
      </c>
      <c r="E423" s="23" t="str">
        <f t="shared" si="20"/>
        <v>Q4</v>
      </c>
      <c r="F423" t="s">
        <v>1638</v>
      </c>
      <c r="G423" s="24" t="s">
        <v>41</v>
      </c>
      <c r="H423" s="17">
        <v>2</v>
      </c>
      <c r="I423" s="19">
        <v>288.21</v>
      </c>
      <c r="J423" t="s">
        <v>1639</v>
      </c>
      <c r="K423" s="24" t="s">
        <v>18</v>
      </c>
      <c r="L423" s="24" t="s">
        <v>35</v>
      </c>
      <c r="M423" t="s">
        <v>1640</v>
      </c>
      <c r="N423" s="17">
        <v>5</v>
      </c>
      <c r="O423" t="s">
        <v>4295</v>
      </c>
      <c r="P423" s="24" t="s">
        <v>38</v>
      </c>
      <c r="Q423" s="19">
        <v>576.42</v>
      </c>
    </row>
    <row r="424" spans="1:17">
      <c r="A424" t="s">
        <v>1641</v>
      </c>
      <c r="B424" s="23">
        <v>45082</v>
      </c>
      <c r="C424" s="23" t="str">
        <f t="shared" si="18"/>
        <v>Jun</v>
      </c>
      <c r="D424" s="23" t="str">
        <f t="shared" si="19"/>
        <v>2023</v>
      </c>
      <c r="E424" s="23" t="str">
        <f t="shared" si="20"/>
        <v>Q2</v>
      </c>
      <c r="F424" t="s">
        <v>1642</v>
      </c>
      <c r="G424" s="24" t="s">
        <v>25</v>
      </c>
      <c r="H424" s="17">
        <v>4</v>
      </c>
      <c r="I424" s="19">
        <v>206.6</v>
      </c>
      <c r="J424" t="s">
        <v>105</v>
      </c>
      <c r="K424" s="24" t="s">
        <v>60</v>
      </c>
      <c r="L424" s="24" t="s">
        <v>43</v>
      </c>
      <c r="M424" t="s">
        <v>1643</v>
      </c>
      <c r="N424" s="17">
        <v>6</v>
      </c>
      <c r="O424" t="s">
        <v>81</v>
      </c>
      <c r="P424" s="24" t="s">
        <v>29</v>
      </c>
      <c r="Q424" s="19">
        <v>826.4</v>
      </c>
    </row>
    <row r="425" spans="1:17">
      <c r="A425" t="s">
        <v>1644</v>
      </c>
      <c r="B425" s="23">
        <v>45493</v>
      </c>
      <c r="C425" s="23" t="str">
        <f t="shared" si="18"/>
        <v>Jul</v>
      </c>
      <c r="D425" s="23" t="str">
        <f t="shared" si="19"/>
        <v>2024</v>
      </c>
      <c r="E425" s="23" t="str">
        <f t="shared" si="20"/>
        <v>Q3</v>
      </c>
      <c r="F425" t="s">
        <v>1645</v>
      </c>
      <c r="G425" s="24" t="s">
        <v>48</v>
      </c>
      <c r="H425" s="17">
        <v>4</v>
      </c>
      <c r="I425" s="19">
        <v>685.2</v>
      </c>
      <c r="J425" t="s">
        <v>1125</v>
      </c>
      <c r="K425" s="24" t="s">
        <v>60</v>
      </c>
      <c r="L425" s="24" t="s">
        <v>35</v>
      </c>
      <c r="M425" t="s">
        <v>1646</v>
      </c>
      <c r="N425" s="17">
        <v>6</v>
      </c>
      <c r="O425" t="s">
        <v>81</v>
      </c>
      <c r="P425" s="24" t="s">
        <v>76</v>
      </c>
      <c r="Q425" s="19">
        <v>2740.8</v>
      </c>
    </row>
    <row r="426" spans="1:17">
      <c r="A426" t="s">
        <v>1647</v>
      </c>
      <c r="B426" s="23">
        <v>45028</v>
      </c>
      <c r="C426" s="23" t="str">
        <f t="shared" si="18"/>
        <v>Apr</v>
      </c>
      <c r="D426" s="23" t="str">
        <f t="shared" si="19"/>
        <v>2023</v>
      </c>
      <c r="E426" s="23" t="str">
        <f t="shared" si="20"/>
        <v>Q2</v>
      </c>
      <c r="F426" t="s">
        <v>1648</v>
      </c>
      <c r="G426" s="24" t="s">
        <v>41</v>
      </c>
      <c r="H426" s="17">
        <v>5</v>
      </c>
      <c r="I426" s="19">
        <v>22.94</v>
      </c>
      <c r="J426" t="s">
        <v>1260</v>
      </c>
      <c r="K426" s="24" t="s">
        <v>65</v>
      </c>
      <c r="L426" s="24" t="s">
        <v>89</v>
      </c>
      <c r="M426" t="s">
        <v>1649</v>
      </c>
      <c r="N426" s="17">
        <v>10</v>
      </c>
      <c r="O426" t="s">
        <v>4295</v>
      </c>
      <c r="P426" s="24" t="s">
        <v>38</v>
      </c>
      <c r="Q426" s="19">
        <v>114.7</v>
      </c>
    </row>
    <row r="427" spans="1:17">
      <c r="A427" t="s">
        <v>1650</v>
      </c>
      <c r="B427" s="23">
        <v>44994</v>
      </c>
      <c r="C427" s="23" t="str">
        <f t="shared" si="18"/>
        <v>Mar</v>
      </c>
      <c r="D427" s="23" t="str">
        <f t="shared" si="19"/>
        <v>2023</v>
      </c>
      <c r="E427" s="23" t="str">
        <f t="shared" si="20"/>
        <v>Q1</v>
      </c>
      <c r="F427" t="s">
        <v>1651</v>
      </c>
      <c r="G427" s="24" t="s">
        <v>58</v>
      </c>
      <c r="H427" s="17">
        <v>2</v>
      </c>
      <c r="I427" s="19">
        <v>301.88</v>
      </c>
      <c r="J427" t="s">
        <v>1652</v>
      </c>
      <c r="K427" s="24" t="s">
        <v>60</v>
      </c>
      <c r="L427" s="24" t="s">
        <v>43</v>
      </c>
      <c r="M427" t="s">
        <v>1653</v>
      </c>
      <c r="N427" s="17">
        <v>5</v>
      </c>
      <c r="O427" t="s">
        <v>81</v>
      </c>
      <c r="P427" s="24" t="s">
        <v>38</v>
      </c>
      <c r="Q427" s="19">
        <v>603.76</v>
      </c>
    </row>
    <row r="428" spans="1:17">
      <c r="A428" t="s">
        <v>1654</v>
      </c>
      <c r="B428" s="23">
        <v>45732</v>
      </c>
      <c r="C428" s="23" t="str">
        <f t="shared" si="18"/>
        <v>Mar</v>
      </c>
      <c r="D428" s="23" t="str">
        <f t="shared" si="19"/>
        <v>2025</v>
      </c>
      <c r="E428" s="23" t="str">
        <f t="shared" si="20"/>
        <v>Q1</v>
      </c>
      <c r="F428" t="s">
        <v>1655</v>
      </c>
      <c r="G428" s="24" t="s">
        <v>16</v>
      </c>
      <c r="H428" s="17">
        <v>5</v>
      </c>
      <c r="I428" s="19">
        <v>57.45</v>
      </c>
      <c r="J428" t="s">
        <v>1656</v>
      </c>
      <c r="K428" s="24" t="s">
        <v>65</v>
      </c>
      <c r="L428" s="24" t="s">
        <v>35</v>
      </c>
      <c r="M428" t="s">
        <v>1657</v>
      </c>
      <c r="N428" s="17">
        <v>10</v>
      </c>
      <c r="O428" t="s">
        <v>4295</v>
      </c>
      <c r="P428" s="24" t="s">
        <v>45</v>
      </c>
      <c r="Q428" s="19">
        <v>287.25</v>
      </c>
    </row>
    <row r="429" spans="1:17">
      <c r="A429" t="s">
        <v>1658</v>
      </c>
      <c r="B429" s="23">
        <v>45644</v>
      </c>
      <c r="C429" s="23" t="str">
        <f t="shared" si="18"/>
        <v>Dec</v>
      </c>
      <c r="D429" s="23" t="str">
        <f t="shared" si="19"/>
        <v>2024</v>
      </c>
      <c r="E429" s="23" t="str">
        <f t="shared" si="20"/>
        <v>Q4</v>
      </c>
      <c r="F429" t="s">
        <v>1659</v>
      </c>
      <c r="G429" s="24" t="s">
        <v>73</v>
      </c>
      <c r="H429" s="17">
        <v>1</v>
      </c>
      <c r="I429" s="19">
        <v>161.24</v>
      </c>
      <c r="J429" t="s">
        <v>1660</v>
      </c>
      <c r="K429" s="24" t="s">
        <v>34</v>
      </c>
      <c r="L429" s="24" t="s">
        <v>89</v>
      </c>
      <c r="M429" t="s">
        <v>1661</v>
      </c>
      <c r="N429" s="17">
        <v>3</v>
      </c>
      <c r="O429" t="s">
        <v>81</v>
      </c>
      <c r="P429" s="24" t="s">
        <v>22</v>
      </c>
      <c r="Q429" s="19">
        <v>161.24</v>
      </c>
    </row>
    <row r="430" spans="1:17">
      <c r="A430" t="s">
        <v>1662</v>
      </c>
      <c r="B430" s="23">
        <v>45622</v>
      </c>
      <c r="C430" s="23" t="str">
        <f t="shared" si="18"/>
        <v>Nov</v>
      </c>
      <c r="D430" s="23" t="str">
        <f t="shared" si="19"/>
        <v>2024</v>
      </c>
      <c r="E430" s="23" t="str">
        <f t="shared" si="20"/>
        <v>Q4</v>
      </c>
      <c r="F430" t="s">
        <v>1663</v>
      </c>
      <c r="G430" s="24" t="s">
        <v>41</v>
      </c>
      <c r="H430" s="17">
        <v>4</v>
      </c>
      <c r="I430" s="19">
        <v>262.58</v>
      </c>
      <c r="J430" t="s">
        <v>161</v>
      </c>
      <c r="K430" s="24" t="s">
        <v>27</v>
      </c>
      <c r="L430" s="24" t="s">
        <v>35</v>
      </c>
      <c r="M430" t="s">
        <v>1664</v>
      </c>
      <c r="N430" s="17">
        <v>8</v>
      </c>
      <c r="O430" t="s">
        <v>81</v>
      </c>
      <c r="P430" s="24" t="s">
        <v>38</v>
      </c>
      <c r="Q430" s="19">
        <v>1050.32</v>
      </c>
    </row>
    <row r="431" spans="1:17">
      <c r="A431" t="s">
        <v>1665</v>
      </c>
      <c r="B431" s="23">
        <v>45645</v>
      </c>
      <c r="C431" s="23" t="str">
        <f t="shared" si="18"/>
        <v>Dec</v>
      </c>
      <c r="D431" s="23" t="str">
        <f t="shared" si="19"/>
        <v>2024</v>
      </c>
      <c r="E431" s="23" t="str">
        <f t="shared" si="20"/>
        <v>Q4</v>
      </c>
      <c r="F431" t="s">
        <v>1666</v>
      </c>
      <c r="G431" s="24" t="s">
        <v>48</v>
      </c>
      <c r="H431" s="17">
        <v>4</v>
      </c>
      <c r="I431" s="19">
        <v>515.19</v>
      </c>
      <c r="J431" t="s">
        <v>466</v>
      </c>
      <c r="K431" s="24" t="s">
        <v>34</v>
      </c>
      <c r="L431" s="24" t="s">
        <v>89</v>
      </c>
      <c r="M431" t="s">
        <v>1667</v>
      </c>
      <c r="N431" s="17">
        <v>9</v>
      </c>
      <c r="O431" t="s">
        <v>21</v>
      </c>
      <c r="P431" s="24" t="s">
        <v>45</v>
      </c>
      <c r="Q431" s="19">
        <v>2060.76</v>
      </c>
    </row>
    <row r="432" spans="1:17">
      <c r="A432" t="s">
        <v>1668</v>
      </c>
      <c r="B432" s="23">
        <v>45084</v>
      </c>
      <c r="C432" s="23" t="str">
        <f t="shared" si="18"/>
        <v>Jun</v>
      </c>
      <c r="D432" s="23" t="str">
        <f t="shared" si="19"/>
        <v>2023</v>
      </c>
      <c r="E432" s="23" t="str">
        <f t="shared" si="20"/>
        <v>Q2</v>
      </c>
      <c r="F432" t="s">
        <v>1669</v>
      </c>
      <c r="G432" s="24" t="s">
        <v>25</v>
      </c>
      <c r="H432" s="17">
        <v>1</v>
      </c>
      <c r="I432" s="19">
        <v>450.07</v>
      </c>
      <c r="J432" t="s">
        <v>1670</v>
      </c>
      <c r="K432" s="24" t="s">
        <v>60</v>
      </c>
      <c r="L432" s="24" t="s">
        <v>19</v>
      </c>
      <c r="M432" t="s">
        <v>1671</v>
      </c>
      <c r="N432" s="17">
        <v>6</v>
      </c>
      <c r="O432" t="s">
        <v>37</v>
      </c>
      <c r="P432" s="24" t="s">
        <v>76</v>
      </c>
      <c r="Q432" s="19">
        <v>450.07</v>
      </c>
    </row>
    <row r="433" spans="1:17">
      <c r="A433" t="s">
        <v>1672</v>
      </c>
      <c r="B433" s="23">
        <v>45571</v>
      </c>
      <c r="C433" s="23" t="str">
        <f t="shared" si="18"/>
        <v>Oct</v>
      </c>
      <c r="D433" s="23" t="str">
        <f t="shared" si="19"/>
        <v>2024</v>
      </c>
      <c r="E433" s="23" t="str">
        <f t="shared" si="20"/>
        <v>Q4</v>
      </c>
      <c r="F433" t="s">
        <v>1673</v>
      </c>
      <c r="G433" s="24" t="s">
        <v>48</v>
      </c>
      <c r="H433" s="17">
        <v>1</v>
      </c>
      <c r="I433" s="19">
        <v>52.54</v>
      </c>
      <c r="J433" t="s">
        <v>652</v>
      </c>
      <c r="K433" s="24" t="s">
        <v>18</v>
      </c>
      <c r="L433" s="24" t="s">
        <v>35</v>
      </c>
      <c r="M433" t="s">
        <v>1674</v>
      </c>
      <c r="N433" s="17">
        <v>6</v>
      </c>
      <c r="O433" t="s">
        <v>81</v>
      </c>
      <c r="P433" s="24" t="s">
        <v>45</v>
      </c>
      <c r="Q433" s="19">
        <v>52.54</v>
      </c>
    </row>
    <row r="434" spans="1:17">
      <c r="A434" t="s">
        <v>1675</v>
      </c>
      <c r="B434" s="23">
        <v>45173</v>
      </c>
      <c r="C434" s="23" t="str">
        <f t="shared" si="18"/>
        <v>Sep</v>
      </c>
      <c r="D434" s="23" t="str">
        <f t="shared" si="19"/>
        <v>2023</v>
      </c>
      <c r="E434" s="23" t="str">
        <f t="shared" si="20"/>
        <v>Q3</v>
      </c>
      <c r="F434" t="s">
        <v>1676</v>
      </c>
      <c r="G434" s="24" t="s">
        <v>32</v>
      </c>
      <c r="H434" s="17">
        <v>2</v>
      </c>
      <c r="I434" s="19">
        <v>424.32</v>
      </c>
      <c r="J434" t="s">
        <v>1677</v>
      </c>
      <c r="K434" s="24" t="s">
        <v>34</v>
      </c>
      <c r="L434" s="24" t="s">
        <v>43</v>
      </c>
      <c r="M434" t="s">
        <v>1678</v>
      </c>
      <c r="N434" s="17">
        <v>6</v>
      </c>
      <c r="O434" t="s">
        <v>4295</v>
      </c>
      <c r="P434" s="24" t="s">
        <v>29</v>
      </c>
      <c r="Q434" s="19">
        <v>848.64</v>
      </c>
    </row>
    <row r="435" spans="1:17">
      <c r="A435" t="s">
        <v>1679</v>
      </c>
      <c r="B435" s="23">
        <v>45164</v>
      </c>
      <c r="C435" s="23" t="str">
        <f t="shared" si="18"/>
        <v>Aug</v>
      </c>
      <c r="D435" s="23" t="str">
        <f t="shared" si="19"/>
        <v>2023</v>
      </c>
      <c r="E435" s="23" t="str">
        <f t="shared" si="20"/>
        <v>Q3</v>
      </c>
      <c r="F435" t="s">
        <v>1680</v>
      </c>
      <c r="G435" s="24" t="s">
        <v>16</v>
      </c>
      <c r="H435" s="17">
        <v>3</v>
      </c>
      <c r="I435" s="19">
        <v>631.64</v>
      </c>
      <c r="J435" t="s">
        <v>996</v>
      </c>
      <c r="K435" s="24" t="s">
        <v>34</v>
      </c>
      <c r="L435" s="24" t="s">
        <v>43</v>
      </c>
      <c r="M435" t="s">
        <v>1681</v>
      </c>
      <c r="N435" s="17">
        <v>3</v>
      </c>
      <c r="O435" t="s">
        <v>37</v>
      </c>
      <c r="P435" s="24" t="s">
        <v>45</v>
      </c>
      <c r="Q435" s="19">
        <v>1894.92</v>
      </c>
    </row>
    <row r="436" spans="1:17">
      <c r="A436" t="s">
        <v>1682</v>
      </c>
      <c r="B436" s="23">
        <v>45221</v>
      </c>
      <c r="C436" s="23" t="str">
        <f t="shared" si="18"/>
        <v>Oct</v>
      </c>
      <c r="D436" s="23" t="str">
        <f t="shared" si="19"/>
        <v>2023</v>
      </c>
      <c r="E436" s="23" t="str">
        <f t="shared" si="20"/>
        <v>Q4</v>
      </c>
      <c r="F436" t="s">
        <v>1683</v>
      </c>
      <c r="G436" s="24" t="s">
        <v>48</v>
      </c>
      <c r="H436" s="17">
        <v>5</v>
      </c>
      <c r="I436" s="19">
        <v>327.68</v>
      </c>
      <c r="J436" t="s">
        <v>316</v>
      </c>
      <c r="K436" s="24" t="s">
        <v>34</v>
      </c>
      <c r="L436" s="24" t="s">
        <v>43</v>
      </c>
      <c r="M436" t="s">
        <v>1684</v>
      </c>
      <c r="N436" s="17">
        <v>6</v>
      </c>
      <c r="O436" t="s">
        <v>4295</v>
      </c>
      <c r="P436" s="24" t="s">
        <v>45</v>
      </c>
      <c r="Q436" s="19">
        <v>1638.4</v>
      </c>
    </row>
    <row r="437" spans="1:17">
      <c r="A437" t="s">
        <v>1685</v>
      </c>
      <c r="B437" s="23">
        <v>45073</v>
      </c>
      <c r="C437" s="23" t="str">
        <f t="shared" si="18"/>
        <v>May</v>
      </c>
      <c r="D437" s="23" t="str">
        <f t="shared" si="19"/>
        <v>2023</v>
      </c>
      <c r="E437" s="23" t="str">
        <f t="shared" si="20"/>
        <v>Q2</v>
      </c>
      <c r="F437" t="s">
        <v>1686</v>
      </c>
      <c r="G437" s="24" t="s">
        <v>48</v>
      </c>
      <c r="H437" s="17">
        <v>1</v>
      </c>
      <c r="I437" s="19">
        <v>414.47</v>
      </c>
      <c r="J437" t="s">
        <v>1256</v>
      </c>
      <c r="K437" s="24" t="s">
        <v>18</v>
      </c>
      <c r="L437" s="24" t="s">
        <v>43</v>
      </c>
      <c r="M437" t="s">
        <v>1687</v>
      </c>
      <c r="N437" s="17">
        <v>3</v>
      </c>
      <c r="O437" t="s">
        <v>37</v>
      </c>
      <c r="P437" s="24" t="s">
        <v>22</v>
      </c>
      <c r="Q437" s="19">
        <v>414.47</v>
      </c>
    </row>
    <row r="438" spans="1:17">
      <c r="A438" t="s">
        <v>1688</v>
      </c>
      <c r="B438" s="23">
        <v>44968</v>
      </c>
      <c r="C438" s="23" t="str">
        <f t="shared" si="18"/>
        <v>Feb</v>
      </c>
      <c r="D438" s="23" t="str">
        <f t="shared" si="19"/>
        <v>2023</v>
      </c>
      <c r="E438" s="23" t="str">
        <f t="shared" si="20"/>
        <v>Q1</v>
      </c>
      <c r="F438" t="s">
        <v>1689</v>
      </c>
      <c r="G438" s="24" t="s">
        <v>58</v>
      </c>
      <c r="H438" s="17">
        <v>4</v>
      </c>
      <c r="I438" s="19">
        <v>221.33</v>
      </c>
      <c r="J438" t="s">
        <v>652</v>
      </c>
      <c r="K438" s="24" t="s">
        <v>27</v>
      </c>
      <c r="L438" s="24" t="s">
        <v>89</v>
      </c>
      <c r="M438" t="s">
        <v>1690</v>
      </c>
      <c r="N438" s="17">
        <v>5</v>
      </c>
      <c r="O438" t="s">
        <v>4295</v>
      </c>
      <c r="P438" s="24" t="s">
        <v>76</v>
      </c>
      <c r="Q438" s="19">
        <v>885.32</v>
      </c>
    </row>
    <row r="439" spans="1:17">
      <c r="A439" t="s">
        <v>1691</v>
      </c>
      <c r="B439" s="23">
        <v>45400</v>
      </c>
      <c r="C439" s="23" t="str">
        <f t="shared" si="18"/>
        <v>Apr</v>
      </c>
      <c r="D439" s="23" t="str">
        <f t="shared" si="19"/>
        <v>2024</v>
      </c>
      <c r="E439" s="23" t="str">
        <f t="shared" si="20"/>
        <v>Q2</v>
      </c>
      <c r="F439" t="s">
        <v>1692</v>
      </c>
      <c r="G439" s="24" t="s">
        <v>25</v>
      </c>
      <c r="H439" s="17">
        <v>1</v>
      </c>
      <c r="I439" s="19">
        <v>512.39</v>
      </c>
      <c r="J439" t="s">
        <v>1693</v>
      </c>
      <c r="K439" s="24" t="s">
        <v>27</v>
      </c>
      <c r="L439" s="24" t="s">
        <v>50</v>
      </c>
      <c r="M439" t="s">
        <v>1694</v>
      </c>
      <c r="N439" s="17">
        <v>2</v>
      </c>
      <c r="O439" t="s">
        <v>37</v>
      </c>
      <c r="P439" s="24" t="s">
        <v>22</v>
      </c>
      <c r="Q439" s="19">
        <v>512.39</v>
      </c>
    </row>
    <row r="440" spans="1:17">
      <c r="A440" t="s">
        <v>1695</v>
      </c>
      <c r="B440" s="23">
        <v>45660</v>
      </c>
      <c r="C440" s="23" t="str">
        <f t="shared" si="18"/>
        <v>Jan</v>
      </c>
      <c r="D440" s="23" t="str">
        <f t="shared" si="19"/>
        <v>2025</v>
      </c>
      <c r="E440" s="23" t="str">
        <f t="shared" si="20"/>
        <v>Q1</v>
      </c>
      <c r="F440" t="s">
        <v>1696</v>
      </c>
      <c r="G440" s="24" t="s">
        <v>32</v>
      </c>
      <c r="H440" s="17">
        <v>3</v>
      </c>
      <c r="I440" s="19">
        <v>459.34</v>
      </c>
      <c r="J440" t="s">
        <v>1697</v>
      </c>
      <c r="K440" s="24" t="s">
        <v>60</v>
      </c>
      <c r="L440" s="24" t="s">
        <v>89</v>
      </c>
      <c r="M440" t="s">
        <v>1698</v>
      </c>
      <c r="N440" s="17">
        <v>3</v>
      </c>
      <c r="O440" t="s">
        <v>21</v>
      </c>
      <c r="P440" s="24" t="s">
        <v>22</v>
      </c>
      <c r="Q440" s="19">
        <v>1378.02</v>
      </c>
    </row>
    <row r="441" spans="1:17">
      <c r="A441" t="s">
        <v>1699</v>
      </c>
      <c r="B441" s="23">
        <v>45543</v>
      </c>
      <c r="C441" s="23" t="str">
        <f t="shared" si="18"/>
        <v>Sep</v>
      </c>
      <c r="D441" s="23" t="str">
        <f t="shared" si="19"/>
        <v>2024</v>
      </c>
      <c r="E441" s="23" t="str">
        <f t="shared" si="20"/>
        <v>Q3</v>
      </c>
      <c r="F441" t="s">
        <v>1700</v>
      </c>
      <c r="G441" s="24" t="s">
        <v>32</v>
      </c>
      <c r="H441" s="17">
        <v>1</v>
      </c>
      <c r="I441" s="19">
        <v>146.32</v>
      </c>
      <c r="J441" t="s">
        <v>1701</v>
      </c>
      <c r="K441" s="24" t="s">
        <v>27</v>
      </c>
      <c r="L441" s="24" t="s">
        <v>19</v>
      </c>
      <c r="M441" t="s">
        <v>1702</v>
      </c>
      <c r="N441" s="17">
        <v>4</v>
      </c>
      <c r="O441" t="s">
        <v>81</v>
      </c>
      <c r="P441" s="24" t="s">
        <v>45</v>
      </c>
      <c r="Q441" s="19">
        <v>146.32</v>
      </c>
    </row>
    <row r="442" spans="1:17">
      <c r="A442" t="s">
        <v>1703</v>
      </c>
      <c r="B442" s="23">
        <v>45601</v>
      </c>
      <c r="C442" s="23" t="str">
        <f t="shared" si="18"/>
        <v>Nov</v>
      </c>
      <c r="D442" s="23" t="str">
        <f t="shared" si="19"/>
        <v>2024</v>
      </c>
      <c r="E442" s="23" t="str">
        <f t="shared" si="20"/>
        <v>Q4</v>
      </c>
      <c r="F442" t="s">
        <v>1704</v>
      </c>
      <c r="G442" s="24" t="s">
        <v>73</v>
      </c>
      <c r="H442" s="17">
        <v>4</v>
      </c>
      <c r="I442" s="19">
        <v>83.6</v>
      </c>
      <c r="J442" t="s">
        <v>1244</v>
      </c>
      <c r="K442" s="24" t="s">
        <v>18</v>
      </c>
      <c r="L442" s="24" t="s">
        <v>89</v>
      </c>
      <c r="M442" t="s">
        <v>1705</v>
      </c>
      <c r="N442" s="17">
        <v>4</v>
      </c>
      <c r="O442" t="s">
        <v>21</v>
      </c>
      <c r="P442" s="24" t="s">
        <v>45</v>
      </c>
      <c r="Q442" s="19">
        <v>334.4</v>
      </c>
    </row>
    <row r="443" spans="1:17">
      <c r="A443" t="s">
        <v>1706</v>
      </c>
      <c r="B443" s="23">
        <v>45273</v>
      </c>
      <c r="C443" s="23" t="str">
        <f t="shared" si="18"/>
        <v>Dec</v>
      </c>
      <c r="D443" s="23" t="str">
        <f t="shared" si="19"/>
        <v>2023</v>
      </c>
      <c r="E443" s="23" t="str">
        <f t="shared" si="20"/>
        <v>Q4</v>
      </c>
      <c r="F443" t="s">
        <v>1707</v>
      </c>
      <c r="G443" s="24" t="s">
        <v>48</v>
      </c>
      <c r="H443" s="17">
        <v>2</v>
      </c>
      <c r="I443" s="19">
        <v>328.54</v>
      </c>
      <c r="J443" t="s">
        <v>1708</v>
      </c>
      <c r="K443" s="24" t="s">
        <v>60</v>
      </c>
      <c r="L443" s="24" t="s">
        <v>43</v>
      </c>
      <c r="M443" t="s">
        <v>1709</v>
      </c>
      <c r="N443" s="17">
        <v>6</v>
      </c>
      <c r="O443" t="s">
        <v>37</v>
      </c>
      <c r="P443" s="24" t="s">
        <v>38</v>
      </c>
      <c r="Q443" s="19">
        <v>657.08</v>
      </c>
    </row>
    <row r="444" spans="1:17">
      <c r="A444" t="s">
        <v>1710</v>
      </c>
      <c r="B444" s="23">
        <v>45418</v>
      </c>
      <c r="C444" s="23" t="str">
        <f t="shared" si="18"/>
        <v>May</v>
      </c>
      <c r="D444" s="23" t="str">
        <f t="shared" si="19"/>
        <v>2024</v>
      </c>
      <c r="E444" s="23" t="str">
        <f t="shared" si="20"/>
        <v>Q2</v>
      </c>
      <c r="F444" t="s">
        <v>1711</v>
      </c>
      <c r="G444" s="24" t="s">
        <v>41</v>
      </c>
      <c r="H444" s="17">
        <v>5</v>
      </c>
      <c r="I444" s="19">
        <v>314.94</v>
      </c>
      <c r="J444" t="s">
        <v>1712</v>
      </c>
      <c r="K444" s="24" t="s">
        <v>65</v>
      </c>
      <c r="L444" s="24" t="s">
        <v>89</v>
      </c>
      <c r="M444" t="s">
        <v>1713</v>
      </c>
      <c r="N444" s="17">
        <v>8</v>
      </c>
      <c r="O444" t="s">
        <v>21</v>
      </c>
      <c r="P444" s="24" t="s">
        <v>22</v>
      </c>
      <c r="Q444" s="19">
        <v>1574.7</v>
      </c>
    </row>
    <row r="445" spans="1:17">
      <c r="A445" t="s">
        <v>1714</v>
      </c>
      <c r="B445" s="23">
        <v>45426</v>
      </c>
      <c r="C445" s="23" t="str">
        <f t="shared" si="18"/>
        <v>May</v>
      </c>
      <c r="D445" s="23" t="str">
        <f t="shared" si="19"/>
        <v>2024</v>
      </c>
      <c r="E445" s="23" t="str">
        <f t="shared" si="20"/>
        <v>Q2</v>
      </c>
      <c r="F445" t="s">
        <v>1715</v>
      </c>
      <c r="G445" s="24" t="s">
        <v>41</v>
      </c>
      <c r="H445" s="17">
        <v>2</v>
      </c>
      <c r="I445" s="19">
        <v>69.64</v>
      </c>
      <c r="J445" t="s">
        <v>289</v>
      </c>
      <c r="K445" s="24" t="s">
        <v>65</v>
      </c>
      <c r="L445" s="24" t="s">
        <v>43</v>
      </c>
      <c r="M445" t="s">
        <v>1716</v>
      </c>
      <c r="N445" s="17">
        <v>6</v>
      </c>
      <c r="O445" t="s">
        <v>4295</v>
      </c>
      <c r="P445" s="24" t="s">
        <v>45</v>
      </c>
      <c r="Q445" s="19">
        <v>139.28</v>
      </c>
    </row>
    <row r="446" spans="1:17">
      <c r="A446" t="s">
        <v>1717</v>
      </c>
      <c r="B446" s="23">
        <v>45451</v>
      </c>
      <c r="C446" s="23" t="str">
        <f t="shared" si="18"/>
        <v>Jun</v>
      </c>
      <c r="D446" s="23" t="str">
        <f t="shared" si="19"/>
        <v>2024</v>
      </c>
      <c r="E446" s="23" t="str">
        <f t="shared" si="20"/>
        <v>Q2</v>
      </c>
      <c r="F446" t="s">
        <v>1718</v>
      </c>
      <c r="G446" s="24" t="s">
        <v>48</v>
      </c>
      <c r="H446" s="17">
        <v>1</v>
      </c>
      <c r="I446" s="19">
        <v>135.17</v>
      </c>
      <c r="J446" t="s">
        <v>1719</v>
      </c>
      <c r="K446" s="24" t="s">
        <v>27</v>
      </c>
      <c r="L446" s="24" t="s">
        <v>19</v>
      </c>
      <c r="M446" t="s">
        <v>1720</v>
      </c>
      <c r="N446" s="17">
        <v>6</v>
      </c>
      <c r="O446" t="s">
        <v>37</v>
      </c>
      <c r="P446" s="24" t="s">
        <v>22</v>
      </c>
      <c r="Q446" s="19">
        <v>135.17</v>
      </c>
    </row>
    <row r="447" spans="1:17">
      <c r="A447" t="s">
        <v>1721</v>
      </c>
      <c r="B447" s="23">
        <v>45374</v>
      </c>
      <c r="C447" s="23" t="str">
        <f t="shared" si="18"/>
        <v>Mar</v>
      </c>
      <c r="D447" s="23" t="str">
        <f t="shared" si="19"/>
        <v>2024</v>
      </c>
      <c r="E447" s="23" t="str">
        <f t="shared" si="20"/>
        <v>Q1</v>
      </c>
      <c r="F447" t="s">
        <v>1722</v>
      </c>
      <c r="G447" s="24" t="s">
        <v>25</v>
      </c>
      <c r="H447" s="17">
        <v>1</v>
      </c>
      <c r="I447" s="19">
        <v>487.21</v>
      </c>
      <c r="J447" t="s">
        <v>1723</v>
      </c>
      <c r="K447" s="24" t="s">
        <v>65</v>
      </c>
      <c r="L447" s="24" t="s">
        <v>50</v>
      </c>
      <c r="M447" t="s">
        <v>1724</v>
      </c>
      <c r="N447" s="17">
        <v>3</v>
      </c>
      <c r="O447" t="s">
        <v>21</v>
      </c>
      <c r="P447" s="24" t="s">
        <v>29</v>
      </c>
      <c r="Q447" s="19">
        <v>487.21</v>
      </c>
    </row>
    <row r="448" spans="1:17">
      <c r="A448" t="s">
        <v>1725</v>
      </c>
      <c r="B448" s="23">
        <v>45217</v>
      </c>
      <c r="C448" s="23" t="str">
        <f t="shared" si="18"/>
        <v>Oct</v>
      </c>
      <c r="D448" s="23" t="str">
        <f t="shared" si="19"/>
        <v>2023</v>
      </c>
      <c r="E448" s="23" t="str">
        <f t="shared" si="20"/>
        <v>Q4</v>
      </c>
      <c r="F448" t="s">
        <v>1726</v>
      </c>
      <c r="G448" s="24" t="s">
        <v>58</v>
      </c>
      <c r="H448" s="17">
        <v>5</v>
      </c>
      <c r="I448" s="19">
        <v>509.58</v>
      </c>
      <c r="J448" t="s">
        <v>1727</v>
      </c>
      <c r="K448" s="24" t="s">
        <v>27</v>
      </c>
      <c r="L448" s="24" t="s">
        <v>50</v>
      </c>
      <c r="M448" t="s">
        <v>1728</v>
      </c>
      <c r="N448" s="17">
        <v>6</v>
      </c>
      <c r="O448" t="s">
        <v>37</v>
      </c>
      <c r="P448" s="24" t="s">
        <v>22</v>
      </c>
      <c r="Q448" s="19">
        <v>2547.9</v>
      </c>
    </row>
    <row r="449" spans="1:17">
      <c r="A449" t="s">
        <v>1729</v>
      </c>
      <c r="B449" s="23">
        <v>45389</v>
      </c>
      <c r="C449" s="23" t="str">
        <f t="shared" si="18"/>
        <v>Apr</v>
      </c>
      <c r="D449" s="23" t="str">
        <f t="shared" si="19"/>
        <v>2024</v>
      </c>
      <c r="E449" s="23" t="str">
        <f t="shared" si="20"/>
        <v>Q2</v>
      </c>
      <c r="F449" t="s">
        <v>1730</v>
      </c>
      <c r="G449" s="24" t="s">
        <v>48</v>
      </c>
      <c r="H449" s="17">
        <v>2</v>
      </c>
      <c r="I449" s="19">
        <v>416.81</v>
      </c>
      <c r="J449" t="s">
        <v>1731</v>
      </c>
      <c r="K449" s="24" t="s">
        <v>65</v>
      </c>
      <c r="L449" s="24" t="s">
        <v>43</v>
      </c>
      <c r="M449" t="s">
        <v>1732</v>
      </c>
      <c r="N449" s="17">
        <v>2</v>
      </c>
      <c r="O449" t="s">
        <v>4295</v>
      </c>
      <c r="P449" s="24" t="s">
        <v>45</v>
      </c>
      <c r="Q449" s="19">
        <v>833.62</v>
      </c>
    </row>
    <row r="450" spans="1:17">
      <c r="A450" t="s">
        <v>1733</v>
      </c>
      <c r="B450" s="23">
        <v>45173</v>
      </c>
      <c r="C450" s="23" t="str">
        <f t="shared" ref="C450:C513" si="21">TEXT(B450,"MMM")</f>
        <v>Sep</v>
      </c>
      <c r="D450" s="23" t="str">
        <f t="shared" ref="D450:D513" si="22">TEXT(B450,"YYYY")</f>
        <v>2023</v>
      </c>
      <c r="E450" s="23" t="str">
        <f t="shared" ref="E450:E513" si="23">"Q"&amp;ROUNDUP(MONTH(B450)/3,0)</f>
        <v>Q3</v>
      </c>
      <c r="F450" t="s">
        <v>1734</v>
      </c>
      <c r="G450" s="24" t="s">
        <v>58</v>
      </c>
      <c r="H450" s="17">
        <v>2</v>
      </c>
      <c r="I450" s="19">
        <v>160</v>
      </c>
      <c r="J450" t="s">
        <v>1735</v>
      </c>
      <c r="K450" s="24" t="s">
        <v>65</v>
      </c>
      <c r="L450" s="24" t="s">
        <v>89</v>
      </c>
      <c r="M450" t="s">
        <v>1736</v>
      </c>
      <c r="N450" s="17">
        <v>4</v>
      </c>
      <c r="O450" t="s">
        <v>21</v>
      </c>
      <c r="P450" s="24" t="s">
        <v>22</v>
      </c>
      <c r="Q450" s="19">
        <v>320</v>
      </c>
    </row>
    <row r="451" spans="1:17">
      <c r="A451" t="s">
        <v>1737</v>
      </c>
      <c r="B451" s="23">
        <v>45530</v>
      </c>
      <c r="C451" s="23" t="str">
        <f t="shared" si="21"/>
        <v>Aug</v>
      </c>
      <c r="D451" s="23" t="str">
        <f t="shared" si="22"/>
        <v>2024</v>
      </c>
      <c r="E451" s="23" t="str">
        <f t="shared" si="23"/>
        <v>Q3</v>
      </c>
      <c r="F451" t="s">
        <v>1738</v>
      </c>
      <c r="G451" s="24" t="s">
        <v>32</v>
      </c>
      <c r="H451" s="17">
        <v>3</v>
      </c>
      <c r="I451" s="19">
        <v>253.05</v>
      </c>
      <c r="J451" t="s">
        <v>1739</v>
      </c>
      <c r="K451" s="24" t="s">
        <v>27</v>
      </c>
      <c r="L451" s="24" t="s">
        <v>89</v>
      </c>
      <c r="M451" t="s">
        <v>1740</v>
      </c>
      <c r="N451" s="17">
        <v>3</v>
      </c>
      <c r="O451" t="s">
        <v>4295</v>
      </c>
      <c r="P451" s="24" t="s">
        <v>22</v>
      </c>
      <c r="Q451" s="19">
        <v>759.15</v>
      </c>
    </row>
    <row r="452" spans="1:17">
      <c r="A452" t="s">
        <v>1741</v>
      </c>
      <c r="B452" s="23">
        <v>45306</v>
      </c>
      <c r="C452" s="23" t="str">
        <f t="shared" si="21"/>
        <v>Jan</v>
      </c>
      <c r="D452" s="23" t="str">
        <f t="shared" si="22"/>
        <v>2024</v>
      </c>
      <c r="E452" s="23" t="str">
        <f t="shared" si="23"/>
        <v>Q1</v>
      </c>
      <c r="F452" t="s">
        <v>1742</v>
      </c>
      <c r="G452" s="24" t="s">
        <v>16</v>
      </c>
      <c r="H452" s="17">
        <v>5</v>
      </c>
      <c r="I452" s="19">
        <v>615.1</v>
      </c>
      <c r="J452" t="s">
        <v>1743</v>
      </c>
      <c r="K452" s="24" t="s">
        <v>60</v>
      </c>
      <c r="L452" s="24" t="s">
        <v>43</v>
      </c>
      <c r="M452" t="s">
        <v>1744</v>
      </c>
      <c r="N452" s="17">
        <v>10</v>
      </c>
      <c r="O452" t="s">
        <v>81</v>
      </c>
      <c r="P452" s="24" t="s">
        <v>22</v>
      </c>
      <c r="Q452" s="19">
        <v>3075.5</v>
      </c>
    </row>
    <row r="453" spans="1:17">
      <c r="A453" t="s">
        <v>1745</v>
      </c>
      <c r="B453" s="23">
        <v>45017</v>
      </c>
      <c r="C453" s="23" t="str">
        <f t="shared" si="21"/>
        <v>Apr</v>
      </c>
      <c r="D453" s="23" t="str">
        <f t="shared" si="22"/>
        <v>2023</v>
      </c>
      <c r="E453" s="23" t="str">
        <f t="shared" si="23"/>
        <v>Q2</v>
      </c>
      <c r="F453" t="s">
        <v>1746</v>
      </c>
      <c r="G453" s="24" t="s">
        <v>16</v>
      </c>
      <c r="H453" s="17">
        <v>1</v>
      </c>
      <c r="I453" s="19">
        <v>183.18</v>
      </c>
      <c r="J453" t="s">
        <v>450</v>
      </c>
      <c r="K453" s="24" t="s">
        <v>18</v>
      </c>
      <c r="L453" s="24" t="s">
        <v>35</v>
      </c>
      <c r="M453" t="s">
        <v>1747</v>
      </c>
      <c r="N453" s="17">
        <v>6</v>
      </c>
      <c r="O453" t="s">
        <v>21</v>
      </c>
      <c r="P453" s="24" t="s">
        <v>38</v>
      </c>
      <c r="Q453" s="19">
        <v>183.18</v>
      </c>
    </row>
    <row r="454" spans="1:17">
      <c r="A454" t="s">
        <v>1748</v>
      </c>
      <c r="B454" s="23">
        <v>45130</v>
      </c>
      <c r="C454" s="23" t="str">
        <f t="shared" si="21"/>
        <v>Jul</v>
      </c>
      <c r="D454" s="23" t="str">
        <f t="shared" si="22"/>
        <v>2023</v>
      </c>
      <c r="E454" s="23" t="str">
        <f t="shared" si="23"/>
        <v>Q3</v>
      </c>
      <c r="F454" t="s">
        <v>1749</v>
      </c>
      <c r="G454" s="24" t="s">
        <v>48</v>
      </c>
      <c r="H454" s="17">
        <v>1</v>
      </c>
      <c r="I454" s="19">
        <v>75.78</v>
      </c>
      <c r="J454" t="s">
        <v>1750</v>
      </c>
      <c r="K454" s="24" t="s">
        <v>65</v>
      </c>
      <c r="L454" s="24" t="s">
        <v>89</v>
      </c>
      <c r="M454" t="s">
        <v>1751</v>
      </c>
      <c r="N454" s="17">
        <v>5</v>
      </c>
      <c r="O454" t="s">
        <v>21</v>
      </c>
      <c r="P454" s="24" t="s">
        <v>76</v>
      </c>
      <c r="Q454" s="19">
        <v>75.78</v>
      </c>
    </row>
    <row r="455" spans="1:17">
      <c r="A455" t="s">
        <v>1752</v>
      </c>
      <c r="B455" s="23">
        <v>45779</v>
      </c>
      <c r="C455" s="23" t="str">
        <f t="shared" si="21"/>
        <v>May</v>
      </c>
      <c r="D455" s="23" t="str">
        <f t="shared" si="22"/>
        <v>2025</v>
      </c>
      <c r="E455" s="23" t="str">
        <f t="shared" si="23"/>
        <v>Q2</v>
      </c>
      <c r="F455" t="s">
        <v>1753</v>
      </c>
      <c r="G455" s="24" t="s">
        <v>32</v>
      </c>
      <c r="H455" s="17">
        <v>1</v>
      </c>
      <c r="I455" s="19">
        <v>675.57</v>
      </c>
      <c r="J455" t="s">
        <v>1754</v>
      </c>
      <c r="K455" s="24" t="s">
        <v>65</v>
      </c>
      <c r="L455" s="24" t="s">
        <v>19</v>
      </c>
      <c r="M455" t="s">
        <v>1755</v>
      </c>
      <c r="N455" s="17">
        <v>1</v>
      </c>
      <c r="O455" t="s">
        <v>81</v>
      </c>
      <c r="P455" s="24" t="s">
        <v>45</v>
      </c>
      <c r="Q455" s="19">
        <v>675.57</v>
      </c>
    </row>
    <row r="456" spans="1:17">
      <c r="A456" t="s">
        <v>1756</v>
      </c>
      <c r="B456" s="23">
        <v>45623</v>
      </c>
      <c r="C456" s="23" t="str">
        <f t="shared" si="21"/>
        <v>Nov</v>
      </c>
      <c r="D456" s="23" t="str">
        <f t="shared" si="22"/>
        <v>2024</v>
      </c>
      <c r="E456" s="23" t="str">
        <f t="shared" si="23"/>
        <v>Q4</v>
      </c>
      <c r="F456" t="s">
        <v>1757</v>
      </c>
      <c r="G456" s="24" t="s">
        <v>58</v>
      </c>
      <c r="H456" s="17">
        <v>1</v>
      </c>
      <c r="I456" s="19">
        <v>109.29</v>
      </c>
      <c r="J456" t="s">
        <v>1758</v>
      </c>
      <c r="K456" s="24" t="s">
        <v>18</v>
      </c>
      <c r="L456" s="24" t="s">
        <v>35</v>
      </c>
      <c r="M456" t="s">
        <v>1759</v>
      </c>
      <c r="N456" s="17">
        <v>5</v>
      </c>
      <c r="O456" t="s">
        <v>37</v>
      </c>
      <c r="P456" s="24" t="s">
        <v>76</v>
      </c>
      <c r="Q456" s="19">
        <v>109.29</v>
      </c>
    </row>
    <row r="457" spans="1:17">
      <c r="A457" t="s">
        <v>1760</v>
      </c>
      <c r="B457" s="23">
        <v>45377</v>
      </c>
      <c r="C457" s="23" t="str">
        <f t="shared" si="21"/>
        <v>Mar</v>
      </c>
      <c r="D457" s="23" t="str">
        <f t="shared" si="22"/>
        <v>2024</v>
      </c>
      <c r="E457" s="23" t="str">
        <f t="shared" si="23"/>
        <v>Q1</v>
      </c>
      <c r="F457" t="s">
        <v>1761</v>
      </c>
      <c r="G457" s="24" t="s">
        <v>25</v>
      </c>
      <c r="H457" s="17">
        <v>1</v>
      </c>
      <c r="I457" s="19">
        <v>639.83</v>
      </c>
      <c r="J457" t="s">
        <v>1762</v>
      </c>
      <c r="K457" s="24" t="s">
        <v>18</v>
      </c>
      <c r="L457" s="24" t="s">
        <v>89</v>
      </c>
      <c r="M457" t="s">
        <v>1763</v>
      </c>
      <c r="N457" s="17">
        <v>2</v>
      </c>
      <c r="O457" t="s">
        <v>21</v>
      </c>
      <c r="P457" s="24" t="s">
        <v>29</v>
      </c>
      <c r="Q457" s="19">
        <v>639.83</v>
      </c>
    </row>
    <row r="458" spans="1:17">
      <c r="A458" t="s">
        <v>1764</v>
      </c>
      <c r="B458" s="23">
        <v>45103</v>
      </c>
      <c r="C458" s="23" t="str">
        <f t="shared" si="21"/>
        <v>Jun</v>
      </c>
      <c r="D458" s="23" t="str">
        <f t="shared" si="22"/>
        <v>2023</v>
      </c>
      <c r="E458" s="23" t="str">
        <f t="shared" si="23"/>
        <v>Q2</v>
      </c>
      <c r="F458" t="s">
        <v>1765</v>
      </c>
      <c r="G458" s="24" t="s">
        <v>73</v>
      </c>
      <c r="H458" s="17">
        <v>5</v>
      </c>
      <c r="I458" s="19">
        <v>62.81</v>
      </c>
      <c r="J458" t="s">
        <v>1364</v>
      </c>
      <c r="K458" s="24" t="s">
        <v>34</v>
      </c>
      <c r="L458" s="24" t="s">
        <v>19</v>
      </c>
      <c r="M458" t="s">
        <v>1766</v>
      </c>
      <c r="N458" s="17">
        <v>9</v>
      </c>
      <c r="O458" t="s">
        <v>21</v>
      </c>
      <c r="P458" s="24" t="s">
        <v>45</v>
      </c>
      <c r="Q458" s="19">
        <v>314.05</v>
      </c>
    </row>
    <row r="459" spans="1:17">
      <c r="A459" t="s">
        <v>1767</v>
      </c>
      <c r="B459" s="23">
        <v>45802</v>
      </c>
      <c r="C459" s="23" t="str">
        <f t="shared" si="21"/>
        <v>May</v>
      </c>
      <c r="D459" s="23" t="str">
        <f t="shared" si="22"/>
        <v>2025</v>
      </c>
      <c r="E459" s="23" t="str">
        <f t="shared" si="23"/>
        <v>Q2</v>
      </c>
      <c r="F459" t="s">
        <v>1768</v>
      </c>
      <c r="G459" s="24" t="s">
        <v>73</v>
      </c>
      <c r="H459" s="17">
        <v>4</v>
      </c>
      <c r="I459" s="19">
        <v>615.83</v>
      </c>
      <c r="J459" t="s">
        <v>1769</v>
      </c>
      <c r="K459" s="24" t="s">
        <v>27</v>
      </c>
      <c r="L459" s="24" t="s">
        <v>43</v>
      </c>
      <c r="M459" t="s">
        <v>1770</v>
      </c>
      <c r="N459" s="17">
        <v>4</v>
      </c>
      <c r="O459" t="s">
        <v>81</v>
      </c>
      <c r="P459" s="24" t="s">
        <v>22</v>
      </c>
      <c r="Q459" s="19">
        <v>2463.32</v>
      </c>
    </row>
    <row r="460" spans="1:17">
      <c r="A460" t="s">
        <v>1771</v>
      </c>
      <c r="B460" s="23">
        <v>45475</v>
      </c>
      <c r="C460" s="23" t="str">
        <f t="shared" si="21"/>
        <v>Jul</v>
      </c>
      <c r="D460" s="23" t="str">
        <f t="shared" si="22"/>
        <v>2024</v>
      </c>
      <c r="E460" s="23" t="str">
        <f t="shared" si="23"/>
        <v>Q3</v>
      </c>
      <c r="F460" t="s">
        <v>1772</v>
      </c>
      <c r="G460" s="24" t="s">
        <v>16</v>
      </c>
      <c r="H460" s="17">
        <v>4</v>
      </c>
      <c r="I460" s="19">
        <v>510.58</v>
      </c>
      <c r="J460" t="s">
        <v>399</v>
      </c>
      <c r="K460" s="24" t="s">
        <v>34</v>
      </c>
      <c r="L460" s="24" t="s">
        <v>43</v>
      </c>
      <c r="M460" t="s">
        <v>1773</v>
      </c>
      <c r="N460" s="17">
        <v>7</v>
      </c>
      <c r="O460" t="s">
        <v>81</v>
      </c>
      <c r="P460" s="24" t="s">
        <v>38</v>
      </c>
      <c r="Q460" s="19">
        <v>2042.32</v>
      </c>
    </row>
    <row r="461" spans="1:17">
      <c r="A461" t="s">
        <v>1774</v>
      </c>
      <c r="B461" s="23">
        <v>45497</v>
      </c>
      <c r="C461" s="23" t="str">
        <f t="shared" si="21"/>
        <v>Jul</v>
      </c>
      <c r="D461" s="23" t="str">
        <f t="shared" si="22"/>
        <v>2024</v>
      </c>
      <c r="E461" s="23" t="str">
        <f t="shared" si="23"/>
        <v>Q3</v>
      </c>
      <c r="F461" t="s">
        <v>1775</v>
      </c>
      <c r="G461" s="24" t="s">
        <v>73</v>
      </c>
      <c r="H461" s="17">
        <v>1</v>
      </c>
      <c r="I461" s="19">
        <v>334.39</v>
      </c>
      <c r="J461" t="s">
        <v>1670</v>
      </c>
      <c r="K461" s="24" t="s">
        <v>34</v>
      </c>
      <c r="L461" s="24" t="s">
        <v>43</v>
      </c>
      <c r="M461" t="s">
        <v>1776</v>
      </c>
      <c r="N461" s="17">
        <v>2</v>
      </c>
      <c r="O461" t="s">
        <v>4295</v>
      </c>
      <c r="P461" s="24" t="s">
        <v>22</v>
      </c>
      <c r="Q461" s="19">
        <v>334.39</v>
      </c>
    </row>
    <row r="462" spans="1:17">
      <c r="A462" t="s">
        <v>1777</v>
      </c>
      <c r="B462" s="23">
        <v>45571</v>
      </c>
      <c r="C462" s="23" t="str">
        <f t="shared" si="21"/>
        <v>Oct</v>
      </c>
      <c r="D462" s="23" t="str">
        <f t="shared" si="22"/>
        <v>2024</v>
      </c>
      <c r="E462" s="23" t="str">
        <f t="shared" si="23"/>
        <v>Q4</v>
      </c>
      <c r="F462" t="s">
        <v>1778</v>
      </c>
      <c r="G462" s="24" t="s">
        <v>58</v>
      </c>
      <c r="H462" s="17">
        <v>1</v>
      </c>
      <c r="I462" s="19">
        <v>144.25</v>
      </c>
      <c r="J462" t="s">
        <v>1779</v>
      </c>
      <c r="K462" s="24" t="s">
        <v>65</v>
      </c>
      <c r="L462" s="24" t="s">
        <v>43</v>
      </c>
      <c r="M462" t="s">
        <v>1780</v>
      </c>
      <c r="N462" s="17">
        <v>2</v>
      </c>
      <c r="O462" t="s">
        <v>81</v>
      </c>
      <c r="P462" s="24" t="s">
        <v>29</v>
      </c>
      <c r="Q462" s="19">
        <v>144.25</v>
      </c>
    </row>
    <row r="463" spans="1:17">
      <c r="A463" t="s">
        <v>1781</v>
      </c>
      <c r="B463" s="23">
        <v>45451</v>
      </c>
      <c r="C463" s="23" t="str">
        <f t="shared" si="21"/>
        <v>Jun</v>
      </c>
      <c r="D463" s="23" t="str">
        <f t="shared" si="22"/>
        <v>2024</v>
      </c>
      <c r="E463" s="23" t="str">
        <f t="shared" si="23"/>
        <v>Q2</v>
      </c>
      <c r="F463" t="s">
        <v>1782</v>
      </c>
      <c r="G463" s="24" t="s">
        <v>32</v>
      </c>
      <c r="H463" s="17">
        <v>1</v>
      </c>
      <c r="I463" s="19">
        <v>401.82</v>
      </c>
      <c r="J463" t="s">
        <v>972</v>
      </c>
      <c r="K463" s="24" t="s">
        <v>34</v>
      </c>
      <c r="L463" s="24" t="s">
        <v>19</v>
      </c>
      <c r="M463" t="s">
        <v>1783</v>
      </c>
      <c r="N463" s="17">
        <v>5</v>
      </c>
      <c r="O463" t="s">
        <v>37</v>
      </c>
      <c r="P463" s="24" t="s">
        <v>76</v>
      </c>
      <c r="Q463" s="19">
        <v>401.82</v>
      </c>
    </row>
    <row r="464" spans="1:17">
      <c r="A464" t="s">
        <v>1784</v>
      </c>
      <c r="B464" s="23">
        <v>45747</v>
      </c>
      <c r="C464" s="23" t="str">
        <f t="shared" si="21"/>
        <v>Mar</v>
      </c>
      <c r="D464" s="23" t="str">
        <f t="shared" si="22"/>
        <v>2025</v>
      </c>
      <c r="E464" s="23" t="str">
        <f t="shared" si="23"/>
        <v>Q1</v>
      </c>
      <c r="F464" t="s">
        <v>1785</v>
      </c>
      <c r="G464" s="24" t="s">
        <v>25</v>
      </c>
      <c r="H464" s="17">
        <v>1</v>
      </c>
      <c r="I464" s="19">
        <v>252.68</v>
      </c>
      <c r="J464" t="s">
        <v>1786</v>
      </c>
      <c r="K464" s="24" t="s">
        <v>27</v>
      </c>
      <c r="L464" s="24" t="s">
        <v>35</v>
      </c>
      <c r="M464" t="s">
        <v>1787</v>
      </c>
      <c r="N464" s="17">
        <v>1</v>
      </c>
      <c r="O464" t="s">
        <v>4295</v>
      </c>
      <c r="P464" s="24" t="s">
        <v>29</v>
      </c>
      <c r="Q464" s="19">
        <v>252.68</v>
      </c>
    </row>
    <row r="465" spans="1:17">
      <c r="A465" t="s">
        <v>1788</v>
      </c>
      <c r="B465" s="23">
        <v>45072</v>
      </c>
      <c r="C465" s="23" t="str">
        <f t="shared" si="21"/>
        <v>May</v>
      </c>
      <c r="D465" s="23" t="str">
        <f t="shared" si="22"/>
        <v>2023</v>
      </c>
      <c r="E465" s="23" t="str">
        <f t="shared" si="23"/>
        <v>Q2</v>
      </c>
      <c r="F465" t="s">
        <v>1789</v>
      </c>
      <c r="G465" s="24" t="s">
        <v>58</v>
      </c>
      <c r="H465" s="17">
        <v>5</v>
      </c>
      <c r="I465" s="19">
        <v>662.78</v>
      </c>
      <c r="J465" t="s">
        <v>1790</v>
      </c>
      <c r="K465" s="24" t="s">
        <v>18</v>
      </c>
      <c r="L465" s="24" t="s">
        <v>19</v>
      </c>
      <c r="M465" t="s">
        <v>1791</v>
      </c>
      <c r="N465" s="17">
        <v>9</v>
      </c>
      <c r="O465" t="s">
        <v>21</v>
      </c>
      <c r="P465" s="24" t="s">
        <v>22</v>
      </c>
      <c r="Q465" s="19">
        <v>3313.9</v>
      </c>
    </row>
    <row r="466" spans="1:17">
      <c r="A466" t="s">
        <v>1792</v>
      </c>
      <c r="B466" s="23">
        <v>44999</v>
      </c>
      <c r="C466" s="23" t="str">
        <f t="shared" si="21"/>
        <v>Mar</v>
      </c>
      <c r="D466" s="23" t="str">
        <f t="shared" si="22"/>
        <v>2023</v>
      </c>
      <c r="E466" s="23" t="str">
        <f t="shared" si="23"/>
        <v>Q1</v>
      </c>
      <c r="F466" t="s">
        <v>1793</v>
      </c>
      <c r="G466" s="24" t="s">
        <v>32</v>
      </c>
      <c r="H466" s="17">
        <v>4</v>
      </c>
      <c r="I466" s="19">
        <v>434.42</v>
      </c>
      <c r="J466" t="s">
        <v>1794</v>
      </c>
      <c r="K466" s="24" t="s">
        <v>27</v>
      </c>
      <c r="L466" s="24" t="s">
        <v>35</v>
      </c>
      <c r="M466" t="s">
        <v>1795</v>
      </c>
      <c r="N466" s="17">
        <v>6</v>
      </c>
      <c r="O466" t="s">
        <v>37</v>
      </c>
      <c r="P466" s="24" t="s">
        <v>76</v>
      </c>
      <c r="Q466" s="19">
        <v>1737.68</v>
      </c>
    </row>
    <row r="467" spans="1:17">
      <c r="A467" t="s">
        <v>1796</v>
      </c>
      <c r="B467" s="23">
        <v>45348</v>
      </c>
      <c r="C467" s="23" t="str">
        <f t="shared" si="21"/>
        <v>Feb</v>
      </c>
      <c r="D467" s="23" t="str">
        <f t="shared" si="22"/>
        <v>2024</v>
      </c>
      <c r="E467" s="23" t="str">
        <f t="shared" si="23"/>
        <v>Q1</v>
      </c>
      <c r="F467" t="s">
        <v>1797</v>
      </c>
      <c r="G467" s="24" t="s">
        <v>48</v>
      </c>
      <c r="H467" s="17">
        <v>5</v>
      </c>
      <c r="I467" s="19">
        <v>513.49</v>
      </c>
      <c r="J467" t="s">
        <v>1798</v>
      </c>
      <c r="K467" s="24" t="s">
        <v>60</v>
      </c>
      <c r="L467" s="24" t="s">
        <v>35</v>
      </c>
      <c r="M467" t="s">
        <v>1799</v>
      </c>
      <c r="N467" s="17">
        <v>8</v>
      </c>
      <c r="O467" t="s">
        <v>4295</v>
      </c>
      <c r="P467" s="24" t="s">
        <v>76</v>
      </c>
      <c r="Q467" s="19">
        <v>2567.45</v>
      </c>
    </row>
    <row r="468" spans="1:17">
      <c r="A468" t="s">
        <v>1800</v>
      </c>
      <c r="B468" s="23">
        <v>45125</v>
      </c>
      <c r="C468" s="23" t="str">
        <f t="shared" si="21"/>
        <v>Jul</v>
      </c>
      <c r="D468" s="23" t="str">
        <f t="shared" si="22"/>
        <v>2023</v>
      </c>
      <c r="E468" s="23" t="str">
        <f t="shared" si="23"/>
        <v>Q3</v>
      </c>
      <c r="F468" t="s">
        <v>1801</v>
      </c>
      <c r="G468" s="24" t="s">
        <v>25</v>
      </c>
      <c r="H468" s="17">
        <v>1</v>
      </c>
      <c r="I468" s="19">
        <v>432.47</v>
      </c>
      <c r="J468" t="s">
        <v>161</v>
      </c>
      <c r="K468" s="24" t="s">
        <v>65</v>
      </c>
      <c r="L468" s="24" t="s">
        <v>50</v>
      </c>
      <c r="M468" t="s">
        <v>1802</v>
      </c>
      <c r="N468" s="17">
        <v>4</v>
      </c>
      <c r="O468" t="s">
        <v>37</v>
      </c>
      <c r="P468" s="24" t="s">
        <v>29</v>
      </c>
      <c r="Q468" s="19">
        <v>432.47</v>
      </c>
    </row>
    <row r="469" spans="1:17">
      <c r="A469" t="s">
        <v>1803</v>
      </c>
      <c r="B469" s="23">
        <v>45534</v>
      </c>
      <c r="C469" s="23" t="str">
        <f t="shared" si="21"/>
        <v>Aug</v>
      </c>
      <c r="D469" s="23" t="str">
        <f t="shared" si="22"/>
        <v>2024</v>
      </c>
      <c r="E469" s="23" t="str">
        <f t="shared" si="23"/>
        <v>Q3</v>
      </c>
      <c r="F469" t="s">
        <v>1804</v>
      </c>
      <c r="G469" s="24" t="s">
        <v>73</v>
      </c>
      <c r="H469" s="17">
        <v>1</v>
      </c>
      <c r="I469" s="19">
        <v>45.94</v>
      </c>
      <c r="J469" t="s">
        <v>763</v>
      </c>
      <c r="K469" s="24" t="s">
        <v>65</v>
      </c>
      <c r="L469" s="24" t="s">
        <v>35</v>
      </c>
      <c r="M469" t="s">
        <v>1805</v>
      </c>
      <c r="N469" s="17">
        <v>2</v>
      </c>
      <c r="O469" t="s">
        <v>81</v>
      </c>
      <c r="P469" s="24" t="s">
        <v>38</v>
      </c>
      <c r="Q469" s="19">
        <v>45.94</v>
      </c>
    </row>
    <row r="470" spans="1:17">
      <c r="A470" t="s">
        <v>1806</v>
      </c>
      <c r="B470" s="23">
        <v>45829</v>
      </c>
      <c r="C470" s="23" t="str">
        <f t="shared" si="21"/>
        <v>Jun</v>
      </c>
      <c r="D470" s="23" t="str">
        <f t="shared" si="22"/>
        <v>2025</v>
      </c>
      <c r="E470" s="23" t="str">
        <f t="shared" si="23"/>
        <v>Q2</v>
      </c>
      <c r="F470" t="s">
        <v>1807</v>
      </c>
      <c r="G470" s="24" t="s">
        <v>25</v>
      </c>
      <c r="H470" s="17">
        <v>1</v>
      </c>
      <c r="I470" s="19">
        <v>418.36</v>
      </c>
      <c r="J470" t="s">
        <v>1808</v>
      </c>
      <c r="K470" s="24" t="s">
        <v>34</v>
      </c>
      <c r="L470" s="24" t="s">
        <v>50</v>
      </c>
      <c r="M470" t="s">
        <v>1809</v>
      </c>
      <c r="N470" s="17">
        <v>5</v>
      </c>
      <c r="O470" t="s">
        <v>37</v>
      </c>
      <c r="P470" s="24" t="s">
        <v>38</v>
      </c>
      <c r="Q470" s="19">
        <v>418.36</v>
      </c>
    </row>
    <row r="471" spans="1:17">
      <c r="A471" t="s">
        <v>1810</v>
      </c>
      <c r="B471" s="23">
        <v>45256</v>
      </c>
      <c r="C471" s="23" t="str">
        <f t="shared" si="21"/>
        <v>Nov</v>
      </c>
      <c r="D471" s="23" t="str">
        <f t="shared" si="22"/>
        <v>2023</v>
      </c>
      <c r="E471" s="23" t="str">
        <f t="shared" si="23"/>
        <v>Q4</v>
      </c>
      <c r="F471" t="s">
        <v>1811</v>
      </c>
      <c r="G471" s="24" t="s">
        <v>41</v>
      </c>
      <c r="H471" s="17">
        <v>5</v>
      </c>
      <c r="I471" s="19">
        <v>676.98</v>
      </c>
      <c r="J471" t="s">
        <v>618</v>
      </c>
      <c r="K471" s="24" t="s">
        <v>65</v>
      </c>
      <c r="L471" s="24" t="s">
        <v>35</v>
      </c>
      <c r="M471" t="s">
        <v>1812</v>
      </c>
      <c r="N471" s="17">
        <v>5</v>
      </c>
      <c r="O471" t="s">
        <v>4295</v>
      </c>
      <c r="P471" s="24" t="s">
        <v>45</v>
      </c>
      <c r="Q471" s="19">
        <v>3384.9</v>
      </c>
    </row>
    <row r="472" spans="1:17">
      <c r="A472" t="s">
        <v>1813</v>
      </c>
      <c r="B472" s="23">
        <v>45198</v>
      </c>
      <c r="C472" s="23" t="str">
        <f t="shared" si="21"/>
        <v>Sep</v>
      </c>
      <c r="D472" s="23" t="str">
        <f t="shared" si="22"/>
        <v>2023</v>
      </c>
      <c r="E472" s="23" t="str">
        <f t="shared" si="23"/>
        <v>Q3</v>
      </c>
      <c r="F472" t="s">
        <v>1814</v>
      </c>
      <c r="G472" s="24" t="s">
        <v>32</v>
      </c>
      <c r="H472" s="17">
        <v>4</v>
      </c>
      <c r="I472" s="19">
        <v>263.62</v>
      </c>
      <c r="J472" t="s">
        <v>1815</v>
      </c>
      <c r="K472" s="24" t="s">
        <v>65</v>
      </c>
      <c r="L472" s="24" t="s">
        <v>19</v>
      </c>
      <c r="M472" t="s">
        <v>1816</v>
      </c>
      <c r="N472" s="17">
        <v>5</v>
      </c>
      <c r="O472" t="s">
        <v>21</v>
      </c>
      <c r="P472" s="24" t="s">
        <v>38</v>
      </c>
      <c r="Q472" s="19">
        <v>1054.48</v>
      </c>
    </row>
    <row r="473" spans="1:17">
      <c r="A473" t="s">
        <v>1817</v>
      </c>
      <c r="B473" s="23">
        <v>45766</v>
      </c>
      <c r="C473" s="23" t="str">
        <f t="shared" si="21"/>
        <v>Apr</v>
      </c>
      <c r="D473" s="23" t="str">
        <f t="shared" si="22"/>
        <v>2025</v>
      </c>
      <c r="E473" s="23" t="str">
        <f t="shared" si="23"/>
        <v>Q2</v>
      </c>
      <c r="F473" t="s">
        <v>1818</v>
      </c>
      <c r="G473" s="24" t="s">
        <v>73</v>
      </c>
      <c r="H473" s="17">
        <v>5</v>
      </c>
      <c r="I473" s="19">
        <v>551.27</v>
      </c>
      <c r="J473" t="s">
        <v>1819</v>
      </c>
      <c r="K473" s="24" t="s">
        <v>27</v>
      </c>
      <c r="L473" s="24" t="s">
        <v>35</v>
      </c>
      <c r="M473" t="s">
        <v>1820</v>
      </c>
      <c r="N473" s="17">
        <v>7</v>
      </c>
      <c r="O473" t="s">
        <v>37</v>
      </c>
      <c r="P473" s="24" t="s">
        <v>29</v>
      </c>
      <c r="Q473" s="19">
        <v>2756.35</v>
      </c>
    </row>
    <row r="474" spans="1:17">
      <c r="A474" t="s">
        <v>1821</v>
      </c>
      <c r="B474" s="23">
        <v>44932</v>
      </c>
      <c r="C474" s="23" t="str">
        <f t="shared" si="21"/>
        <v>Jan</v>
      </c>
      <c r="D474" s="23" t="str">
        <f t="shared" si="22"/>
        <v>2023</v>
      </c>
      <c r="E474" s="23" t="str">
        <f t="shared" si="23"/>
        <v>Q1</v>
      </c>
      <c r="F474" t="s">
        <v>1822</v>
      </c>
      <c r="G474" s="24" t="s">
        <v>41</v>
      </c>
      <c r="H474" s="17">
        <v>3</v>
      </c>
      <c r="I474" s="19">
        <v>508.12</v>
      </c>
      <c r="J474" t="s">
        <v>1823</v>
      </c>
      <c r="K474" s="24" t="s">
        <v>34</v>
      </c>
      <c r="L474" s="24" t="s">
        <v>35</v>
      </c>
      <c r="M474" t="s">
        <v>1824</v>
      </c>
      <c r="N474" s="17">
        <v>8</v>
      </c>
      <c r="O474" t="s">
        <v>37</v>
      </c>
      <c r="P474" s="24" t="s">
        <v>29</v>
      </c>
      <c r="Q474" s="19">
        <v>1524.36</v>
      </c>
    </row>
    <row r="475" spans="1:17">
      <c r="A475" t="s">
        <v>1825</v>
      </c>
      <c r="B475" s="23">
        <v>45713</v>
      </c>
      <c r="C475" s="23" t="str">
        <f t="shared" si="21"/>
        <v>Feb</v>
      </c>
      <c r="D475" s="23" t="str">
        <f t="shared" si="22"/>
        <v>2025</v>
      </c>
      <c r="E475" s="23" t="str">
        <f t="shared" si="23"/>
        <v>Q1</v>
      </c>
      <c r="F475" t="s">
        <v>1826</v>
      </c>
      <c r="G475" s="24" t="s">
        <v>41</v>
      </c>
      <c r="H475" s="17">
        <v>2</v>
      </c>
      <c r="I475" s="19">
        <v>14.93</v>
      </c>
      <c r="J475" t="s">
        <v>1827</v>
      </c>
      <c r="K475" s="24" t="s">
        <v>27</v>
      </c>
      <c r="L475" s="24" t="s">
        <v>19</v>
      </c>
      <c r="M475" t="s">
        <v>1828</v>
      </c>
      <c r="N475" s="17">
        <v>4</v>
      </c>
      <c r="O475" t="s">
        <v>4295</v>
      </c>
      <c r="P475" s="24" t="s">
        <v>45</v>
      </c>
      <c r="Q475" s="19">
        <v>29.86</v>
      </c>
    </row>
    <row r="476" spans="1:17">
      <c r="A476" t="s">
        <v>1829</v>
      </c>
      <c r="B476" s="23">
        <v>45245</v>
      </c>
      <c r="C476" s="23" t="str">
        <f t="shared" si="21"/>
        <v>Nov</v>
      </c>
      <c r="D476" s="23" t="str">
        <f t="shared" si="22"/>
        <v>2023</v>
      </c>
      <c r="E476" s="23" t="str">
        <f t="shared" si="23"/>
        <v>Q4</v>
      </c>
      <c r="F476" t="s">
        <v>1830</v>
      </c>
      <c r="G476" s="24" t="s">
        <v>48</v>
      </c>
      <c r="H476" s="17">
        <v>3</v>
      </c>
      <c r="I476" s="19">
        <v>229.34</v>
      </c>
      <c r="J476" t="s">
        <v>1340</v>
      </c>
      <c r="K476" s="24" t="s">
        <v>34</v>
      </c>
      <c r="L476" s="24" t="s">
        <v>19</v>
      </c>
      <c r="M476" t="s">
        <v>1831</v>
      </c>
      <c r="N476" s="17">
        <v>6</v>
      </c>
      <c r="O476" t="s">
        <v>21</v>
      </c>
      <c r="P476" s="24" t="s">
        <v>29</v>
      </c>
      <c r="Q476" s="19">
        <v>688.02</v>
      </c>
    </row>
    <row r="477" spans="1:17">
      <c r="A477" t="s">
        <v>1832</v>
      </c>
      <c r="B477" s="23">
        <v>45766</v>
      </c>
      <c r="C477" s="23" t="str">
        <f t="shared" si="21"/>
        <v>Apr</v>
      </c>
      <c r="D477" s="23" t="str">
        <f t="shared" si="22"/>
        <v>2025</v>
      </c>
      <c r="E477" s="23" t="str">
        <f t="shared" si="23"/>
        <v>Q2</v>
      </c>
      <c r="F477" t="s">
        <v>1833</v>
      </c>
      <c r="G477" s="24" t="s">
        <v>32</v>
      </c>
      <c r="H477" s="17">
        <v>2</v>
      </c>
      <c r="I477" s="19">
        <v>438.62</v>
      </c>
      <c r="J477" t="s">
        <v>1834</v>
      </c>
      <c r="K477" s="24" t="s">
        <v>65</v>
      </c>
      <c r="L477" s="24" t="s">
        <v>35</v>
      </c>
      <c r="M477" t="s">
        <v>1835</v>
      </c>
      <c r="N477" s="17">
        <v>3</v>
      </c>
      <c r="O477" t="s">
        <v>21</v>
      </c>
      <c r="P477" s="24" t="s">
        <v>45</v>
      </c>
      <c r="Q477" s="19">
        <v>877.24</v>
      </c>
    </row>
    <row r="478" spans="1:17">
      <c r="A478" t="s">
        <v>1836</v>
      </c>
      <c r="B478" s="23">
        <v>45306</v>
      </c>
      <c r="C478" s="23" t="str">
        <f t="shared" si="21"/>
        <v>Jan</v>
      </c>
      <c r="D478" s="23" t="str">
        <f t="shared" si="22"/>
        <v>2024</v>
      </c>
      <c r="E478" s="23" t="str">
        <f t="shared" si="23"/>
        <v>Q1</v>
      </c>
      <c r="F478" t="s">
        <v>1837</v>
      </c>
      <c r="G478" s="24" t="s">
        <v>25</v>
      </c>
      <c r="H478" s="17">
        <v>2</v>
      </c>
      <c r="I478" s="19">
        <v>513.59</v>
      </c>
      <c r="J478" t="s">
        <v>1838</v>
      </c>
      <c r="K478" s="24" t="s">
        <v>27</v>
      </c>
      <c r="L478" s="24" t="s">
        <v>43</v>
      </c>
      <c r="M478" t="s">
        <v>1839</v>
      </c>
      <c r="N478" s="17">
        <v>4</v>
      </c>
      <c r="O478" t="s">
        <v>37</v>
      </c>
      <c r="P478" s="24" t="s">
        <v>29</v>
      </c>
      <c r="Q478" s="19">
        <v>1027.18</v>
      </c>
    </row>
    <row r="479" spans="1:17">
      <c r="A479" t="s">
        <v>1840</v>
      </c>
      <c r="B479" s="23">
        <v>45721</v>
      </c>
      <c r="C479" s="23" t="str">
        <f t="shared" si="21"/>
        <v>Mar</v>
      </c>
      <c r="D479" s="23" t="str">
        <f t="shared" si="22"/>
        <v>2025</v>
      </c>
      <c r="E479" s="23" t="str">
        <f t="shared" si="23"/>
        <v>Q1</v>
      </c>
      <c r="F479" t="s">
        <v>1841</v>
      </c>
      <c r="G479" s="24" t="s">
        <v>25</v>
      </c>
      <c r="H479" s="17">
        <v>2</v>
      </c>
      <c r="I479" s="19">
        <v>253.74</v>
      </c>
      <c r="J479" t="s">
        <v>1842</v>
      </c>
      <c r="K479" s="24" t="s">
        <v>27</v>
      </c>
      <c r="L479" s="24" t="s">
        <v>19</v>
      </c>
      <c r="M479" t="s">
        <v>1843</v>
      </c>
      <c r="N479" s="17">
        <v>5</v>
      </c>
      <c r="O479" t="s">
        <v>21</v>
      </c>
      <c r="P479" s="24" t="s">
        <v>76</v>
      </c>
      <c r="Q479" s="19">
        <v>507.48</v>
      </c>
    </row>
    <row r="480" spans="1:17">
      <c r="A480" t="s">
        <v>1844</v>
      </c>
      <c r="B480" s="23">
        <v>45597</v>
      </c>
      <c r="C480" s="23" t="str">
        <f t="shared" si="21"/>
        <v>Nov</v>
      </c>
      <c r="D480" s="23" t="str">
        <f t="shared" si="22"/>
        <v>2024</v>
      </c>
      <c r="E480" s="23" t="str">
        <f t="shared" si="23"/>
        <v>Q4</v>
      </c>
      <c r="F480" t="s">
        <v>1845</v>
      </c>
      <c r="G480" s="24" t="s">
        <v>32</v>
      </c>
      <c r="H480" s="17">
        <v>3</v>
      </c>
      <c r="I480" s="19">
        <v>62.77</v>
      </c>
      <c r="J480" t="s">
        <v>105</v>
      </c>
      <c r="K480" s="24" t="s">
        <v>60</v>
      </c>
      <c r="L480" s="24" t="s">
        <v>19</v>
      </c>
      <c r="M480" t="s">
        <v>1846</v>
      </c>
      <c r="N480" s="17">
        <v>6</v>
      </c>
      <c r="O480" t="s">
        <v>37</v>
      </c>
      <c r="P480" s="24" t="s">
        <v>29</v>
      </c>
      <c r="Q480" s="19">
        <v>188.31</v>
      </c>
    </row>
    <row r="481" spans="1:17">
      <c r="A481" t="s">
        <v>1847</v>
      </c>
      <c r="B481" s="23">
        <v>44975</v>
      </c>
      <c r="C481" s="23" t="str">
        <f t="shared" si="21"/>
        <v>Feb</v>
      </c>
      <c r="D481" s="23" t="str">
        <f t="shared" si="22"/>
        <v>2023</v>
      </c>
      <c r="E481" s="23" t="str">
        <f t="shared" si="23"/>
        <v>Q1</v>
      </c>
      <c r="F481" t="s">
        <v>1848</v>
      </c>
      <c r="G481" s="24" t="s">
        <v>16</v>
      </c>
      <c r="H481" s="17">
        <v>4</v>
      </c>
      <c r="I481" s="19">
        <v>25.29</v>
      </c>
      <c r="J481" t="s">
        <v>1849</v>
      </c>
      <c r="K481" s="24" t="s">
        <v>34</v>
      </c>
      <c r="L481" s="24" t="s">
        <v>89</v>
      </c>
      <c r="M481" t="s">
        <v>1850</v>
      </c>
      <c r="N481" s="17">
        <v>8</v>
      </c>
      <c r="O481" t="s">
        <v>4295</v>
      </c>
      <c r="P481" s="24" t="s">
        <v>76</v>
      </c>
      <c r="Q481" s="19">
        <v>101.16</v>
      </c>
    </row>
    <row r="482" spans="1:17">
      <c r="A482" t="s">
        <v>1851</v>
      </c>
      <c r="B482" s="23">
        <v>45093</v>
      </c>
      <c r="C482" s="23" t="str">
        <f t="shared" si="21"/>
        <v>Jun</v>
      </c>
      <c r="D482" s="23" t="str">
        <f t="shared" si="22"/>
        <v>2023</v>
      </c>
      <c r="E482" s="23" t="str">
        <f t="shared" si="23"/>
        <v>Q2</v>
      </c>
      <c r="F482" t="s">
        <v>1852</v>
      </c>
      <c r="G482" s="24" t="s">
        <v>41</v>
      </c>
      <c r="H482" s="17">
        <v>1</v>
      </c>
      <c r="I482" s="19">
        <v>335.1</v>
      </c>
      <c r="J482" t="s">
        <v>458</v>
      </c>
      <c r="K482" s="24" t="s">
        <v>18</v>
      </c>
      <c r="L482" s="24" t="s">
        <v>89</v>
      </c>
      <c r="M482" t="s">
        <v>1853</v>
      </c>
      <c r="N482" s="17">
        <v>6</v>
      </c>
      <c r="O482" t="s">
        <v>37</v>
      </c>
      <c r="P482" s="24" t="s">
        <v>29</v>
      </c>
      <c r="Q482" s="19">
        <v>335.1</v>
      </c>
    </row>
    <row r="483" spans="1:17">
      <c r="A483" t="s">
        <v>1854</v>
      </c>
      <c r="B483" s="23">
        <v>45039</v>
      </c>
      <c r="C483" s="23" t="str">
        <f t="shared" si="21"/>
        <v>Apr</v>
      </c>
      <c r="D483" s="23" t="str">
        <f t="shared" si="22"/>
        <v>2023</v>
      </c>
      <c r="E483" s="23" t="str">
        <f t="shared" si="23"/>
        <v>Q2</v>
      </c>
      <c r="F483" t="s">
        <v>1855</v>
      </c>
      <c r="G483" s="24" t="s">
        <v>58</v>
      </c>
      <c r="H483" s="17">
        <v>4</v>
      </c>
      <c r="I483" s="19">
        <v>484.85</v>
      </c>
      <c r="J483" t="s">
        <v>866</v>
      </c>
      <c r="K483" s="24" t="s">
        <v>18</v>
      </c>
      <c r="L483" s="24" t="s">
        <v>50</v>
      </c>
      <c r="M483" t="s">
        <v>1856</v>
      </c>
      <c r="N483" s="17">
        <v>5</v>
      </c>
      <c r="O483" t="s">
        <v>81</v>
      </c>
      <c r="P483" s="24" t="s">
        <v>29</v>
      </c>
      <c r="Q483" s="19">
        <v>1939.4</v>
      </c>
    </row>
    <row r="484" spans="1:17">
      <c r="A484" t="s">
        <v>1857</v>
      </c>
      <c r="B484" s="23">
        <v>45718</v>
      </c>
      <c r="C484" s="23" t="str">
        <f t="shared" si="21"/>
        <v>Mar</v>
      </c>
      <c r="D484" s="23" t="str">
        <f t="shared" si="22"/>
        <v>2025</v>
      </c>
      <c r="E484" s="23" t="str">
        <f t="shared" si="23"/>
        <v>Q1</v>
      </c>
      <c r="F484" t="s">
        <v>1858</v>
      </c>
      <c r="G484" s="24" t="s">
        <v>16</v>
      </c>
      <c r="H484" s="17">
        <v>3</v>
      </c>
      <c r="I484" s="19">
        <v>381.41</v>
      </c>
      <c r="J484" t="s">
        <v>367</v>
      </c>
      <c r="K484" s="24" t="s">
        <v>27</v>
      </c>
      <c r="L484" s="24" t="s">
        <v>89</v>
      </c>
      <c r="M484" t="s">
        <v>1859</v>
      </c>
      <c r="N484" s="17">
        <v>6</v>
      </c>
      <c r="O484" t="s">
        <v>4295</v>
      </c>
      <c r="P484" s="24" t="s">
        <v>22</v>
      </c>
      <c r="Q484" s="19">
        <v>1144.23</v>
      </c>
    </row>
    <row r="485" spans="1:17">
      <c r="A485" t="s">
        <v>1860</v>
      </c>
      <c r="B485" s="23">
        <v>44944</v>
      </c>
      <c r="C485" s="23" t="str">
        <f t="shared" si="21"/>
        <v>Jan</v>
      </c>
      <c r="D485" s="23" t="str">
        <f t="shared" si="22"/>
        <v>2023</v>
      </c>
      <c r="E485" s="23" t="str">
        <f t="shared" si="23"/>
        <v>Q1</v>
      </c>
      <c r="F485" t="s">
        <v>1861</v>
      </c>
      <c r="G485" s="24" t="s">
        <v>25</v>
      </c>
      <c r="H485" s="17">
        <v>5</v>
      </c>
      <c r="I485" s="19">
        <v>347.92</v>
      </c>
      <c r="J485" t="s">
        <v>1862</v>
      </c>
      <c r="K485" s="24" t="s">
        <v>65</v>
      </c>
      <c r="L485" s="24" t="s">
        <v>89</v>
      </c>
      <c r="M485" t="s">
        <v>1863</v>
      </c>
      <c r="N485" s="17">
        <v>6</v>
      </c>
      <c r="O485" t="s">
        <v>81</v>
      </c>
      <c r="P485" s="24" t="s">
        <v>76</v>
      </c>
      <c r="Q485" s="19">
        <v>1739.6</v>
      </c>
    </row>
    <row r="486" spans="1:17">
      <c r="A486" t="s">
        <v>1864</v>
      </c>
      <c r="B486" s="23">
        <v>45441</v>
      </c>
      <c r="C486" s="23" t="str">
        <f t="shared" si="21"/>
        <v>May</v>
      </c>
      <c r="D486" s="23" t="str">
        <f t="shared" si="22"/>
        <v>2024</v>
      </c>
      <c r="E486" s="23" t="str">
        <f t="shared" si="23"/>
        <v>Q2</v>
      </c>
      <c r="F486" t="s">
        <v>1865</v>
      </c>
      <c r="G486" s="24" t="s">
        <v>41</v>
      </c>
      <c r="H486" s="17">
        <v>4</v>
      </c>
      <c r="I486" s="19">
        <v>15.01</v>
      </c>
      <c r="J486" t="s">
        <v>1594</v>
      </c>
      <c r="K486" s="24" t="s">
        <v>65</v>
      </c>
      <c r="L486" s="24" t="s">
        <v>35</v>
      </c>
      <c r="M486" t="s">
        <v>1866</v>
      </c>
      <c r="N486" s="17">
        <v>6</v>
      </c>
      <c r="O486" t="s">
        <v>4295</v>
      </c>
      <c r="P486" s="24" t="s">
        <v>45</v>
      </c>
      <c r="Q486" s="19">
        <v>60.04</v>
      </c>
    </row>
    <row r="487" spans="1:17">
      <c r="A487" t="s">
        <v>1867</v>
      </c>
      <c r="B487" s="23">
        <v>45139</v>
      </c>
      <c r="C487" s="23" t="str">
        <f t="shared" si="21"/>
        <v>Aug</v>
      </c>
      <c r="D487" s="23" t="str">
        <f t="shared" si="22"/>
        <v>2023</v>
      </c>
      <c r="E487" s="23" t="str">
        <f t="shared" si="23"/>
        <v>Q3</v>
      </c>
      <c r="F487" t="s">
        <v>1868</v>
      </c>
      <c r="G487" s="24" t="s">
        <v>41</v>
      </c>
      <c r="H487" s="17">
        <v>3</v>
      </c>
      <c r="I487" s="19">
        <v>404.79</v>
      </c>
      <c r="J487" t="s">
        <v>1869</v>
      </c>
      <c r="K487" s="24" t="s">
        <v>65</v>
      </c>
      <c r="L487" s="24" t="s">
        <v>19</v>
      </c>
      <c r="M487" t="s">
        <v>1870</v>
      </c>
      <c r="N487" s="17">
        <v>6</v>
      </c>
      <c r="O487" t="s">
        <v>21</v>
      </c>
      <c r="P487" s="24" t="s">
        <v>22</v>
      </c>
      <c r="Q487" s="19">
        <v>1214.37</v>
      </c>
    </row>
    <row r="488" spans="1:17">
      <c r="A488" t="s">
        <v>1871</v>
      </c>
      <c r="B488" s="23">
        <v>44960</v>
      </c>
      <c r="C488" s="23" t="str">
        <f t="shared" si="21"/>
        <v>Feb</v>
      </c>
      <c r="D488" s="23" t="str">
        <f t="shared" si="22"/>
        <v>2023</v>
      </c>
      <c r="E488" s="23" t="str">
        <f t="shared" si="23"/>
        <v>Q1</v>
      </c>
      <c r="F488" t="s">
        <v>1872</v>
      </c>
      <c r="G488" s="24" t="s">
        <v>48</v>
      </c>
      <c r="H488" s="17">
        <v>4</v>
      </c>
      <c r="I488" s="19">
        <v>611.26</v>
      </c>
      <c r="J488" t="s">
        <v>1525</v>
      </c>
      <c r="K488" s="24" t="s">
        <v>65</v>
      </c>
      <c r="L488" s="24" t="s">
        <v>19</v>
      </c>
      <c r="M488" t="s">
        <v>1873</v>
      </c>
      <c r="N488" s="17">
        <v>5</v>
      </c>
      <c r="O488" t="s">
        <v>21</v>
      </c>
      <c r="P488" s="24" t="s">
        <v>29</v>
      </c>
      <c r="Q488" s="19">
        <v>2445.04</v>
      </c>
    </row>
    <row r="489" spans="1:17">
      <c r="A489" t="s">
        <v>1874</v>
      </c>
      <c r="B489" s="23">
        <v>44994</v>
      </c>
      <c r="C489" s="23" t="str">
        <f t="shared" si="21"/>
        <v>Mar</v>
      </c>
      <c r="D489" s="23" t="str">
        <f t="shared" si="22"/>
        <v>2023</v>
      </c>
      <c r="E489" s="23" t="str">
        <f t="shared" si="23"/>
        <v>Q1</v>
      </c>
      <c r="F489" t="s">
        <v>1875</v>
      </c>
      <c r="G489" s="24" t="s">
        <v>48</v>
      </c>
      <c r="H489" s="17">
        <v>3</v>
      </c>
      <c r="I489" s="19">
        <v>346.52</v>
      </c>
      <c r="J489" t="s">
        <v>1876</v>
      </c>
      <c r="K489" s="24" t="s">
        <v>34</v>
      </c>
      <c r="L489" s="24" t="s">
        <v>89</v>
      </c>
      <c r="M489" t="s">
        <v>1877</v>
      </c>
      <c r="N489" s="17">
        <v>3</v>
      </c>
      <c r="O489" t="s">
        <v>21</v>
      </c>
      <c r="P489" s="24" t="s">
        <v>76</v>
      </c>
      <c r="Q489" s="19">
        <v>1039.56</v>
      </c>
    </row>
    <row r="490" spans="1:17">
      <c r="A490" t="s">
        <v>1878</v>
      </c>
      <c r="B490" s="23">
        <v>45631</v>
      </c>
      <c r="C490" s="23" t="str">
        <f t="shared" si="21"/>
        <v>Dec</v>
      </c>
      <c r="D490" s="23" t="str">
        <f t="shared" si="22"/>
        <v>2024</v>
      </c>
      <c r="E490" s="23" t="str">
        <f t="shared" si="23"/>
        <v>Q4</v>
      </c>
      <c r="F490" t="s">
        <v>1879</v>
      </c>
      <c r="G490" s="24" t="s">
        <v>41</v>
      </c>
      <c r="H490" s="17">
        <v>1</v>
      </c>
      <c r="I490" s="19">
        <v>36.65</v>
      </c>
      <c r="J490" t="s">
        <v>1880</v>
      </c>
      <c r="K490" s="24" t="s">
        <v>27</v>
      </c>
      <c r="L490" s="24" t="s">
        <v>35</v>
      </c>
      <c r="M490" t="s">
        <v>1881</v>
      </c>
      <c r="N490" s="17">
        <v>1</v>
      </c>
      <c r="O490" t="s">
        <v>81</v>
      </c>
      <c r="P490" s="24" t="s">
        <v>38</v>
      </c>
      <c r="Q490" s="19">
        <v>36.65</v>
      </c>
    </row>
    <row r="491" spans="1:17">
      <c r="A491" t="s">
        <v>1882</v>
      </c>
      <c r="B491" s="23">
        <v>45174</v>
      </c>
      <c r="C491" s="23" t="str">
        <f t="shared" si="21"/>
        <v>Sep</v>
      </c>
      <c r="D491" s="23" t="str">
        <f t="shared" si="22"/>
        <v>2023</v>
      </c>
      <c r="E491" s="23" t="str">
        <f t="shared" si="23"/>
        <v>Q3</v>
      </c>
      <c r="F491" t="s">
        <v>1883</v>
      </c>
      <c r="G491" s="24" t="s">
        <v>32</v>
      </c>
      <c r="H491" s="17">
        <v>3</v>
      </c>
      <c r="I491" s="19">
        <v>149.34</v>
      </c>
      <c r="J491" t="s">
        <v>1066</v>
      </c>
      <c r="K491" s="24" t="s">
        <v>60</v>
      </c>
      <c r="L491" s="24" t="s">
        <v>35</v>
      </c>
      <c r="M491" t="s">
        <v>1884</v>
      </c>
      <c r="N491" s="17">
        <v>7</v>
      </c>
      <c r="O491" t="s">
        <v>81</v>
      </c>
      <c r="P491" s="24" t="s">
        <v>38</v>
      </c>
      <c r="Q491" s="19">
        <v>448.02</v>
      </c>
    </row>
    <row r="492" spans="1:17">
      <c r="A492" t="s">
        <v>1885</v>
      </c>
      <c r="B492" s="23">
        <v>45495</v>
      </c>
      <c r="C492" s="23" t="str">
        <f t="shared" si="21"/>
        <v>Jul</v>
      </c>
      <c r="D492" s="23" t="str">
        <f t="shared" si="22"/>
        <v>2024</v>
      </c>
      <c r="E492" s="23" t="str">
        <f t="shared" si="23"/>
        <v>Q3</v>
      </c>
      <c r="F492" t="s">
        <v>1886</v>
      </c>
      <c r="G492" s="24" t="s">
        <v>41</v>
      </c>
      <c r="H492" s="17">
        <v>5</v>
      </c>
      <c r="I492" s="19">
        <v>467.81</v>
      </c>
      <c r="J492" t="s">
        <v>1887</v>
      </c>
      <c r="K492" s="24" t="s">
        <v>27</v>
      </c>
      <c r="L492" s="24" t="s">
        <v>35</v>
      </c>
      <c r="M492" t="s">
        <v>1888</v>
      </c>
      <c r="N492" s="17">
        <v>10</v>
      </c>
      <c r="O492" t="s">
        <v>4295</v>
      </c>
      <c r="P492" s="24" t="s">
        <v>45</v>
      </c>
      <c r="Q492" s="19">
        <v>2339.05</v>
      </c>
    </row>
    <row r="493" spans="1:17">
      <c r="A493" t="s">
        <v>1889</v>
      </c>
      <c r="B493" s="23">
        <v>44931</v>
      </c>
      <c r="C493" s="23" t="str">
        <f t="shared" si="21"/>
        <v>Jan</v>
      </c>
      <c r="D493" s="23" t="str">
        <f t="shared" si="22"/>
        <v>2023</v>
      </c>
      <c r="E493" s="23" t="str">
        <f t="shared" si="23"/>
        <v>Q1</v>
      </c>
      <c r="F493" t="s">
        <v>1890</v>
      </c>
      <c r="G493" s="24" t="s">
        <v>25</v>
      </c>
      <c r="H493" s="17">
        <v>5</v>
      </c>
      <c r="I493" s="19">
        <v>420.7</v>
      </c>
      <c r="J493" t="s">
        <v>1842</v>
      </c>
      <c r="K493" s="24" t="s">
        <v>65</v>
      </c>
      <c r="L493" s="24" t="s">
        <v>89</v>
      </c>
      <c r="M493" t="s">
        <v>1891</v>
      </c>
      <c r="N493" s="17">
        <v>5</v>
      </c>
      <c r="O493" t="s">
        <v>81</v>
      </c>
      <c r="P493" s="24" t="s">
        <v>45</v>
      </c>
      <c r="Q493" s="19">
        <v>2103.5</v>
      </c>
    </row>
    <row r="494" spans="1:17">
      <c r="A494" t="s">
        <v>1892</v>
      </c>
      <c r="B494" s="23">
        <v>45224</v>
      </c>
      <c r="C494" s="23" t="str">
        <f t="shared" si="21"/>
        <v>Oct</v>
      </c>
      <c r="D494" s="23" t="str">
        <f t="shared" si="22"/>
        <v>2023</v>
      </c>
      <c r="E494" s="23" t="str">
        <f t="shared" si="23"/>
        <v>Q4</v>
      </c>
      <c r="F494" t="s">
        <v>1893</v>
      </c>
      <c r="G494" s="24" t="s">
        <v>58</v>
      </c>
      <c r="H494" s="17">
        <v>5</v>
      </c>
      <c r="I494" s="19">
        <v>606.52</v>
      </c>
      <c r="J494" t="s">
        <v>351</v>
      </c>
      <c r="K494" s="24" t="s">
        <v>18</v>
      </c>
      <c r="L494" s="24" t="s">
        <v>19</v>
      </c>
      <c r="M494" t="s">
        <v>1894</v>
      </c>
      <c r="N494" s="17">
        <v>6</v>
      </c>
      <c r="O494" t="s">
        <v>21</v>
      </c>
      <c r="P494" s="24" t="s">
        <v>22</v>
      </c>
      <c r="Q494" s="19">
        <v>3032.6</v>
      </c>
    </row>
    <row r="495" spans="1:17">
      <c r="A495" t="s">
        <v>1895</v>
      </c>
      <c r="B495" s="23">
        <v>45685</v>
      </c>
      <c r="C495" s="23" t="str">
        <f t="shared" si="21"/>
        <v>Jan</v>
      </c>
      <c r="D495" s="23" t="str">
        <f t="shared" si="22"/>
        <v>2025</v>
      </c>
      <c r="E495" s="23" t="str">
        <f t="shared" si="23"/>
        <v>Q1</v>
      </c>
      <c r="F495" t="s">
        <v>1896</v>
      </c>
      <c r="G495" s="24" t="s">
        <v>25</v>
      </c>
      <c r="H495" s="17">
        <v>1</v>
      </c>
      <c r="I495" s="19">
        <v>420.26</v>
      </c>
      <c r="J495" t="s">
        <v>1897</v>
      </c>
      <c r="K495" s="24" t="s">
        <v>34</v>
      </c>
      <c r="L495" s="24" t="s">
        <v>89</v>
      </c>
      <c r="M495" t="s">
        <v>1898</v>
      </c>
      <c r="N495" s="17">
        <v>4</v>
      </c>
      <c r="O495" t="s">
        <v>37</v>
      </c>
      <c r="P495" s="24" t="s">
        <v>45</v>
      </c>
      <c r="Q495" s="19">
        <v>420.26</v>
      </c>
    </row>
    <row r="496" spans="1:17">
      <c r="A496" t="s">
        <v>1899</v>
      </c>
      <c r="B496" s="23">
        <v>45126</v>
      </c>
      <c r="C496" s="23" t="str">
        <f t="shared" si="21"/>
        <v>Jul</v>
      </c>
      <c r="D496" s="23" t="str">
        <f t="shared" si="22"/>
        <v>2023</v>
      </c>
      <c r="E496" s="23" t="str">
        <f t="shared" si="23"/>
        <v>Q3</v>
      </c>
      <c r="F496" t="s">
        <v>1900</v>
      </c>
      <c r="G496" s="24" t="s">
        <v>58</v>
      </c>
      <c r="H496" s="17">
        <v>3</v>
      </c>
      <c r="I496" s="19">
        <v>505.79</v>
      </c>
      <c r="J496" t="s">
        <v>1901</v>
      </c>
      <c r="K496" s="24" t="s">
        <v>18</v>
      </c>
      <c r="L496" s="24" t="s">
        <v>89</v>
      </c>
      <c r="M496" t="s">
        <v>1902</v>
      </c>
      <c r="N496" s="17">
        <v>3</v>
      </c>
      <c r="O496" t="s">
        <v>37</v>
      </c>
      <c r="P496" s="24" t="s">
        <v>29</v>
      </c>
      <c r="Q496" s="19">
        <v>1517.37</v>
      </c>
    </row>
    <row r="497" spans="1:17">
      <c r="A497" t="s">
        <v>1903</v>
      </c>
      <c r="B497" s="23">
        <v>45813</v>
      </c>
      <c r="C497" s="23" t="str">
        <f t="shared" si="21"/>
        <v>Jun</v>
      </c>
      <c r="D497" s="23" t="str">
        <f t="shared" si="22"/>
        <v>2025</v>
      </c>
      <c r="E497" s="23" t="str">
        <f t="shared" si="23"/>
        <v>Q2</v>
      </c>
      <c r="F497" t="s">
        <v>1904</v>
      </c>
      <c r="G497" s="24" t="s">
        <v>25</v>
      </c>
      <c r="H497" s="17">
        <v>4</v>
      </c>
      <c r="I497" s="19">
        <v>493.73</v>
      </c>
      <c r="J497" t="s">
        <v>634</v>
      </c>
      <c r="K497" s="24" t="s">
        <v>18</v>
      </c>
      <c r="L497" s="24" t="s">
        <v>89</v>
      </c>
      <c r="M497" t="s">
        <v>1905</v>
      </c>
      <c r="N497" s="17">
        <v>6</v>
      </c>
      <c r="O497" t="s">
        <v>21</v>
      </c>
      <c r="P497" s="24" t="s">
        <v>45</v>
      </c>
      <c r="Q497" s="19">
        <v>1974.92</v>
      </c>
    </row>
    <row r="498" spans="1:17">
      <c r="A498" t="s">
        <v>1906</v>
      </c>
      <c r="B498" s="23">
        <v>45730</v>
      </c>
      <c r="C498" s="23" t="str">
        <f t="shared" si="21"/>
        <v>Mar</v>
      </c>
      <c r="D498" s="23" t="str">
        <f t="shared" si="22"/>
        <v>2025</v>
      </c>
      <c r="E498" s="23" t="str">
        <f t="shared" si="23"/>
        <v>Q1</v>
      </c>
      <c r="F498" t="s">
        <v>1907</v>
      </c>
      <c r="G498" s="24" t="s">
        <v>48</v>
      </c>
      <c r="H498" s="17">
        <v>3</v>
      </c>
      <c r="I498" s="19">
        <v>201.21</v>
      </c>
      <c r="J498" t="s">
        <v>1908</v>
      </c>
      <c r="K498" s="24" t="s">
        <v>27</v>
      </c>
      <c r="L498" s="24" t="s">
        <v>35</v>
      </c>
      <c r="M498" t="s">
        <v>1909</v>
      </c>
      <c r="N498" s="17">
        <v>3</v>
      </c>
      <c r="O498" t="s">
        <v>21</v>
      </c>
      <c r="P498" s="24" t="s">
        <v>76</v>
      </c>
      <c r="Q498" s="19">
        <v>603.63</v>
      </c>
    </row>
    <row r="499" spans="1:17">
      <c r="A499" t="s">
        <v>1910</v>
      </c>
      <c r="B499" s="23">
        <v>45589</v>
      </c>
      <c r="C499" s="23" t="str">
        <f t="shared" si="21"/>
        <v>Oct</v>
      </c>
      <c r="D499" s="23" t="str">
        <f t="shared" si="22"/>
        <v>2024</v>
      </c>
      <c r="E499" s="23" t="str">
        <f t="shared" si="23"/>
        <v>Q4</v>
      </c>
      <c r="F499" t="s">
        <v>1911</v>
      </c>
      <c r="G499" s="24" t="s">
        <v>48</v>
      </c>
      <c r="H499" s="17">
        <v>3</v>
      </c>
      <c r="I499" s="19">
        <v>112.29</v>
      </c>
      <c r="J499" t="s">
        <v>1912</v>
      </c>
      <c r="K499" s="24" t="s">
        <v>60</v>
      </c>
      <c r="L499" s="24" t="s">
        <v>19</v>
      </c>
      <c r="M499" t="s">
        <v>1913</v>
      </c>
      <c r="N499" s="17">
        <v>6</v>
      </c>
      <c r="O499" t="s">
        <v>4295</v>
      </c>
      <c r="P499" s="24" t="s">
        <v>76</v>
      </c>
      <c r="Q499" s="19">
        <v>336.87</v>
      </c>
    </row>
    <row r="500" spans="1:17">
      <c r="A500" t="s">
        <v>1914</v>
      </c>
      <c r="B500" s="23">
        <v>45119</v>
      </c>
      <c r="C500" s="23" t="str">
        <f t="shared" si="21"/>
        <v>Jul</v>
      </c>
      <c r="D500" s="23" t="str">
        <f t="shared" si="22"/>
        <v>2023</v>
      </c>
      <c r="E500" s="23" t="str">
        <f t="shared" si="23"/>
        <v>Q3</v>
      </c>
      <c r="F500" t="s">
        <v>1915</v>
      </c>
      <c r="G500" s="24" t="s">
        <v>32</v>
      </c>
      <c r="H500" s="17">
        <v>4</v>
      </c>
      <c r="I500" s="19">
        <v>132.56</v>
      </c>
      <c r="J500" t="s">
        <v>988</v>
      </c>
      <c r="K500" s="24" t="s">
        <v>65</v>
      </c>
      <c r="L500" s="24" t="s">
        <v>43</v>
      </c>
      <c r="M500" t="s">
        <v>1916</v>
      </c>
      <c r="N500" s="17">
        <v>8</v>
      </c>
      <c r="O500" t="s">
        <v>81</v>
      </c>
      <c r="P500" s="24" t="s">
        <v>22</v>
      </c>
      <c r="Q500" s="19">
        <v>530.24</v>
      </c>
    </row>
    <row r="501" spans="1:17">
      <c r="A501" t="s">
        <v>1917</v>
      </c>
      <c r="B501" s="23">
        <v>45022</v>
      </c>
      <c r="C501" s="23" t="str">
        <f t="shared" si="21"/>
        <v>Apr</v>
      </c>
      <c r="D501" s="23" t="str">
        <f t="shared" si="22"/>
        <v>2023</v>
      </c>
      <c r="E501" s="23" t="str">
        <f t="shared" si="23"/>
        <v>Q2</v>
      </c>
      <c r="F501" t="s">
        <v>1918</v>
      </c>
      <c r="G501" s="24" t="s">
        <v>48</v>
      </c>
      <c r="H501" s="17">
        <v>3</v>
      </c>
      <c r="I501" s="19">
        <v>539.46</v>
      </c>
      <c r="J501" t="s">
        <v>1919</v>
      </c>
      <c r="K501" s="24" t="s">
        <v>34</v>
      </c>
      <c r="L501" s="24" t="s">
        <v>19</v>
      </c>
      <c r="M501" t="s">
        <v>1920</v>
      </c>
      <c r="N501" s="17">
        <v>4</v>
      </c>
      <c r="O501" t="s">
        <v>21</v>
      </c>
      <c r="P501" s="24" t="s">
        <v>45</v>
      </c>
      <c r="Q501" s="19">
        <v>1618.38</v>
      </c>
    </row>
    <row r="502" spans="1:17">
      <c r="A502" t="s">
        <v>1921</v>
      </c>
      <c r="B502" s="23">
        <v>45389</v>
      </c>
      <c r="C502" s="23" t="str">
        <f t="shared" si="21"/>
        <v>Apr</v>
      </c>
      <c r="D502" s="23" t="str">
        <f t="shared" si="22"/>
        <v>2024</v>
      </c>
      <c r="E502" s="23" t="str">
        <f t="shared" si="23"/>
        <v>Q2</v>
      </c>
      <c r="F502" t="s">
        <v>1922</v>
      </c>
      <c r="G502" s="24" t="s">
        <v>58</v>
      </c>
      <c r="H502" s="17">
        <v>5</v>
      </c>
      <c r="I502" s="19">
        <v>508.59</v>
      </c>
      <c r="J502" t="s">
        <v>1923</v>
      </c>
      <c r="K502" s="24" t="s">
        <v>65</v>
      </c>
      <c r="L502" s="24" t="s">
        <v>43</v>
      </c>
      <c r="M502" t="s">
        <v>1924</v>
      </c>
      <c r="N502" s="17">
        <v>8</v>
      </c>
      <c r="O502" t="s">
        <v>81</v>
      </c>
      <c r="P502" s="24" t="s">
        <v>45</v>
      </c>
      <c r="Q502" s="19">
        <v>2542.95</v>
      </c>
    </row>
    <row r="503" spans="1:17">
      <c r="A503" t="s">
        <v>1925</v>
      </c>
      <c r="B503" s="23">
        <v>45326</v>
      </c>
      <c r="C503" s="23" t="str">
        <f t="shared" si="21"/>
        <v>Feb</v>
      </c>
      <c r="D503" s="23" t="str">
        <f t="shared" si="22"/>
        <v>2024</v>
      </c>
      <c r="E503" s="23" t="str">
        <f t="shared" si="23"/>
        <v>Q1</v>
      </c>
      <c r="F503" t="s">
        <v>1926</v>
      </c>
      <c r="G503" s="24" t="s">
        <v>73</v>
      </c>
      <c r="H503" s="17">
        <v>4</v>
      </c>
      <c r="I503" s="19">
        <v>203.46</v>
      </c>
      <c r="J503" t="s">
        <v>685</v>
      </c>
      <c r="K503" s="24" t="s">
        <v>34</v>
      </c>
      <c r="L503" s="24" t="s">
        <v>89</v>
      </c>
      <c r="M503" t="s">
        <v>1927</v>
      </c>
      <c r="N503" s="17">
        <v>7</v>
      </c>
      <c r="O503" t="s">
        <v>21</v>
      </c>
      <c r="P503" s="24" t="s">
        <v>29</v>
      </c>
      <c r="Q503" s="19">
        <v>813.84</v>
      </c>
    </row>
    <row r="504" spans="1:17">
      <c r="A504" t="s">
        <v>1928</v>
      </c>
      <c r="B504" s="23">
        <v>45066</v>
      </c>
      <c r="C504" s="23" t="str">
        <f t="shared" si="21"/>
        <v>May</v>
      </c>
      <c r="D504" s="23" t="str">
        <f t="shared" si="22"/>
        <v>2023</v>
      </c>
      <c r="E504" s="23" t="str">
        <f t="shared" si="23"/>
        <v>Q2</v>
      </c>
      <c r="F504" t="s">
        <v>1929</v>
      </c>
      <c r="G504" s="24" t="s">
        <v>16</v>
      </c>
      <c r="H504" s="17">
        <v>3</v>
      </c>
      <c r="I504" s="19">
        <v>565.25</v>
      </c>
      <c r="J504" t="s">
        <v>1930</v>
      </c>
      <c r="K504" s="24" t="s">
        <v>18</v>
      </c>
      <c r="L504" s="24" t="s">
        <v>43</v>
      </c>
      <c r="M504" t="s">
        <v>1931</v>
      </c>
      <c r="N504" s="17">
        <v>7</v>
      </c>
      <c r="O504" t="s">
        <v>21</v>
      </c>
      <c r="P504" s="24" t="s">
        <v>38</v>
      </c>
      <c r="Q504" s="19">
        <v>1695.75</v>
      </c>
    </row>
    <row r="505" spans="1:17">
      <c r="A505" t="s">
        <v>1932</v>
      </c>
      <c r="B505" s="23">
        <v>45169</v>
      </c>
      <c r="C505" s="23" t="str">
        <f t="shared" si="21"/>
        <v>Aug</v>
      </c>
      <c r="D505" s="23" t="str">
        <f t="shared" si="22"/>
        <v>2023</v>
      </c>
      <c r="E505" s="23" t="str">
        <f t="shared" si="23"/>
        <v>Q3</v>
      </c>
      <c r="F505" t="s">
        <v>1933</v>
      </c>
      <c r="G505" s="24" t="s">
        <v>32</v>
      </c>
      <c r="H505" s="17">
        <v>3</v>
      </c>
      <c r="I505" s="19">
        <v>136.84</v>
      </c>
      <c r="J505" t="s">
        <v>1934</v>
      </c>
      <c r="K505" s="24" t="s">
        <v>27</v>
      </c>
      <c r="L505" s="24" t="s">
        <v>89</v>
      </c>
      <c r="M505" t="s">
        <v>1935</v>
      </c>
      <c r="N505" s="17">
        <v>4</v>
      </c>
      <c r="O505" t="s">
        <v>37</v>
      </c>
      <c r="P505" s="24" t="s">
        <v>45</v>
      </c>
      <c r="Q505" s="19">
        <v>410.52</v>
      </c>
    </row>
    <row r="506" spans="1:17">
      <c r="A506" t="s">
        <v>1936</v>
      </c>
      <c r="B506" s="23">
        <v>45819</v>
      </c>
      <c r="C506" s="23" t="str">
        <f t="shared" si="21"/>
        <v>Jun</v>
      </c>
      <c r="D506" s="23" t="str">
        <f t="shared" si="22"/>
        <v>2025</v>
      </c>
      <c r="E506" s="23" t="str">
        <f t="shared" si="23"/>
        <v>Q2</v>
      </c>
      <c r="F506" t="s">
        <v>1937</v>
      </c>
      <c r="G506" s="24" t="s">
        <v>16</v>
      </c>
      <c r="H506" s="17">
        <v>2</v>
      </c>
      <c r="I506" s="19">
        <v>464.5</v>
      </c>
      <c r="J506" t="s">
        <v>1938</v>
      </c>
      <c r="K506" s="24" t="s">
        <v>27</v>
      </c>
      <c r="L506" s="24" t="s">
        <v>35</v>
      </c>
      <c r="M506" t="s">
        <v>1939</v>
      </c>
      <c r="N506" s="17">
        <v>2</v>
      </c>
      <c r="O506" t="s">
        <v>81</v>
      </c>
      <c r="P506" s="24" t="s">
        <v>22</v>
      </c>
      <c r="Q506" s="19">
        <v>929</v>
      </c>
    </row>
    <row r="507" spans="1:17">
      <c r="A507" t="s">
        <v>1940</v>
      </c>
      <c r="B507" s="23">
        <v>45088</v>
      </c>
      <c r="C507" s="23" t="str">
        <f t="shared" si="21"/>
        <v>Jun</v>
      </c>
      <c r="D507" s="23" t="str">
        <f t="shared" si="22"/>
        <v>2023</v>
      </c>
      <c r="E507" s="23" t="str">
        <f t="shared" si="23"/>
        <v>Q2</v>
      </c>
      <c r="F507" t="s">
        <v>1941</v>
      </c>
      <c r="G507" s="24" t="s">
        <v>48</v>
      </c>
      <c r="H507" s="17">
        <v>2</v>
      </c>
      <c r="I507" s="19">
        <v>434.97</v>
      </c>
      <c r="J507" t="s">
        <v>1525</v>
      </c>
      <c r="K507" s="24" t="s">
        <v>27</v>
      </c>
      <c r="L507" s="24" t="s">
        <v>19</v>
      </c>
      <c r="M507" t="s">
        <v>1942</v>
      </c>
      <c r="N507" s="17">
        <v>7</v>
      </c>
      <c r="O507" t="s">
        <v>4295</v>
      </c>
      <c r="P507" s="24" t="s">
        <v>38</v>
      </c>
      <c r="Q507" s="19">
        <v>869.94</v>
      </c>
    </row>
    <row r="508" spans="1:17">
      <c r="A508" t="s">
        <v>1943</v>
      </c>
      <c r="B508" s="23">
        <v>45132</v>
      </c>
      <c r="C508" s="23" t="str">
        <f t="shared" si="21"/>
        <v>Jul</v>
      </c>
      <c r="D508" s="23" t="str">
        <f t="shared" si="22"/>
        <v>2023</v>
      </c>
      <c r="E508" s="23" t="str">
        <f t="shared" si="23"/>
        <v>Q3</v>
      </c>
      <c r="F508" t="s">
        <v>1944</v>
      </c>
      <c r="G508" s="24" t="s">
        <v>16</v>
      </c>
      <c r="H508" s="17">
        <v>2</v>
      </c>
      <c r="I508" s="19">
        <v>43.67</v>
      </c>
      <c r="J508" t="s">
        <v>1945</v>
      </c>
      <c r="K508" s="24" t="s">
        <v>65</v>
      </c>
      <c r="L508" s="24" t="s">
        <v>43</v>
      </c>
      <c r="M508" t="s">
        <v>1946</v>
      </c>
      <c r="N508" s="17">
        <v>4</v>
      </c>
      <c r="O508" t="s">
        <v>81</v>
      </c>
      <c r="P508" s="24" t="s">
        <v>22</v>
      </c>
      <c r="Q508" s="19">
        <v>87.34</v>
      </c>
    </row>
    <row r="509" spans="1:17">
      <c r="A509" t="s">
        <v>1947</v>
      </c>
      <c r="B509" s="23">
        <v>45112</v>
      </c>
      <c r="C509" s="23" t="str">
        <f t="shared" si="21"/>
        <v>Jul</v>
      </c>
      <c r="D509" s="23" t="str">
        <f t="shared" si="22"/>
        <v>2023</v>
      </c>
      <c r="E509" s="23" t="str">
        <f t="shared" si="23"/>
        <v>Q3</v>
      </c>
      <c r="F509" t="s">
        <v>1948</v>
      </c>
      <c r="G509" s="24" t="s">
        <v>25</v>
      </c>
      <c r="H509" s="17">
        <v>1</v>
      </c>
      <c r="I509" s="19">
        <v>171.59</v>
      </c>
      <c r="J509" t="s">
        <v>1299</v>
      </c>
      <c r="K509" s="24" t="s">
        <v>34</v>
      </c>
      <c r="L509" s="24" t="s">
        <v>89</v>
      </c>
      <c r="M509" t="s">
        <v>1949</v>
      </c>
      <c r="N509" s="17">
        <v>5</v>
      </c>
      <c r="O509" t="s">
        <v>81</v>
      </c>
      <c r="P509" s="24" t="s">
        <v>38</v>
      </c>
      <c r="Q509" s="19">
        <v>171.59</v>
      </c>
    </row>
    <row r="510" spans="1:17">
      <c r="A510" t="s">
        <v>1950</v>
      </c>
      <c r="B510" s="23">
        <v>45791</v>
      </c>
      <c r="C510" s="23" t="str">
        <f t="shared" si="21"/>
        <v>May</v>
      </c>
      <c r="D510" s="23" t="str">
        <f t="shared" si="22"/>
        <v>2025</v>
      </c>
      <c r="E510" s="23" t="str">
        <f t="shared" si="23"/>
        <v>Q2</v>
      </c>
      <c r="F510" t="s">
        <v>1951</v>
      </c>
      <c r="G510" s="24" t="s">
        <v>25</v>
      </c>
      <c r="H510" s="17">
        <v>1</v>
      </c>
      <c r="I510" s="19">
        <v>558.27</v>
      </c>
      <c r="J510" t="s">
        <v>1952</v>
      </c>
      <c r="K510" s="24" t="s">
        <v>27</v>
      </c>
      <c r="L510" s="24" t="s">
        <v>50</v>
      </c>
      <c r="M510" t="s">
        <v>1953</v>
      </c>
      <c r="N510" s="17">
        <v>1</v>
      </c>
      <c r="O510" t="s">
        <v>4295</v>
      </c>
      <c r="P510" s="24" t="s">
        <v>29</v>
      </c>
      <c r="Q510" s="19">
        <v>558.27</v>
      </c>
    </row>
    <row r="511" spans="1:17">
      <c r="A511" t="s">
        <v>1954</v>
      </c>
      <c r="B511" s="23">
        <v>44972</v>
      </c>
      <c r="C511" s="23" t="str">
        <f t="shared" si="21"/>
        <v>Feb</v>
      </c>
      <c r="D511" s="23" t="str">
        <f t="shared" si="22"/>
        <v>2023</v>
      </c>
      <c r="E511" s="23" t="str">
        <f t="shared" si="23"/>
        <v>Q1</v>
      </c>
      <c r="F511" t="s">
        <v>1955</v>
      </c>
      <c r="G511" s="24" t="s">
        <v>58</v>
      </c>
      <c r="H511" s="17">
        <v>2</v>
      </c>
      <c r="I511" s="19">
        <v>425.03</v>
      </c>
      <c r="J511" t="s">
        <v>1956</v>
      </c>
      <c r="K511" s="24" t="s">
        <v>65</v>
      </c>
      <c r="L511" s="24" t="s">
        <v>43</v>
      </c>
      <c r="M511" t="s">
        <v>1957</v>
      </c>
      <c r="N511" s="17">
        <v>2</v>
      </c>
      <c r="O511" t="s">
        <v>81</v>
      </c>
      <c r="P511" s="24" t="s">
        <v>76</v>
      </c>
      <c r="Q511" s="19">
        <v>850.06</v>
      </c>
    </row>
    <row r="512" spans="1:17">
      <c r="A512" t="s">
        <v>1958</v>
      </c>
      <c r="B512" s="23">
        <v>45642</v>
      </c>
      <c r="C512" s="23" t="str">
        <f t="shared" si="21"/>
        <v>Dec</v>
      </c>
      <c r="D512" s="23" t="str">
        <f t="shared" si="22"/>
        <v>2024</v>
      </c>
      <c r="E512" s="23" t="str">
        <f t="shared" si="23"/>
        <v>Q4</v>
      </c>
      <c r="F512" t="s">
        <v>1959</v>
      </c>
      <c r="G512" s="24" t="s">
        <v>48</v>
      </c>
      <c r="H512" s="17">
        <v>1</v>
      </c>
      <c r="I512" s="19">
        <v>376.76</v>
      </c>
      <c r="J512" t="s">
        <v>1960</v>
      </c>
      <c r="K512" s="24" t="s">
        <v>18</v>
      </c>
      <c r="L512" s="24" t="s">
        <v>50</v>
      </c>
      <c r="M512" t="s">
        <v>1961</v>
      </c>
      <c r="N512" s="17">
        <v>5</v>
      </c>
      <c r="O512" t="s">
        <v>21</v>
      </c>
      <c r="P512" s="24" t="s">
        <v>38</v>
      </c>
      <c r="Q512" s="19">
        <v>376.76</v>
      </c>
    </row>
    <row r="513" spans="1:17">
      <c r="A513" t="s">
        <v>1962</v>
      </c>
      <c r="B513" s="23">
        <v>45366</v>
      </c>
      <c r="C513" s="23" t="str">
        <f t="shared" si="21"/>
        <v>Mar</v>
      </c>
      <c r="D513" s="23" t="str">
        <f t="shared" si="22"/>
        <v>2024</v>
      </c>
      <c r="E513" s="23" t="str">
        <f t="shared" si="23"/>
        <v>Q1</v>
      </c>
      <c r="F513" t="s">
        <v>1963</v>
      </c>
      <c r="G513" s="24" t="s">
        <v>16</v>
      </c>
      <c r="H513" s="17">
        <v>5</v>
      </c>
      <c r="I513" s="19">
        <v>575.24</v>
      </c>
      <c r="J513" t="s">
        <v>201</v>
      </c>
      <c r="K513" s="24" t="s">
        <v>65</v>
      </c>
      <c r="L513" s="24" t="s">
        <v>50</v>
      </c>
      <c r="M513" t="s">
        <v>1964</v>
      </c>
      <c r="N513" s="17">
        <v>7</v>
      </c>
      <c r="O513" t="s">
        <v>81</v>
      </c>
      <c r="P513" s="24" t="s">
        <v>38</v>
      </c>
      <c r="Q513" s="19">
        <v>2876.2</v>
      </c>
    </row>
    <row r="514" spans="1:17">
      <c r="A514" t="s">
        <v>1965</v>
      </c>
      <c r="B514" s="23">
        <v>45562</v>
      </c>
      <c r="C514" s="23" t="str">
        <f t="shared" ref="C514:C577" si="24">TEXT(B514,"MMM")</f>
        <v>Sep</v>
      </c>
      <c r="D514" s="23" t="str">
        <f t="shared" ref="D514:D577" si="25">TEXT(B514,"YYYY")</f>
        <v>2024</v>
      </c>
      <c r="E514" s="23" t="str">
        <f t="shared" ref="E514:E577" si="26">"Q"&amp;ROUNDUP(MONTH(B514)/3,0)</f>
        <v>Q3</v>
      </c>
      <c r="F514" t="s">
        <v>1966</v>
      </c>
      <c r="G514" s="24" t="s">
        <v>73</v>
      </c>
      <c r="H514" s="17">
        <v>3</v>
      </c>
      <c r="I514" s="19">
        <v>568.02</v>
      </c>
      <c r="J514" t="s">
        <v>1190</v>
      </c>
      <c r="K514" s="24" t="s">
        <v>27</v>
      </c>
      <c r="L514" s="24" t="s">
        <v>89</v>
      </c>
      <c r="M514" t="s">
        <v>1967</v>
      </c>
      <c r="N514" s="17">
        <v>3</v>
      </c>
      <c r="O514" t="s">
        <v>37</v>
      </c>
      <c r="P514" s="24" t="s">
        <v>22</v>
      </c>
      <c r="Q514" s="19">
        <v>1704.06</v>
      </c>
    </row>
    <row r="515" spans="1:17">
      <c r="A515" t="s">
        <v>1968</v>
      </c>
      <c r="B515" s="23">
        <v>45697</v>
      </c>
      <c r="C515" s="23" t="str">
        <f t="shared" si="24"/>
        <v>Feb</v>
      </c>
      <c r="D515" s="23" t="str">
        <f t="shared" si="25"/>
        <v>2025</v>
      </c>
      <c r="E515" s="23" t="str">
        <f t="shared" si="26"/>
        <v>Q1</v>
      </c>
      <c r="F515" t="s">
        <v>1969</v>
      </c>
      <c r="G515" s="24" t="s">
        <v>32</v>
      </c>
      <c r="H515" s="17">
        <v>3</v>
      </c>
      <c r="I515" s="19">
        <v>94.88</v>
      </c>
      <c r="J515" t="s">
        <v>426</v>
      </c>
      <c r="K515" s="24" t="s">
        <v>60</v>
      </c>
      <c r="L515" s="24" t="s">
        <v>19</v>
      </c>
      <c r="M515" t="s">
        <v>1970</v>
      </c>
      <c r="N515" s="17">
        <v>8</v>
      </c>
      <c r="O515" t="s">
        <v>4295</v>
      </c>
      <c r="P515" s="24" t="s">
        <v>29</v>
      </c>
      <c r="Q515" s="19">
        <v>284.64</v>
      </c>
    </row>
    <row r="516" spans="1:17">
      <c r="A516" t="s">
        <v>1971</v>
      </c>
      <c r="B516" s="23">
        <v>45032</v>
      </c>
      <c r="C516" s="23" t="str">
        <f t="shared" si="24"/>
        <v>Apr</v>
      </c>
      <c r="D516" s="23" t="str">
        <f t="shared" si="25"/>
        <v>2023</v>
      </c>
      <c r="E516" s="23" t="str">
        <f t="shared" si="26"/>
        <v>Q2</v>
      </c>
      <c r="F516" t="s">
        <v>1972</v>
      </c>
      <c r="G516" s="24" t="s">
        <v>48</v>
      </c>
      <c r="H516" s="17">
        <v>3</v>
      </c>
      <c r="I516" s="19">
        <v>304.15</v>
      </c>
      <c r="J516" t="s">
        <v>1754</v>
      </c>
      <c r="K516" s="24" t="s">
        <v>60</v>
      </c>
      <c r="L516" s="24" t="s">
        <v>19</v>
      </c>
      <c r="M516" t="s">
        <v>1973</v>
      </c>
      <c r="N516" s="17">
        <v>3</v>
      </c>
      <c r="O516" t="s">
        <v>81</v>
      </c>
      <c r="P516" s="24" t="s">
        <v>22</v>
      </c>
      <c r="Q516" s="19">
        <v>912.45</v>
      </c>
    </row>
    <row r="517" spans="1:17">
      <c r="A517" t="s">
        <v>1974</v>
      </c>
      <c r="B517" s="23">
        <v>44999</v>
      </c>
      <c r="C517" s="23" t="str">
        <f t="shared" si="24"/>
        <v>Mar</v>
      </c>
      <c r="D517" s="23" t="str">
        <f t="shared" si="25"/>
        <v>2023</v>
      </c>
      <c r="E517" s="23" t="str">
        <f t="shared" si="26"/>
        <v>Q1</v>
      </c>
      <c r="F517" t="s">
        <v>1975</v>
      </c>
      <c r="G517" s="24" t="s">
        <v>25</v>
      </c>
      <c r="H517" s="17">
        <v>3</v>
      </c>
      <c r="I517" s="19">
        <v>553.52</v>
      </c>
      <c r="J517" t="s">
        <v>1743</v>
      </c>
      <c r="K517" s="24" t="s">
        <v>60</v>
      </c>
      <c r="L517" s="24" t="s">
        <v>19</v>
      </c>
      <c r="M517" t="s">
        <v>1976</v>
      </c>
      <c r="N517" s="17">
        <v>4</v>
      </c>
      <c r="O517" t="s">
        <v>37</v>
      </c>
      <c r="P517" s="24" t="s">
        <v>45</v>
      </c>
      <c r="Q517" s="19">
        <v>1660.56</v>
      </c>
    </row>
    <row r="518" spans="1:17">
      <c r="A518" t="s">
        <v>1977</v>
      </c>
      <c r="B518" s="23">
        <v>45389</v>
      </c>
      <c r="C518" s="23" t="str">
        <f t="shared" si="24"/>
        <v>Apr</v>
      </c>
      <c r="D518" s="23" t="str">
        <f t="shared" si="25"/>
        <v>2024</v>
      </c>
      <c r="E518" s="23" t="str">
        <f t="shared" si="26"/>
        <v>Q2</v>
      </c>
      <c r="F518" t="s">
        <v>1978</v>
      </c>
      <c r="G518" s="24" t="s">
        <v>16</v>
      </c>
      <c r="H518" s="17">
        <v>3</v>
      </c>
      <c r="I518" s="19">
        <v>166.99</v>
      </c>
      <c r="J518" t="s">
        <v>1172</v>
      </c>
      <c r="K518" s="24" t="s">
        <v>65</v>
      </c>
      <c r="L518" s="24" t="s">
        <v>43</v>
      </c>
      <c r="M518" t="s">
        <v>1979</v>
      </c>
      <c r="N518" s="17">
        <v>8</v>
      </c>
      <c r="O518" t="s">
        <v>4295</v>
      </c>
      <c r="P518" s="24" t="s">
        <v>45</v>
      </c>
      <c r="Q518" s="19">
        <v>500.97</v>
      </c>
    </row>
    <row r="519" spans="1:17">
      <c r="A519" t="s">
        <v>1980</v>
      </c>
      <c r="B519" s="23">
        <v>45391</v>
      </c>
      <c r="C519" s="23" t="str">
        <f t="shared" si="24"/>
        <v>Apr</v>
      </c>
      <c r="D519" s="23" t="str">
        <f t="shared" si="25"/>
        <v>2024</v>
      </c>
      <c r="E519" s="23" t="str">
        <f t="shared" si="26"/>
        <v>Q2</v>
      </c>
      <c r="F519" t="s">
        <v>1981</v>
      </c>
      <c r="G519" s="24" t="s">
        <v>32</v>
      </c>
      <c r="H519" s="17">
        <v>4</v>
      </c>
      <c r="I519" s="19">
        <v>198.35</v>
      </c>
      <c r="J519" t="s">
        <v>1849</v>
      </c>
      <c r="K519" s="24" t="s">
        <v>65</v>
      </c>
      <c r="L519" s="24" t="s">
        <v>35</v>
      </c>
      <c r="M519" t="s">
        <v>1982</v>
      </c>
      <c r="N519" s="17">
        <v>7</v>
      </c>
      <c r="O519" t="s">
        <v>37</v>
      </c>
      <c r="P519" s="24" t="s">
        <v>76</v>
      </c>
      <c r="Q519" s="19">
        <v>793.4</v>
      </c>
    </row>
    <row r="520" spans="1:17">
      <c r="A520" t="s">
        <v>1983</v>
      </c>
      <c r="B520" s="23">
        <v>45821</v>
      </c>
      <c r="C520" s="23" t="str">
        <f t="shared" si="24"/>
        <v>Jun</v>
      </c>
      <c r="D520" s="23" t="str">
        <f t="shared" si="25"/>
        <v>2025</v>
      </c>
      <c r="E520" s="23" t="str">
        <f t="shared" si="26"/>
        <v>Q2</v>
      </c>
      <c r="F520" t="s">
        <v>1984</v>
      </c>
      <c r="G520" s="24" t="s">
        <v>48</v>
      </c>
      <c r="H520" s="17">
        <v>4</v>
      </c>
      <c r="I520" s="19">
        <v>403.58</v>
      </c>
      <c r="J520" t="s">
        <v>1560</v>
      </c>
      <c r="K520" s="24" t="s">
        <v>27</v>
      </c>
      <c r="L520" s="24" t="s">
        <v>89</v>
      </c>
      <c r="M520" t="s">
        <v>1985</v>
      </c>
      <c r="N520" s="17">
        <v>9</v>
      </c>
      <c r="O520" t="s">
        <v>21</v>
      </c>
      <c r="P520" s="24" t="s">
        <v>29</v>
      </c>
      <c r="Q520" s="19">
        <v>1614.32</v>
      </c>
    </row>
    <row r="521" spans="1:17">
      <c r="A521" t="s">
        <v>1986</v>
      </c>
      <c r="B521" s="23">
        <v>45787</v>
      </c>
      <c r="C521" s="23" t="str">
        <f t="shared" si="24"/>
        <v>May</v>
      </c>
      <c r="D521" s="23" t="str">
        <f t="shared" si="25"/>
        <v>2025</v>
      </c>
      <c r="E521" s="23" t="str">
        <f t="shared" si="26"/>
        <v>Q2</v>
      </c>
      <c r="F521" t="s">
        <v>1987</v>
      </c>
      <c r="G521" s="24" t="s">
        <v>58</v>
      </c>
      <c r="H521" s="17">
        <v>4</v>
      </c>
      <c r="I521" s="19">
        <v>464.29</v>
      </c>
      <c r="J521" t="s">
        <v>1988</v>
      </c>
      <c r="K521" s="24" t="s">
        <v>18</v>
      </c>
      <c r="L521" s="24" t="s">
        <v>43</v>
      </c>
      <c r="M521" t="s">
        <v>1989</v>
      </c>
      <c r="N521" s="17">
        <v>5</v>
      </c>
      <c r="O521" t="s">
        <v>21</v>
      </c>
      <c r="P521" s="24" t="s">
        <v>38</v>
      </c>
      <c r="Q521" s="19">
        <v>1857.16</v>
      </c>
    </row>
    <row r="522" spans="1:17">
      <c r="A522" t="s">
        <v>1990</v>
      </c>
      <c r="B522" s="23">
        <v>44995</v>
      </c>
      <c r="C522" s="23" t="str">
        <f t="shared" si="24"/>
        <v>Mar</v>
      </c>
      <c r="D522" s="23" t="str">
        <f t="shared" si="25"/>
        <v>2023</v>
      </c>
      <c r="E522" s="23" t="str">
        <f t="shared" si="26"/>
        <v>Q1</v>
      </c>
      <c r="F522" t="s">
        <v>1991</v>
      </c>
      <c r="G522" s="24" t="s">
        <v>16</v>
      </c>
      <c r="H522" s="17">
        <v>3</v>
      </c>
      <c r="I522" s="19">
        <v>635.98</v>
      </c>
      <c r="J522" t="s">
        <v>1992</v>
      </c>
      <c r="K522" s="24" t="s">
        <v>65</v>
      </c>
      <c r="L522" s="24" t="s">
        <v>43</v>
      </c>
      <c r="M522" t="s">
        <v>1993</v>
      </c>
      <c r="N522" s="17">
        <v>5</v>
      </c>
      <c r="O522" t="s">
        <v>4295</v>
      </c>
      <c r="P522" s="24" t="s">
        <v>29</v>
      </c>
      <c r="Q522" s="19">
        <v>1907.94</v>
      </c>
    </row>
    <row r="523" spans="1:17">
      <c r="A523" t="s">
        <v>1994</v>
      </c>
      <c r="B523" s="23">
        <v>45347</v>
      </c>
      <c r="C523" s="23" t="str">
        <f t="shared" si="24"/>
        <v>Feb</v>
      </c>
      <c r="D523" s="23" t="str">
        <f t="shared" si="25"/>
        <v>2024</v>
      </c>
      <c r="E523" s="23" t="str">
        <f t="shared" si="26"/>
        <v>Q1</v>
      </c>
      <c r="F523" t="s">
        <v>1995</v>
      </c>
      <c r="G523" s="24" t="s">
        <v>25</v>
      </c>
      <c r="H523" s="17">
        <v>1</v>
      </c>
      <c r="I523" s="19">
        <v>528.06</v>
      </c>
      <c r="J523" t="s">
        <v>1996</v>
      </c>
      <c r="K523" s="24" t="s">
        <v>34</v>
      </c>
      <c r="L523" s="24" t="s">
        <v>19</v>
      </c>
      <c r="M523" t="s">
        <v>1997</v>
      </c>
      <c r="N523" s="17">
        <v>2</v>
      </c>
      <c r="O523" t="s">
        <v>4295</v>
      </c>
      <c r="P523" s="24" t="s">
        <v>45</v>
      </c>
      <c r="Q523" s="19">
        <v>528.06</v>
      </c>
    </row>
    <row r="524" spans="1:17">
      <c r="A524" t="s">
        <v>1998</v>
      </c>
      <c r="B524" s="23">
        <v>45402</v>
      </c>
      <c r="C524" s="23" t="str">
        <f t="shared" si="24"/>
        <v>Apr</v>
      </c>
      <c r="D524" s="23" t="str">
        <f t="shared" si="25"/>
        <v>2024</v>
      </c>
      <c r="E524" s="23" t="str">
        <f t="shared" si="26"/>
        <v>Q2</v>
      </c>
      <c r="F524" t="s">
        <v>1999</v>
      </c>
      <c r="G524" s="24" t="s">
        <v>41</v>
      </c>
      <c r="H524" s="17">
        <v>1</v>
      </c>
      <c r="I524" s="19">
        <v>515.32</v>
      </c>
      <c r="J524" t="s">
        <v>1121</v>
      </c>
      <c r="K524" s="24" t="s">
        <v>60</v>
      </c>
      <c r="L524" s="24" t="s">
        <v>35</v>
      </c>
      <c r="M524" t="s">
        <v>2000</v>
      </c>
      <c r="N524" s="17">
        <v>1</v>
      </c>
      <c r="O524" t="s">
        <v>37</v>
      </c>
      <c r="P524" s="24" t="s">
        <v>38</v>
      </c>
      <c r="Q524" s="19">
        <v>515.32</v>
      </c>
    </row>
    <row r="525" spans="1:17">
      <c r="A525" t="s">
        <v>2001</v>
      </c>
      <c r="B525" s="23">
        <v>45706</v>
      </c>
      <c r="C525" s="23" t="str">
        <f t="shared" si="24"/>
        <v>Feb</v>
      </c>
      <c r="D525" s="23" t="str">
        <f t="shared" si="25"/>
        <v>2025</v>
      </c>
      <c r="E525" s="23" t="str">
        <f t="shared" si="26"/>
        <v>Q1</v>
      </c>
      <c r="F525" t="s">
        <v>2002</v>
      </c>
      <c r="G525" s="24" t="s">
        <v>73</v>
      </c>
      <c r="H525" s="17">
        <v>4</v>
      </c>
      <c r="I525" s="19">
        <v>657.79</v>
      </c>
      <c r="J525" t="s">
        <v>1620</v>
      </c>
      <c r="K525" s="24" t="s">
        <v>34</v>
      </c>
      <c r="L525" s="24" t="s">
        <v>43</v>
      </c>
      <c r="M525" t="s">
        <v>2003</v>
      </c>
      <c r="N525" s="17">
        <v>6</v>
      </c>
      <c r="O525" t="s">
        <v>81</v>
      </c>
      <c r="P525" s="24" t="s">
        <v>76</v>
      </c>
      <c r="Q525" s="19">
        <v>2631.16</v>
      </c>
    </row>
    <row r="526" spans="1:17">
      <c r="A526" t="s">
        <v>2004</v>
      </c>
      <c r="B526" s="23">
        <v>45224</v>
      </c>
      <c r="C526" s="23" t="str">
        <f t="shared" si="24"/>
        <v>Oct</v>
      </c>
      <c r="D526" s="23" t="str">
        <f t="shared" si="25"/>
        <v>2023</v>
      </c>
      <c r="E526" s="23" t="str">
        <f t="shared" si="26"/>
        <v>Q4</v>
      </c>
      <c r="F526" t="s">
        <v>2005</v>
      </c>
      <c r="G526" s="24" t="s">
        <v>25</v>
      </c>
      <c r="H526" s="17">
        <v>1</v>
      </c>
      <c r="I526" s="19">
        <v>153</v>
      </c>
      <c r="J526" t="s">
        <v>351</v>
      </c>
      <c r="K526" s="24" t="s">
        <v>34</v>
      </c>
      <c r="L526" s="24" t="s">
        <v>43</v>
      </c>
      <c r="M526" t="s">
        <v>2006</v>
      </c>
      <c r="N526" s="17">
        <v>4</v>
      </c>
      <c r="O526" t="s">
        <v>4295</v>
      </c>
      <c r="P526" s="24" t="s">
        <v>29</v>
      </c>
      <c r="Q526" s="19">
        <v>153</v>
      </c>
    </row>
    <row r="527" spans="1:17">
      <c r="A527" t="s">
        <v>2007</v>
      </c>
      <c r="B527" s="23">
        <v>45263</v>
      </c>
      <c r="C527" s="23" t="str">
        <f t="shared" si="24"/>
        <v>Dec</v>
      </c>
      <c r="D527" s="23" t="str">
        <f t="shared" si="25"/>
        <v>2023</v>
      </c>
      <c r="E527" s="23" t="str">
        <f t="shared" si="26"/>
        <v>Q4</v>
      </c>
      <c r="F527" t="s">
        <v>2008</v>
      </c>
      <c r="G527" s="24" t="s">
        <v>16</v>
      </c>
      <c r="H527" s="17">
        <v>1</v>
      </c>
      <c r="I527" s="19">
        <v>668.48</v>
      </c>
      <c r="J527" t="s">
        <v>1743</v>
      </c>
      <c r="K527" s="24" t="s">
        <v>18</v>
      </c>
      <c r="L527" s="24" t="s">
        <v>19</v>
      </c>
      <c r="M527" t="s">
        <v>2009</v>
      </c>
      <c r="N527" s="17">
        <v>1</v>
      </c>
      <c r="O527" t="s">
        <v>21</v>
      </c>
      <c r="P527" s="24" t="s">
        <v>38</v>
      </c>
      <c r="Q527" s="19">
        <v>668.48</v>
      </c>
    </row>
    <row r="528" spans="1:17">
      <c r="A528" t="s">
        <v>2010</v>
      </c>
      <c r="B528" s="23">
        <v>45351</v>
      </c>
      <c r="C528" s="23" t="str">
        <f t="shared" si="24"/>
        <v>Feb</v>
      </c>
      <c r="D528" s="23" t="str">
        <f t="shared" si="25"/>
        <v>2024</v>
      </c>
      <c r="E528" s="23" t="str">
        <f t="shared" si="26"/>
        <v>Q1</v>
      </c>
      <c r="F528" t="s">
        <v>2011</v>
      </c>
      <c r="G528" s="24" t="s">
        <v>73</v>
      </c>
      <c r="H528" s="17">
        <v>2</v>
      </c>
      <c r="I528" s="19">
        <v>46.5</v>
      </c>
      <c r="J528" t="s">
        <v>407</v>
      </c>
      <c r="K528" s="24" t="s">
        <v>65</v>
      </c>
      <c r="L528" s="24" t="s">
        <v>43</v>
      </c>
      <c r="M528" t="s">
        <v>2012</v>
      </c>
      <c r="N528" s="17">
        <v>7</v>
      </c>
      <c r="O528" t="s">
        <v>81</v>
      </c>
      <c r="P528" s="24" t="s">
        <v>76</v>
      </c>
      <c r="Q528" s="19">
        <v>93</v>
      </c>
    </row>
    <row r="529" spans="1:17">
      <c r="A529" t="s">
        <v>2013</v>
      </c>
      <c r="B529" s="23">
        <v>45523</v>
      </c>
      <c r="C529" s="23" t="str">
        <f t="shared" si="24"/>
        <v>Aug</v>
      </c>
      <c r="D529" s="23" t="str">
        <f t="shared" si="25"/>
        <v>2024</v>
      </c>
      <c r="E529" s="23" t="str">
        <f t="shared" si="26"/>
        <v>Q3</v>
      </c>
      <c r="F529" t="s">
        <v>2014</v>
      </c>
      <c r="G529" s="24" t="s">
        <v>41</v>
      </c>
      <c r="H529" s="17">
        <v>5</v>
      </c>
      <c r="I529" s="19">
        <v>653.47</v>
      </c>
      <c r="J529" t="s">
        <v>371</v>
      </c>
      <c r="K529" s="24" t="s">
        <v>34</v>
      </c>
      <c r="L529" s="24" t="s">
        <v>35</v>
      </c>
      <c r="M529" t="s">
        <v>2015</v>
      </c>
      <c r="N529" s="17">
        <v>10</v>
      </c>
      <c r="O529" t="s">
        <v>21</v>
      </c>
      <c r="P529" s="24" t="s">
        <v>29</v>
      </c>
      <c r="Q529" s="19">
        <v>3267.35</v>
      </c>
    </row>
    <row r="530" spans="1:17">
      <c r="A530" t="s">
        <v>2016</v>
      </c>
      <c r="B530" s="23">
        <v>45714</v>
      </c>
      <c r="C530" s="23" t="str">
        <f t="shared" si="24"/>
        <v>Feb</v>
      </c>
      <c r="D530" s="23" t="str">
        <f t="shared" si="25"/>
        <v>2025</v>
      </c>
      <c r="E530" s="23" t="str">
        <f t="shared" si="26"/>
        <v>Q1</v>
      </c>
      <c r="F530" t="s">
        <v>2017</v>
      </c>
      <c r="G530" s="24" t="s">
        <v>41</v>
      </c>
      <c r="H530" s="17">
        <v>1</v>
      </c>
      <c r="I530" s="19">
        <v>628.89</v>
      </c>
      <c r="J530" t="s">
        <v>1758</v>
      </c>
      <c r="K530" s="24" t="s">
        <v>34</v>
      </c>
      <c r="L530" s="24" t="s">
        <v>43</v>
      </c>
      <c r="M530" t="s">
        <v>2018</v>
      </c>
      <c r="N530" s="17">
        <v>2</v>
      </c>
      <c r="O530" t="s">
        <v>21</v>
      </c>
      <c r="P530" s="24" t="s">
        <v>29</v>
      </c>
      <c r="Q530" s="19">
        <v>628.89</v>
      </c>
    </row>
    <row r="531" spans="1:17">
      <c r="A531" t="s">
        <v>2019</v>
      </c>
      <c r="B531" s="23">
        <v>45389</v>
      </c>
      <c r="C531" s="23" t="str">
        <f t="shared" si="24"/>
        <v>Apr</v>
      </c>
      <c r="D531" s="23" t="str">
        <f t="shared" si="25"/>
        <v>2024</v>
      </c>
      <c r="E531" s="23" t="str">
        <f t="shared" si="26"/>
        <v>Q2</v>
      </c>
      <c r="F531" t="s">
        <v>2020</v>
      </c>
      <c r="G531" s="24" t="s">
        <v>32</v>
      </c>
      <c r="H531" s="17">
        <v>2</v>
      </c>
      <c r="I531" s="19">
        <v>675.1</v>
      </c>
      <c r="J531" t="s">
        <v>2021</v>
      </c>
      <c r="K531" s="24" t="s">
        <v>65</v>
      </c>
      <c r="L531" s="24" t="s">
        <v>89</v>
      </c>
      <c r="M531" t="s">
        <v>2022</v>
      </c>
      <c r="N531" s="17">
        <v>4</v>
      </c>
      <c r="O531" t="s">
        <v>37</v>
      </c>
      <c r="P531" s="24" t="s">
        <v>76</v>
      </c>
      <c r="Q531" s="19">
        <v>1350.2</v>
      </c>
    </row>
    <row r="532" spans="1:17">
      <c r="A532" t="s">
        <v>2023</v>
      </c>
      <c r="B532" s="23">
        <v>45491</v>
      </c>
      <c r="C532" s="23" t="str">
        <f t="shared" si="24"/>
        <v>Jul</v>
      </c>
      <c r="D532" s="23" t="str">
        <f t="shared" si="25"/>
        <v>2024</v>
      </c>
      <c r="E532" s="23" t="str">
        <f t="shared" si="26"/>
        <v>Q3</v>
      </c>
      <c r="F532" t="s">
        <v>2024</v>
      </c>
      <c r="G532" s="24" t="s">
        <v>41</v>
      </c>
      <c r="H532" s="17">
        <v>4</v>
      </c>
      <c r="I532" s="19">
        <v>89.41</v>
      </c>
      <c r="J532" t="s">
        <v>2025</v>
      </c>
      <c r="K532" s="24" t="s">
        <v>27</v>
      </c>
      <c r="L532" s="24" t="s">
        <v>89</v>
      </c>
      <c r="M532" t="s">
        <v>2026</v>
      </c>
      <c r="N532" s="17">
        <v>9</v>
      </c>
      <c r="O532" t="s">
        <v>4295</v>
      </c>
      <c r="P532" s="24" t="s">
        <v>76</v>
      </c>
      <c r="Q532" s="19">
        <v>357.64</v>
      </c>
    </row>
    <row r="533" spans="1:17">
      <c r="A533" t="s">
        <v>2027</v>
      </c>
      <c r="B533" s="23">
        <v>45475</v>
      </c>
      <c r="C533" s="23" t="str">
        <f t="shared" si="24"/>
        <v>Jul</v>
      </c>
      <c r="D533" s="23" t="str">
        <f t="shared" si="25"/>
        <v>2024</v>
      </c>
      <c r="E533" s="23" t="str">
        <f t="shared" si="26"/>
        <v>Q3</v>
      </c>
      <c r="F533" t="s">
        <v>2028</v>
      </c>
      <c r="G533" s="24" t="s">
        <v>73</v>
      </c>
      <c r="H533" s="17">
        <v>5</v>
      </c>
      <c r="I533" s="19">
        <v>320.01</v>
      </c>
      <c r="J533" t="s">
        <v>2029</v>
      </c>
      <c r="K533" s="24" t="s">
        <v>60</v>
      </c>
      <c r="L533" s="24" t="s">
        <v>50</v>
      </c>
      <c r="M533" t="s">
        <v>2030</v>
      </c>
      <c r="N533" s="17">
        <v>6</v>
      </c>
      <c r="O533" t="s">
        <v>4295</v>
      </c>
      <c r="P533" s="24" t="s">
        <v>29</v>
      </c>
      <c r="Q533" s="19">
        <v>1600.05</v>
      </c>
    </row>
    <row r="534" spans="1:17">
      <c r="A534" t="s">
        <v>2031</v>
      </c>
      <c r="B534" s="23">
        <v>45780</v>
      </c>
      <c r="C534" s="23" t="str">
        <f t="shared" si="24"/>
        <v>May</v>
      </c>
      <c r="D534" s="23" t="str">
        <f t="shared" si="25"/>
        <v>2025</v>
      </c>
      <c r="E534" s="23" t="str">
        <f t="shared" si="26"/>
        <v>Q2</v>
      </c>
      <c r="F534" t="s">
        <v>2032</v>
      </c>
      <c r="G534" s="24" t="s">
        <v>58</v>
      </c>
      <c r="H534" s="17">
        <v>2</v>
      </c>
      <c r="I534" s="19">
        <v>41</v>
      </c>
      <c r="J534" t="s">
        <v>2033</v>
      </c>
      <c r="K534" s="24" t="s">
        <v>27</v>
      </c>
      <c r="L534" s="24" t="s">
        <v>50</v>
      </c>
      <c r="M534" t="s">
        <v>2034</v>
      </c>
      <c r="N534" s="17">
        <v>7</v>
      </c>
      <c r="O534" t="s">
        <v>4295</v>
      </c>
      <c r="P534" s="24" t="s">
        <v>38</v>
      </c>
      <c r="Q534" s="19">
        <v>82</v>
      </c>
    </row>
    <row r="535" spans="1:17">
      <c r="A535" t="s">
        <v>2035</v>
      </c>
      <c r="B535" s="23">
        <v>44990</v>
      </c>
      <c r="C535" s="23" t="str">
        <f t="shared" si="24"/>
        <v>Mar</v>
      </c>
      <c r="D535" s="23" t="str">
        <f t="shared" si="25"/>
        <v>2023</v>
      </c>
      <c r="E535" s="23" t="str">
        <f t="shared" si="26"/>
        <v>Q1</v>
      </c>
      <c r="F535" t="s">
        <v>2036</v>
      </c>
      <c r="G535" s="24" t="s">
        <v>73</v>
      </c>
      <c r="H535" s="17">
        <v>1</v>
      </c>
      <c r="I535" s="19">
        <v>565.85</v>
      </c>
      <c r="J535" t="s">
        <v>301</v>
      </c>
      <c r="K535" s="24" t="s">
        <v>60</v>
      </c>
      <c r="L535" s="24" t="s">
        <v>43</v>
      </c>
      <c r="M535" t="s">
        <v>2037</v>
      </c>
      <c r="N535" s="17">
        <v>1</v>
      </c>
      <c r="O535" t="s">
        <v>37</v>
      </c>
      <c r="P535" s="24" t="s">
        <v>45</v>
      </c>
      <c r="Q535" s="19">
        <v>565.85</v>
      </c>
    </row>
    <row r="536" spans="1:17">
      <c r="A536" t="s">
        <v>2038</v>
      </c>
      <c r="B536" s="23">
        <v>45449</v>
      </c>
      <c r="C536" s="23" t="str">
        <f t="shared" si="24"/>
        <v>Jun</v>
      </c>
      <c r="D536" s="23" t="str">
        <f t="shared" si="25"/>
        <v>2024</v>
      </c>
      <c r="E536" s="23" t="str">
        <f t="shared" si="26"/>
        <v>Q2</v>
      </c>
      <c r="F536" t="s">
        <v>2039</v>
      </c>
      <c r="G536" s="24" t="s">
        <v>41</v>
      </c>
      <c r="H536" s="17">
        <v>3</v>
      </c>
      <c r="I536" s="19">
        <v>648.59</v>
      </c>
      <c r="J536" t="s">
        <v>2040</v>
      </c>
      <c r="K536" s="24" t="s">
        <v>18</v>
      </c>
      <c r="L536" s="24" t="s">
        <v>35</v>
      </c>
      <c r="M536" t="s">
        <v>2041</v>
      </c>
      <c r="N536" s="17">
        <v>4</v>
      </c>
      <c r="O536" t="s">
        <v>21</v>
      </c>
      <c r="P536" s="24" t="s">
        <v>38</v>
      </c>
      <c r="Q536" s="19">
        <v>1945.77</v>
      </c>
    </row>
    <row r="537" spans="1:17">
      <c r="A537" t="s">
        <v>2042</v>
      </c>
      <c r="B537" s="23">
        <v>45497</v>
      </c>
      <c r="C537" s="23" t="str">
        <f t="shared" si="24"/>
        <v>Jul</v>
      </c>
      <c r="D537" s="23" t="str">
        <f t="shared" si="25"/>
        <v>2024</v>
      </c>
      <c r="E537" s="23" t="str">
        <f t="shared" si="26"/>
        <v>Q3</v>
      </c>
      <c r="F537" t="s">
        <v>2043</v>
      </c>
      <c r="G537" s="24" t="s">
        <v>16</v>
      </c>
      <c r="H537" s="17">
        <v>3</v>
      </c>
      <c r="I537" s="19">
        <v>68.12</v>
      </c>
      <c r="J537" t="s">
        <v>723</v>
      </c>
      <c r="K537" s="24" t="s">
        <v>27</v>
      </c>
      <c r="L537" s="24" t="s">
        <v>35</v>
      </c>
      <c r="M537" t="s">
        <v>2044</v>
      </c>
      <c r="N537" s="17">
        <v>3</v>
      </c>
      <c r="O537" t="s">
        <v>37</v>
      </c>
      <c r="P537" s="24" t="s">
        <v>38</v>
      </c>
      <c r="Q537" s="19">
        <v>204.36</v>
      </c>
    </row>
    <row r="538" spans="1:17">
      <c r="A538" t="s">
        <v>2045</v>
      </c>
      <c r="B538" s="23">
        <v>45452</v>
      </c>
      <c r="C538" s="23" t="str">
        <f t="shared" si="24"/>
        <v>Jun</v>
      </c>
      <c r="D538" s="23" t="str">
        <f t="shared" si="25"/>
        <v>2024</v>
      </c>
      <c r="E538" s="23" t="str">
        <f t="shared" si="26"/>
        <v>Q2</v>
      </c>
      <c r="F538" t="s">
        <v>2046</v>
      </c>
      <c r="G538" s="24" t="s">
        <v>41</v>
      </c>
      <c r="H538" s="17">
        <v>1</v>
      </c>
      <c r="I538" s="19">
        <v>616.1</v>
      </c>
      <c r="J538" t="s">
        <v>2047</v>
      </c>
      <c r="K538" s="24" t="s">
        <v>65</v>
      </c>
      <c r="L538" s="24" t="s">
        <v>43</v>
      </c>
      <c r="M538" t="s">
        <v>2048</v>
      </c>
      <c r="N538" s="17">
        <v>6</v>
      </c>
      <c r="O538" t="s">
        <v>4295</v>
      </c>
      <c r="P538" s="24" t="s">
        <v>38</v>
      </c>
      <c r="Q538" s="19">
        <v>616.1</v>
      </c>
    </row>
    <row r="539" spans="1:17">
      <c r="A539" t="s">
        <v>2049</v>
      </c>
      <c r="B539" s="23">
        <v>45739</v>
      </c>
      <c r="C539" s="23" t="str">
        <f t="shared" si="24"/>
        <v>Mar</v>
      </c>
      <c r="D539" s="23" t="str">
        <f t="shared" si="25"/>
        <v>2025</v>
      </c>
      <c r="E539" s="23" t="str">
        <f t="shared" si="26"/>
        <v>Q1</v>
      </c>
      <c r="F539" t="s">
        <v>2050</v>
      </c>
      <c r="G539" s="24" t="s">
        <v>32</v>
      </c>
      <c r="H539" s="17">
        <v>3</v>
      </c>
      <c r="I539" s="19">
        <v>247.47</v>
      </c>
      <c r="J539" t="s">
        <v>297</v>
      </c>
      <c r="K539" s="24" t="s">
        <v>27</v>
      </c>
      <c r="L539" s="24" t="s">
        <v>50</v>
      </c>
      <c r="M539" t="s">
        <v>2051</v>
      </c>
      <c r="N539" s="17">
        <v>4</v>
      </c>
      <c r="O539" t="s">
        <v>21</v>
      </c>
      <c r="P539" s="24" t="s">
        <v>45</v>
      </c>
      <c r="Q539" s="19">
        <v>742.41</v>
      </c>
    </row>
    <row r="540" spans="1:17">
      <c r="A540" t="s">
        <v>2052</v>
      </c>
      <c r="B540" s="23">
        <v>45436</v>
      </c>
      <c r="C540" s="23" t="str">
        <f t="shared" si="24"/>
        <v>May</v>
      </c>
      <c r="D540" s="23" t="str">
        <f t="shared" si="25"/>
        <v>2024</v>
      </c>
      <c r="E540" s="23" t="str">
        <f t="shared" si="26"/>
        <v>Q2</v>
      </c>
      <c r="F540" t="s">
        <v>2053</v>
      </c>
      <c r="G540" s="24" t="s">
        <v>25</v>
      </c>
      <c r="H540" s="17">
        <v>3</v>
      </c>
      <c r="I540" s="19">
        <v>490.74</v>
      </c>
      <c r="J540" t="s">
        <v>2054</v>
      </c>
      <c r="K540" s="24" t="s">
        <v>65</v>
      </c>
      <c r="L540" s="24" t="s">
        <v>19</v>
      </c>
      <c r="M540" t="s">
        <v>2055</v>
      </c>
      <c r="N540" s="17">
        <v>3</v>
      </c>
      <c r="O540" t="s">
        <v>81</v>
      </c>
      <c r="P540" s="24" t="s">
        <v>38</v>
      </c>
      <c r="Q540" s="19">
        <v>1472.22</v>
      </c>
    </row>
    <row r="541" spans="1:17">
      <c r="A541" t="s">
        <v>2056</v>
      </c>
      <c r="B541" s="23">
        <v>45706</v>
      </c>
      <c r="C541" s="23" t="str">
        <f t="shared" si="24"/>
        <v>Feb</v>
      </c>
      <c r="D541" s="23" t="str">
        <f t="shared" si="25"/>
        <v>2025</v>
      </c>
      <c r="E541" s="23" t="str">
        <f t="shared" si="26"/>
        <v>Q1</v>
      </c>
      <c r="F541" t="s">
        <v>2057</v>
      </c>
      <c r="G541" s="24" t="s">
        <v>73</v>
      </c>
      <c r="H541" s="17">
        <v>3</v>
      </c>
      <c r="I541" s="19">
        <v>531.72</v>
      </c>
      <c r="J541" t="s">
        <v>2058</v>
      </c>
      <c r="K541" s="24" t="s">
        <v>60</v>
      </c>
      <c r="L541" s="24" t="s">
        <v>50</v>
      </c>
      <c r="M541" t="s">
        <v>2059</v>
      </c>
      <c r="N541" s="17">
        <v>7</v>
      </c>
      <c r="O541" t="s">
        <v>21</v>
      </c>
      <c r="P541" s="24" t="s">
        <v>76</v>
      </c>
      <c r="Q541" s="19">
        <v>1595.16</v>
      </c>
    </row>
    <row r="542" spans="1:17">
      <c r="A542" t="s">
        <v>2060</v>
      </c>
      <c r="B542" s="23">
        <v>45320</v>
      </c>
      <c r="C542" s="23" t="str">
        <f t="shared" si="24"/>
        <v>Jan</v>
      </c>
      <c r="D542" s="23" t="str">
        <f t="shared" si="25"/>
        <v>2024</v>
      </c>
      <c r="E542" s="23" t="str">
        <f t="shared" si="26"/>
        <v>Q1</v>
      </c>
      <c r="F542" t="s">
        <v>2061</v>
      </c>
      <c r="G542" s="24" t="s">
        <v>58</v>
      </c>
      <c r="H542" s="17">
        <v>5</v>
      </c>
      <c r="I542" s="19">
        <v>648.65</v>
      </c>
      <c r="J542" t="s">
        <v>2062</v>
      </c>
      <c r="K542" s="24" t="s">
        <v>27</v>
      </c>
      <c r="L542" s="24" t="s">
        <v>89</v>
      </c>
      <c r="M542" t="s">
        <v>2063</v>
      </c>
      <c r="N542" s="17">
        <v>7</v>
      </c>
      <c r="O542" t="s">
        <v>4295</v>
      </c>
      <c r="P542" s="24" t="s">
        <v>29</v>
      </c>
      <c r="Q542" s="19">
        <v>3243.25</v>
      </c>
    </row>
    <row r="543" spans="1:17">
      <c r="A543" t="s">
        <v>2064</v>
      </c>
      <c r="B543" s="23">
        <v>45145</v>
      </c>
      <c r="C543" s="23" t="str">
        <f t="shared" si="24"/>
        <v>Aug</v>
      </c>
      <c r="D543" s="23" t="str">
        <f t="shared" si="25"/>
        <v>2023</v>
      </c>
      <c r="E543" s="23" t="str">
        <f t="shared" si="26"/>
        <v>Q3</v>
      </c>
      <c r="F543" t="s">
        <v>2065</v>
      </c>
      <c r="G543" s="24" t="s">
        <v>48</v>
      </c>
      <c r="H543" s="17">
        <v>5</v>
      </c>
      <c r="I543" s="19">
        <v>456.06</v>
      </c>
      <c r="J543" t="s">
        <v>2066</v>
      </c>
      <c r="K543" s="24" t="s">
        <v>65</v>
      </c>
      <c r="L543" s="24" t="s">
        <v>89</v>
      </c>
      <c r="M543" t="s">
        <v>2067</v>
      </c>
      <c r="N543" s="17">
        <v>10</v>
      </c>
      <c r="O543" t="s">
        <v>4295</v>
      </c>
      <c r="P543" s="24" t="s">
        <v>22</v>
      </c>
      <c r="Q543" s="19">
        <v>2280.3</v>
      </c>
    </row>
    <row r="544" spans="1:17">
      <c r="A544" t="s">
        <v>2068</v>
      </c>
      <c r="B544" s="23">
        <v>45244</v>
      </c>
      <c r="C544" s="23" t="str">
        <f t="shared" si="24"/>
        <v>Nov</v>
      </c>
      <c r="D544" s="23" t="str">
        <f t="shared" si="25"/>
        <v>2023</v>
      </c>
      <c r="E544" s="23" t="str">
        <f t="shared" si="26"/>
        <v>Q4</v>
      </c>
      <c r="F544" t="s">
        <v>2069</v>
      </c>
      <c r="G544" s="24" t="s">
        <v>32</v>
      </c>
      <c r="H544" s="17">
        <v>1</v>
      </c>
      <c r="I544" s="19">
        <v>17.98</v>
      </c>
      <c r="J544" t="s">
        <v>54</v>
      </c>
      <c r="K544" s="24" t="s">
        <v>65</v>
      </c>
      <c r="L544" s="24" t="s">
        <v>35</v>
      </c>
      <c r="M544" t="s">
        <v>2070</v>
      </c>
      <c r="N544" s="17">
        <v>6</v>
      </c>
      <c r="O544" t="s">
        <v>37</v>
      </c>
      <c r="P544" s="24" t="s">
        <v>38</v>
      </c>
      <c r="Q544" s="19">
        <v>17.98</v>
      </c>
    </row>
    <row r="545" spans="1:17">
      <c r="A545" t="s">
        <v>2071</v>
      </c>
      <c r="B545" s="23">
        <v>45360</v>
      </c>
      <c r="C545" s="23" t="str">
        <f t="shared" si="24"/>
        <v>Mar</v>
      </c>
      <c r="D545" s="23" t="str">
        <f t="shared" si="25"/>
        <v>2024</v>
      </c>
      <c r="E545" s="23" t="str">
        <f t="shared" si="26"/>
        <v>Q1</v>
      </c>
      <c r="F545" t="s">
        <v>2072</v>
      </c>
      <c r="G545" s="24" t="s">
        <v>73</v>
      </c>
      <c r="H545" s="17">
        <v>5</v>
      </c>
      <c r="I545" s="19">
        <v>269.86</v>
      </c>
      <c r="J545" t="s">
        <v>731</v>
      </c>
      <c r="K545" s="24" t="s">
        <v>65</v>
      </c>
      <c r="L545" s="24" t="s">
        <v>19</v>
      </c>
      <c r="M545" t="s">
        <v>2073</v>
      </c>
      <c r="N545" s="17">
        <v>6</v>
      </c>
      <c r="O545" t="s">
        <v>81</v>
      </c>
      <c r="P545" s="24" t="s">
        <v>45</v>
      </c>
      <c r="Q545" s="19">
        <v>1349.3</v>
      </c>
    </row>
    <row r="546" spans="1:17">
      <c r="A546" t="s">
        <v>2074</v>
      </c>
      <c r="B546" s="23">
        <v>45361</v>
      </c>
      <c r="C546" s="23" t="str">
        <f t="shared" si="24"/>
        <v>Mar</v>
      </c>
      <c r="D546" s="23" t="str">
        <f t="shared" si="25"/>
        <v>2024</v>
      </c>
      <c r="E546" s="23" t="str">
        <f t="shared" si="26"/>
        <v>Q1</v>
      </c>
      <c r="F546" t="s">
        <v>2075</v>
      </c>
      <c r="G546" s="24" t="s">
        <v>48</v>
      </c>
      <c r="H546" s="17">
        <v>5</v>
      </c>
      <c r="I546" s="19">
        <v>31.96</v>
      </c>
      <c r="J546" t="s">
        <v>1515</v>
      </c>
      <c r="K546" s="24" t="s">
        <v>34</v>
      </c>
      <c r="L546" s="24" t="s">
        <v>43</v>
      </c>
      <c r="M546" t="s">
        <v>2076</v>
      </c>
      <c r="N546" s="17">
        <v>5</v>
      </c>
      <c r="O546" t="s">
        <v>37</v>
      </c>
      <c r="P546" s="24" t="s">
        <v>29</v>
      </c>
      <c r="Q546" s="19">
        <v>159.8</v>
      </c>
    </row>
    <row r="547" spans="1:17">
      <c r="A547" t="s">
        <v>2077</v>
      </c>
      <c r="B547" s="23">
        <v>45279</v>
      </c>
      <c r="C547" s="23" t="str">
        <f t="shared" si="24"/>
        <v>Dec</v>
      </c>
      <c r="D547" s="23" t="str">
        <f t="shared" si="25"/>
        <v>2023</v>
      </c>
      <c r="E547" s="23" t="str">
        <f t="shared" si="26"/>
        <v>Q4</v>
      </c>
      <c r="F547" t="s">
        <v>2078</v>
      </c>
      <c r="G547" s="24" t="s">
        <v>16</v>
      </c>
      <c r="H547" s="17">
        <v>2</v>
      </c>
      <c r="I547" s="19">
        <v>98.47</v>
      </c>
      <c r="J547" t="s">
        <v>2079</v>
      </c>
      <c r="K547" s="24" t="s">
        <v>65</v>
      </c>
      <c r="L547" s="24" t="s">
        <v>43</v>
      </c>
      <c r="M547" t="s">
        <v>2080</v>
      </c>
      <c r="N547" s="17">
        <v>3</v>
      </c>
      <c r="O547" t="s">
        <v>4295</v>
      </c>
      <c r="P547" s="24" t="s">
        <v>22</v>
      </c>
      <c r="Q547" s="19">
        <v>196.94</v>
      </c>
    </row>
    <row r="548" spans="1:17">
      <c r="A548" t="s">
        <v>2081</v>
      </c>
      <c r="B548" s="23">
        <v>45352</v>
      </c>
      <c r="C548" s="23" t="str">
        <f t="shared" si="24"/>
        <v>Mar</v>
      </c>
      <c r="D548" s="23" t="str">
        <f t="shared" si="25"/>
        <v>2024</v>
      </c>
      <c r="E548" s="23" t="str">
        <f t="shared" si="26"/>
        <v>Q1</v>
      </c>
      <c r="F548" t="s">
        <v>2082</v>
      </c>
      <c r="G548" s="24" t="s">
        <v>16</v>
      </c>
      <c r="H548" s="17">
        <v>1</v>
      </c>
      <c r="I548" s="19">
        <v>158.68</v>
      </c>
      <c r="J548" t="s">
        <v>17</v>
      </c>
      <c r="K548" s="24" t="s">
        <v>34</v>
      </c>
      <c r="L548" s="24" t="s">
        <v>43</v>
      </c>
      <c r="M548" t="s">
        <v>2083</v>
      </c>
      <c r="N548" s="17">
        <v>6</v>
      </c>
      <c r="O548" t="s">
        <v>81</v>
      </c>
      <c r="P548" s="24" t="s">
        <v>22</v>
      </c>
      <c r="Q548" s="19">
        <v>158.68</v>
      </c>
    </row>
    <row r="549" spans="1:17">
      <c r="A549" t="s">
        <v>2084</v>
      </c>
      <c r="B549" s="23">
        <v>45158</v>
      </c>
      <c r="C549" s="23" t="str">
        <f t="shared" si="24"/>
        <v>Aug</v>
      </c>
      <c r="D549" s="23" t="str">
        <f t="shared" si="25"/>
        <v>2023</v>
      </c>
      <c r="E549" s="23" t="str">
        <f t="shared" si="26"/>
        <v>Q3</v>
      </c>
      <c r="F549" t="s">
        <v>2085</v>
      </c>
      <c r="G549" s="24" t="s">
        <v>25</v>
      </c>
      <c r="H549" s="17">
        <v>1</v>
      </c>
      <c r="I549" s="19">
        <v>613.98</v>
      </c>
      <c r="J549" t="s">
        <v>2086</v>
      </c>
      <c r="K549" s="24" t="s">
        <v>27</v>
      </c>
      <c r="L549" s="24" t="s">
        <v>50</v>
      </c>
      <c r="M549" t="s">
        <v>2087</v>
      </c>
      <c r="N549" s="17">
        <v>4</v>
      </c>
      <c r="O549" t="s">
        <v>37</v>
      </c>
      <c r="P549" s="24" t="s">
        <v>45</v>
      </c>
      <c r="Q549" s="19">
        <v>613.98</v>
      </c>
    </row>
    <row r="550" spans="1:17">
      <c r="A550" t="s">
        <v>2088</v>
      </c>
      <c r="B550" s="23">
        <v>45296</v>
      </c>
      <c r="C550" s="23" t="str">
        <f t="shared" si="24"/>
        <v>Jan</v>
      </c>
      <c r="D550" s="23" t="str">
        <f t="shared" si="25"/>
        <v>2024</v>
      </c>
      <c r="E550" s="23" t="str">
        <f t="shared" si="26"/>
        <v>Q1</v>
      </c>
      <c r="F550" t="s">
        <v>2089</v>
      </c>
      <c r="G550" s="24" t="s">
        <v>48</v>
      </c>
      <c r="H550" s="17">
        <v>3</v>
      </c>
      <c r="I550" s="19">
        <v>426.12</v>
      </c>
      <c r="J550" t="s">
        <v>422</v>
      </c>
      <c r="K550" s="24" t="s">
        <v>27</v>
      </c>
      <c r="L550" s="24" t="s">
        <v>50</v>
      </c>
      <c r="M550" t="s">
        <v>2090</v>
      </c>
      <c r="N550" s="17">
        <v>5</v>
      </c>
      <c r="O550" t="s">
        <v>81</v>
      </c>
      <c r="P550" s="24" t="s">
        <v>22</v>
      </c>
      <c r="Q550" s="19">
        <v>1278.36</v>
      </c>
    </row>
    <row r="551" spans="1:17">
      <c r="A551" t="s">
        <v>2091</v>
      </c>
      <c r="B551" s="23">
        <v>45713</v>
      </c>
      <c r="C551" s="23" t="str">
        <f t="shared" si="24"/>
        <v>Feb</v>
      </c>
      <c r="D551" s="23" t="str">
        <f t="shared" si="25"/>
        <v>2025</v>
      </c>
      <c r="E551" s="23" t="str">
        <f t="shared" si="26"/>
        <v>Q1</v>
      </c>
      <c r="F551" t="s">
        <v>2092</v>
      </c>
      <c r="G551" s="24" t="s">
        <v>16</v>
      </c>
      <c r="H551" s="17">
        <v>4</v>
      </c>
      <c r="I551" s="19">
        <v>629.88</v>
      </c>
      <c r="J551" t="s">
        <v>2093</v>
      </c>
      <c r="K551" s="24" t="s">
        <v>18</v>
      </c>
      <c r="L551" s="24" t="s">
        <v>35</v>
      </c>
      <c r="M551" t="s">
        <v>2094</v>
      </c>
      <c r="N551" s="17">
        <v>8</v>
      </c>
      <c r="O551" t="s">
        <v>81</v>
      </c>
      <c r="P551" s="24" t="s">
        <v>22</v>
      </c>
      <c r="Q551" s="19">
        <v>2519.52</v>
      </c>
    </row>
    <row r="552" spans="1:17">
      <c r="A552" t="s">
        <v>2095</v>
      </c>
      <c r="B552" s="23">
        <v>45228</v>
      </c>
      <c r="C552" s="23" t="str">
        <f t="shared" si="24"/>
        <v>Oct</v>
      </c>
      <c r="D552" s="23" t="str">
        <f t="shared" si="25"/>
        <v>2023</v>
      </c>
      <c r="E552" s="23" t="str">
        <f t="shared" si="26"/>
        <v>Q4</v>
      </c>
      <c r="F552" t="s">
        <v>2096</v>
      </c>
      <c r="G552" s="24" t="s">
        <v>58</v>
      </c>
      <c r="H552" s="17">
        <v>4</v>
      </c>
      <c r="I552" s="19">
        <v>228.91</v>
      </c>
      <c r="J552" t="s">
        <v>599</v>
      </c>
      <c r="K552" s="24" t="s">
        <v>65</v>
      </c>
      <c r="L552" s="24" t="s">
        <v>19</v>
      </c>
      <c r="M552" t="s">
        <v>2097</v>
      </c>
      <c r="N552" s="17">
        <v>4</v>
      </c>
      <c r="O552" t="s">
        <v>37</v>
      </c>
      <c r="P552" s="24" t="s">
        <v>76</v>
      </c>
      <c r="Q552" s="19">
        <v>915.64</v>
      </c>
    </row>
    <row r="553" spans="1:17">
      <c r="A553" t="s">
        <v>2098</v>
      </c>
      <c r="B553" s="23">
        <v>45064</v>
      </c>
      <c r="C553" s="23" t="str">
        <f t="shared" si="24"/>
        <v>May</v>
      </c>
      <c r="D553" s="23" t="str">
        <f t="shared" si="25"/>
        <v>2023</v>
      </c>
      <c r="E553" s="23" t="str">
        <f t="shared" si="26"/>
        <v>Q2</v>
      </c>
      <c r="F553" t="s">
        <v>2099</v>
      </c>
      <c r="G553" s="24" t="s">
        <v>58</v>
      </c>
      <c r="H553" s="17">
        <v>1</v>
      </c>
      <c r="I553" s="19">
        <v>120.98</v>
      </c>
      <c r="J553" t="s">
        <v>537</v>
      </c>
      <c r="K553" s="24" t="s">
        <v>18</v>
      </c>
      <c r="L553" s="24" t="s">
        <v>50</v>
      </c>
      <c r="M553" t="s">
        <v>2100</v>
      </c>
      <c r="N553" s="17">
        <v>6</v>
      </c>
      <c r="O553" t="s">
        <v>81</v>
      </c>
      <c r="P553" s="24" t="s">
        <v>38</v>
      </c>
      <c r="Q553" s="19">
        <v>120.98</v>
      </c>
    </row>
    <row r="554" spans="1:17">
      <c r="A554" t="s">
        <v>2101</v>
      </c>
      <c r="B554" s="23">
        <v>45199</v>
      </c>
      <c r="C554" s="23" t="str">
        <f t="shared" si="24"/>
        <v>Sep</v>
      </c>
      <c r="D554" s="23" t="str">
        <f t="shared" si="25"/>
        <v>2023</v>
      </c>
      <c r="E554" s="23" t="str">
        <f t="shared" si="26"/>
        <v>Q3</v>
      </c>
      <c r="F554" t="s">
        <v>2102</v>
      </c>
      <c r="G554" s="24" t="s">
        <v>41</v>
      </c>
      <c r="H554" s="17">
        <v>4</v>
      </c>
      <c r="I554" s="19">
        <v>425.18</v>
      </c>
      <c r="J554" t="s">
        <v>1956</v>
      </c>
      <c r="K554" s="24" t="s">
        <v>27</v>
      </c>
      <c r="L554" s="24" t="s">
        <v>43</v>
      </c>
      <c r="M554" t="s">
        <v>2103</v>
      </c>
      <c r="N554" s="17">
        <v>8</v>
      </c>
      <c r="O554" t="s">
        <v>81</v>
      </c>
      <c r="P554" s="24" t="s">
        <v>45</v>
      </c>
      <c r="Q554" s="19">
        <v>1700.72</v>
      </c>
    </row>
    <row r="555" spans="1:17">
      <c r="A555" t="s">
        <v>2104</v>
      </c>
      <c r="B555" s="23">
        <v>45161</v>
      </c>
      <c r="C555" s="23" t="str">
        <f t="shared" si="24"/>
        <v>Aug</v>
      </c>
      <c r="D555" s="23" t="str">
        <f t="shared" si="25"/>
        <v>2023</v>
      </c>
      <c r="E555" s="23" t="str">
        <f t="shared" si="26"/>
        <v>Q3</v>
      </c>
      <c r="F555" t="s">
        <v>2105</v>
      </c>
      <c r="G555" s="24" t="s">
        <v>25</v>
      </c>
      <c r="H555" s="17">
        <v>2</v>
      </c>
      <c r="I555" s="19">
        <v>333.83</v>
      </c>
      <c r="J555" t="s">
        <v>2106</v>
      </c>
      <c r="K555" s="24" t="s">
        <v>60</v>
      </c>
      <c r="L555" s="24" t="s">
        <v>35</v>
      </c>
      <c r="M555" t="s">
        <v>2107</v>
      </c>
      <c r="N555" s="17">
        <v>4</v>
      </c>
      <c r="O555" t="s">
        <v>37</v>
      </c>
      <c r="P555" s="24" t="s">
        <v>29</v>
      </c>
      <c r="Q555" s="19">
        <v>667.66</v>
      </c>
    </row>
    <row r="556" spans="1:17">
      <c r="A556" t="s">
        <v>2108</v>
      </c>
      <c r="B556" s="23">
        <v>45807</v>
      </c>
      <c r="C556" s="23" t="str">
        <f t="shared" si="24"/>
        <v>May</v>
      </c>
      <c r="D556" s="23" t="str">
        <f t="shared" si="25"/>
        <v>2025</v>
      </c>
      <c r="E556" s="23" t="str">
        <f t="shared" si="26"/>
        <v>Q2</v>
      </c>
      <c r="F556" t="s">
        <v>2109</v>
      </c>
      <c r="G556" s="24" t="s">
        <v>58</v>
      </c>
      <c r="H556" s="17">
        <v>2</v>
      </c>
      <c r="I556" s="19">
        <v>492.9</v>
      </c>
      <c r="J556" t="s">
        <v>937</v>
      </c>
      <c r="K556" s="24" t="s">
        <v>65</v>
      </c>
      <c r="L556" s="24" t="s">
        <v>43</v>
      </c>
      <c r="M556" t="s">
        <v>2110</v>
      </c>
      <c r="N556" s="17">
        <v>5</v>
      </c>
      <c r="O556" t="s">
        <v>37</v>
      </c>
      <c r="P556" s="24" t="s">
        <v>22</v>
      </c>
      <c r="Q556" s="19">
        <v>985.8</v>
      </c>
    </row>
    <row r="557" spans="1:17">
      <c r="A557" t="s">
        <v>2111</v>
      </c>
      <c r="B557" s="23">
        <v>44933</v>
      </c>
      <c r="C557" s="23" t="str">
        <f t="shared" si="24"/>
        <v>Jan</v>
      </c>
      <c r="D557" s="23" t="str">
        <f t="shared" si="25"/>
        <v>2023</v>
      </c>
      <c r="E557" s="23" t="str">
        <f t="shared" si="26"/>
        <v>Q1</v>
      </c>
      <c r="F557" t="s">
        <v>2112</v>
      </c>
      <c r="G557" s="24" t="s">
        <v>32</v>
      </c>
      <c r="H557" s="17">
        <v>1</v>
      </c>
      <c r="I557" s="19">
        <v>92.04</v>
      </c>
      <c r="J557" t="s">
        <v>79</v>
      </c>
      <c r="K557" s="24" t="s">
        <v>65</v>
      </c>
      <c r="L557" s="24" t="s">
        <v>19</v>
      </c>
      <c r="M557" t="s">
        <v>2113</v>
      </c>
      <c r="N557" s="17">
        <v>2</v>
      </c>
      <c r="O557" t="s">
        <v>4295</v>
      </c>
      <c r="P557" s="24" t="s">
        <v>45</v>
      </c>
      <c r="Q557" s="19">
        <v>92.04</v>
      </c>
    </row>
    <row r="558" spans="1:17">
      <c r="A558" t="s">
        <v>2114</v>
      </c>
      <c r="B558" s="23">
        <v>44954</v>
      </c>
      <c r="C558" s="23" t="str">
        <f t="shared" si="24"/>
        <v>Jan</v>
      </c>
      <c r="D558" s="23" t="str">
        <f t="shared" si="25"/>
        <v>2023</v>
      </c>
      <c r="E558" s="23" t="str">
        <f t="shared" si="26"/>
        <v>Q1</v>
      </c>
      <c r="F558" t="s">
        <v>2115</v>
      </c>
      <c r="G558" s="24" t="s">
        <v>58</v>
      </c>
      <c r="H558" s="17">
        <v>1</v>
      </c>
      <c r="I558" s="19">
        <v>654.27</v>
      </c>
      <c r="J558" t="s">
        <v>2116</v>
      </c>
      <c r="K558" s="24" t="s">
        <v>60</v>
      </c>
      <c r="L558" s="24" t="s">
        <v>89</v>
      </c>
      <c r="M558" t="s">
        <v>2117</v>
      </c>
      <c r="N558" s="17">
        <v>2</v>
      </c>
      <c r="O558" t="s">
        <v>21</v>
      </c>
      <c r="P558" s="24" t="s">
        <v>45</v>
      </c>
      <c r="Q558" s="19">
        <v>654.27</v>
      </c>
    </row>
    <row r="559" spans="1:17">
      <c r="A559" t="s">
        <v>2118</v>
      </c>
      <c r="B559" s="23">
        <v>45106</v>
      </c>
      <c r="C559" s="23" t="str">
        <f t="shared" si="24"/>
        <v>Jun</v>
      </c>
      <c r="D559" s="23" t="str">
        <f t="shared" si="25"/>
        <v>2023</v>
      </c>
      <c r="E559" s="23" t="str">
        <f t="shared" si="26"/>
        <v>Q2</v>
      </c>
      <c r="F559" t="s">
        <v>2119</v>
      </c>
      <c r="G559" s="24" t="s">
        <v>32</v>
      </c>
      <c r="H559" s="17">
        <v>1</v>
      </c>
      <c r="I559" s="19">
        <v>56.2</v>
      </c>
      <c r="J559" t="s">
        <v>2120</v>
      </c>
      <c r="K559" s="24" t="s">
        <v>18</v>
      </c>
      <c r="L559" s="24" t="s">
        <v>89</v>
      </c>
      <c r="M559" t="s">
        <v>2121</v>
      </c>
      <c r="N559" s="17">
        <v>1</v>
      </c>
      <c r="O559" t="s">
        <v>81</v>
      </c>
      <c r="P559" s="24" t="s">
        <v>45</v>
      </c>
      <c r="Q559" s="19">
        <v>56.2</v>
      </c>
    </row>
    <row r="560" spans="1:17">
      <c r="A560" t="s">
        <v>2122</v>
      </c>
      <c r="B560" s="23">
        <v>45489</v>
      </c>
      <c r="C560" s="23" t="str">
        <f t="shared" si="24"/>
        <v>Jul</v>
      </c>
      <c r="D560" s="23" t="str">
        <f t="shared" si="25"/>
        <v>2024</v>
      </c>
      <c r="E560" s="23" t="str">
        <f t="shared" si="26"/>
        <v>Q3</v>
      </c>
      <c r="F560" t="s">
        <v>2123</v>
      </c>
      <c r="G560" s="24" t="s">
        <v>25</v>
      </c>
      <c r="H560" s="17">
        <v>4</v>
      </c>
      <c r="I560" s="19">
        <v>628.12</v>
      </c>
      <c r="J560" t="s">
        <v>2124</v>
      </c>
      <c r="K560" s="24" t="s">
        <v>27</v>
      </c>
      <c r="L560" s="24" t="s">
        <v>50</v>
      </c>
      <c r="M560" t="s">
        <v>2125</v>
      </c>
      <c r="N560" s="17">
        <v>6</v>
      </c>
      <c r="O560" t="s">
        <v>81</v>
      </c>
      <c r="P560" s="24" t="s">
        <v>22</v>
      </c>
      <c r="Q560" s="19">
        <v>2512.48</v>
      </c>
    </row>
    <row r="561" spans="1:17">
      <c r="A561" t="s">
        <v>2126</v>
      </c>
      <c r="B561" s="23">
        <v>45397</v>
      </c>
      <c r="C561" s="23" t="str">
        <f t="shared" si="24"/>
        <v>Apr</v>
      </c>
      <c r="D561" s="23" t="str">
        <f t="shared" si="25"/>
        <v>2024</v>
      </c>
      <c r="E561" s="23" t="str">
        <f t="shared" si="26"/>
        <v>Q2</v>
      </c>
      <c r="F561" t="s">
        <v>2127</v>
      </c>
      <c r="G561" s="24" t="s">
        <v>73</v>
      </c>
      <c r="H561" s="17">
        <v>3</v>
      </c>
      <c r="I561" s="19">
        <v>157.4</v>
      </c>
      <c r="J561" t="s">
        <v>1912</v>
      </c>
      <c r="K561" s="24" t="s">
        <v>18</v>
      </c>
      <c r="L561" s="24" t="s">
        <v>35</v>
      </c>
      <c r="M561" t="s">
        <v>2128</v>
      </c>
      <c r="N561" s="17">
        <v>7</v>
      </c>
      <c r="O561" t="s">
        <v>81</v>
      </c>
      <c r="P561" s="24" t="s">
        <v>38</v>
      </c>
      <c r="Q561" s="19">
        <v>472.2</v>
      </c>
    </row>
    <row r="562" spans="1:17">
      <c r="A562" t="s">
        <v>2129</v>
      </c>
      <c r="B562" s="23">
        <v>44957</v>
      </c>
      <c r="C562" s="23" t="str">
        <f t="shared" si="24"/>
        <v>Jan</v>
      </c>
      <c r="D562" s="23" t="str">
        <f t="shared" si="25"/>
        <v>2023</v>
      </c>
      <c r="E562" s="23" t="str">
        <f t="shared" si="26"/>
        <v>Q1</v>
      </c>
      <c r="F562" t="s">
        <v>2130</v>
      </c>
      <c r="G562" s="24" t="s">
        <v>16</v>
      </c>
      <c r="H562" s="17">
        <v>4</v>
      </c>
      <c r="I562" s="19">
        <v>588.85</v>
      </c>
      <c r="J562" t="s">
        <v>2131</v>
      </c>
      <c r="K562" s="24" t="s">
        <v>60</v>
      </c>
      <c r="L562" s="24" t="s">
        <v>89</v>
      </c>
      <c r="M562" t="s">
        <v>2132</v>
      </c>
      <c r="N562" s="17">
        <v>7</v>
      </c>
      <c r="O562" t="s">
        <v>4295</v>
      </c>
      <c r="P562" s="24" t="s">
        <v>38</v>
      </c>
      <c r="Q562" s="19">
        <v>2355.4</v>
      </c>
    </row>
    <row r="563" spans="1:17">
      <c r="A563" t="s">
        <v>2133</v>
      </c>
      <c r="B563" s="23">
        <v>44957</v>
      </c>
      <c r="C563" s="23" t="str">
        <f t="shared" si="24"/>
        <v>Jan</v>
      </c>
      <c r="D563" s="23" t="str">
        <f t="shared" si="25"/>
        <v>2023</v>
      </c>
      <c r="E563" s="23" t="str">
        <f t="shared" si="26"/>
        <v>Q1</v>
      </c>
      <c r="F563" t="s">
        <v>2134</v>
      </c>
      <c r="G563" s="24" t="s">
        <v>48</v>
      </c>
      <c r="H563" s="17">
        <v>2</v>
      </c>
      <c r="I563" s="19">
        <v>494.78</v>
      </c>
      <c r="J563" t="s">
        <v>2135</v>
      </c>
      <c r="K563" s="24" t="s">
        <v>27</v>
      </c>
      <c r="L563" s="24" t="s">
        <v>19</v>
      </c>
      <c r="M563" t="s">
        <v>2136</v>
      </c>
      <c r="N563" s="17">
        <v>2</v>
      </c>
      <c r="O563" t="s">
        <v>4295</v>
      </c>
      <c r="P563" s="24" t="s">
        <v>76</v>
      </c>
      <c r="Q563" s="19">
        <v>989.56</v>
      </c>
    </row>
    <row r="564" spans="1:17">
      <c r="A564" t="s">
        <v>2137</v>
      </c>
      <c r="B564" s="23">
        <v>45205</v>
      </c>
      <c r="C564" s="23" t="str">
        <f t="shared" si="24"/>
        <v>Oct</v>
      </c>
      <c r="D564" s="23" t="str">
        <f t="shared" si="25"/>
        <v>2023</v>
      </c>
      <c r="E564" s="23" t="str">
        <f t="shared" si="26"/>
        <v>Q4</v>
      </c>
      <c r="F564" t="s">
        <v>2138</v>
      </c>
      <c r="G564" s="24" t="s">
        <v>58</v>
      </c>
      <c r="H564" s="17">
        <v>3</v>
      </c>
      <c r="I564" s="19">
        <v>663.93</v>
      </c>
      <c r="J564" t="s">
        <v>422</v>
      </c>
      <c r="K564" s="24" t="s">
        <v>60</v>
      </c>
      <c r="L564" s="24" t="s">
        <v>43</v>
      </c>
      <c r="M564" t="s">
        <v>2139</v>
      </c>
      <c r="N564" s="17">
        <v>6</v>
      </c>
      <c r="O564" t="s">
        <v>37</v>
      </c>
      <c r="P564" s="24" t="s">
        <v>38</v>
      </c>
      <c r="Q564" s="19">
        <v>1991.79</v>
      </c>
    </row>
    <row r="565" spans="1:17">
      <c r="A565" t="s">
        <v>2140</v>
      </c>
      <c r="B565" s="23">
        <v>45272</v>
      </c>
      <c r="C565" s="23" t="str">
        <f t="shared" si="24"/>
        <v>Dec</v>
      </c>
      <c r="D565" s="23" t="str">
        <f t="shared" si="25"/>
        <v>2023</v>
      </c>
      <c r="E565" s="23" t="str">
        <f t="shared" si="26"/>
        <v>Q4</v>
      </c>
      <c r="F565" t="s">
        <v>2141</v>
      </c>
      <c r="G565" s="24" t="s">
        <v>58</v>
      </c>
      <c r="H565" s="17">
        <v>1</v>
      </c>
      <c r="I565" s="19">
        <v>132.68</v>
      </c>
      <c r="J565" t="s">
        <v>2142</v>
      </c>
      <c r="K565" s="24" t="s">
        <v>18</v>
      </c>
      <c r="L565" s="24" t="s">
        <v>43</v>
      </c>
      <c r="M565" t="s">
        <v>2143</v>
      </c>
      <c r="N565" s="17">
        <v>1</v>
      </c>
      <c r="O565" t="s">
        <v>21</v>
      </c>
      <c r="P565" s="24" t="s">
        <v>29</v>
      </c>
      <c r="Q565" s="19">
        <v>132.68</v>
      </c>
    </row>
    <row r="566" spans="1:17">
      <c r="A566" t="s">
        <v>2144</v>
      </c>
      <c r="B566" s="23">
        <v>45755</v>
      </c>
      <c r="C566" s="23" t="str">
        <f t="shared" si="24"/>
        <v>Apr</v>
      </c>
      <c r="D566" s="23" t="str">
        <f t="shared" si="25"/>
        <v>2025</v>
      </c>
      <c r="E566" s="23" t="str">
        <f t="shared" si="26"/>
        <v>Q2</v>
      </c>
      <c r="F566" t="s">
        <v>2145</v>
      </c>
      <c r="G566" s="24" t="s">
        <v>73</v>
      </c>
      <c r="H566" s="17">
        <v>5</v>
      </c>
      <c r="I566" s="19">
        <v>364.28</v>
      </c>
      <c r="J566" t="s">
        <v>2146</v>
      </c>
      <c r="K566" s="24" t="s">
        <v>34</v>
      </c>
      <c r="L566" s="24" t="s">
        <v>35</v>
      </c>
      <c r="M566" t="s">
        <v>2147</v>
      </c>
      <c r="N566" s="17">
        <v>5</v>
      </c>
      <c r="O566" t="s">
        <v>81</v>
      </c>
      <c r="P566" s="24" t="s">
        <v>76</v>
      </c>
      <c r="Q566" s="19">
        <v>1821.4</v>
      </c>
    </row>
    <row r="567" spans="1:17">
      <c r="A567" t="s">
        <v>2148</v>
      </c>
      <c r="B567" s="23">
        <v>45060</v>
      </c>
      <c r="C567" s="23" t="str">
        <f t="shared" si="24"/>
        <v>May</v>
      </c>
      <c r="D567" s="23" t="str">
        <f t="shared" si="25"/>
        <v>2023</v>
      </c>
      <c r="E567" s="23" t="str">
        <f t="shared" si="26"/>
        <v>Q2</v>
      </c>
      <c r="F567" t="s">
        <v>2149</v>
      </c>
      <c r="G567" s="24" t="s">
        <v>32</v>
      </c>
      <c r="H567" s="17">
        <v>5</v>
      </c>
      <c r="I567" s="19">
        <v>307.98</v>
      </c>
      <c r="J567" t="s">
        <v>1790</v>
      </c>
      <c r="K567" s="24" t="s">
        <v>27</v>
      </c>
      <c r="L567" s="24" t="s">
        <v>89</v>
      </c>
      <c r="M567" t="s">
        <v>2150</v>
      </c>
      <c r="N567" s="17">
        <v>10</v>
      </c>
      <c r="O567" t="s">
        <v>4295</v>
      </c>
      <c r="P567" s="24" t="s">
        <v>45</v>
      </c>
      <c r="Q567" s="19">
        <v>1539.9</v>
      </c>
    </row>
    <row r="568" spans="1:17">
      <c r="A568" t="s">
        <v>2151</v>
      </c>
      <c r="B568" s="23">
        <v>45400</v>
      </c>
      <c r="C568" s="23" t="str">
        <f t="shared" si="24"/>
        <v>Apr</v>
      </c>
      <c r="D568" s="23" t="str">
        <f t="shared" si="25"/>
        <v>2024</v>
      </c>
      <c r="E568" s="23" t="str">
        <f t="shared" si="26"/>
        <v>Q2</v>
      </c>
      <c r="F568" t="s">
        <v>2152</v>
      </c>
      <c r="G568" s="24" t="s">
        <v>25</v>
      </c>
      <c r="H568" s="17">
        <v>4</v>
      </c>
      <c r="I568" s="19">
        <v>162.71</v>
      </c>
      <c r="J568" t="s">
        <v>2153</v>
      </c>
      <c r="K568" s="24" t="s">
        <v>65</v>
      </c>
      <c r="L568" s="24" t="s">
        <v>35</v>
      </c>
      <c r="M568" t="s">
        <v>2154</v>
      </c>
      <c r="N568" s="17">
        <v>7</v>
      </c>
      <c r="O568" t="s">
        <v>37</v>
      </c>
      <c r="P568" s="24" t="s">
        <v>38</v>
      </c>
      <c r="Q568" s="19">
        <v>650.84</v>
      </c>
    </row>
    <row r="569" spans="1:17">
      <c r="A569" t="s">
        <v>2155</v>
      </c>
      <c r="B569" s="23">
        <v>45565</v>
      </c>
      <c r="C569" s="23" t="str">
        <f t="shared" si="24"/>
        <v>Sep</v>
      </c>
      <c r="D569" s="23" t="str">
        <f t="shared" si="25"/>
        <v>2024</v>
      </c>
      <c r="E569" s="23" t="str">
        <f t="shared" si="26"/>
        <v>Q3</v>
      </c>
      <c r="F569" t="s">
        <v>2156</v>
      </c>
      <c r="G569" s="24" t="s">
        <v>41</v>
      </c>
      <c r="H569" s="17">
        <v>5</v>
      </c>
      <c r="I569" s="19">
        <v>492.94</v>
      </c>
      <c r="J569" t="s">
        <v>1043</v>
      </c>
      <c r="K569" s="24" t="s">
        <v>65</v>
      </c>
      <c r="L569" s="24" t="s">
        <v>19</v>
      </c>
      <c r="M569" t="s">
        <v>2157</v>
      </c>
      <c r="N569" s="17">
        <v>10</v>
      </c>
      <c r="O569" t="s">
        <v>37</v>
      </c>
      <c r="P569" s="24" t="s">
        <v>38</v>
      </c>
      <c r="Q569" s="19">
        <v>2464.7</v>
      </c>
    </row>
    <row r="570" spans="1:17">
      <c r="A570" t="s">
        <v>2158</v>
      </c>
      <c r="B570" s="23">
        <v>44995</v>
      </c>
      <c r="C570" s="23" t="str">
        <f t="shared" si="24"/>
        <v>Mar</v>
      </c>
      <c r="D570" s="23" t="str">
        <f t="shared" si="25"/>
        <v>2023</v>
      </c>
      <c r="E570" s="23" t="str">
        <f t="shared" si="26"/>
        <v>Q1</v>
      </c>
      <c r="F570" t="s">
        <v>2159</v>
      </c>
      <c r="G570" s="24" t="s">
        <v>58</v>
      </c>
      <c r="H570" s="17">
        <v>2</v>
      </c>
      <c r="I570" s="19">
        <v>343.99</v>
      </c>
      <c r="J570" t="s">
        <v>1431</v>
      </c>
      <c r="K570" s="24" t="s">
        <v>27</v>
      </c>
      <c r="L570" s="24" t="s">
        <v>50</v>
      </c>
      <c r="M570" t="s">
        <v>2160</v>
      </c>
      <c r="N570" s="17">
        <v>4</v>
      </c>
      <c r="O570" t="s">
        <v>4295</v>
      </c>
      <c r="P570" s="24" t="s">
        <v>76</v>
      </c>
      <c r="Q570" s="19">
        <v>687.98</v>
      </c>
    </row>
    <row r="571" spans="1:17">
      <c r="A571" t="s">
        <v>2161</v>
      </c>
      <c r="B571" s="23">
        <v>45738</v>
      </c>
      <c r="C571" s="23" t="str">
        <f t="shared" si="24"/>
        <v>Mar</v>
      </c>
      <c r="D571" s="23" t="str">
        <f t="shared" si="25"/>
        <v>2025</v>
      </c>
      <c r="E571" s="23" t="str">
        <f t="shared" si="26"/>
        <v>Q1</v>
      </c>
      <c r="F571" t="s">
        <v>2162</v>
      </c>
      <c r="G571" s="24" t="s">
        <v>73</v>
      </c>
      <c r="H571" s="17">
        <v>5</v>
      </c>
      <c r="I571" s="19">
        <v>250.68</v>
      </c>
      <c r="J571" t="s">
        <v>1815</v>
      </c>
      <c r="K571" s="24" t="s">
        <v>65</v>
      </c>
      <c r="L571" s="24" t="s">
        <v>19</v>
      </c>
      <c r="M571" t="s">
        <v>2163</v>
      </c>
      <c r="N571" s="17">
        <v>8</v>
      </c>
      <c r="O571" t="s">
        <v>21</v>
      </c>
      <c r="P571" s="24" t="s">
        <v>22</v>
      </c>
      <c r="Q571" s="19">
        <v>1253.4</v>
      </c>
    </row>
    <row r="572" spans="1:17">
      <c r="A572" t="s">
        <v>2164</v>
      </c>
      <c r="B572" s="23">
        <v>45653</v>
      </c>
      <c r="C572" s="23" t="str">
        <f t="shared" si="24"/>
        <v>Dec</v>
      </c>
      <c r="D572" s="23" t="str">
        <f t="shared" si="25"/>
        <v>2024</v>
      </c>
      <c r="E572" s="23" t="str">
        <f t="shared" si="26"/>
        <v>Q4</v>
      </c>
      <c r="F572" t="s">
        <v>2165</v>
      </c>
      <c r="G572" s="24" t="s">
        <v>73</v>
      </c>
      <c r="H572" s="17">
        <v>2</v>
      </c>
      <c r="I572" s="19">
        <v>362.14</v>
      </c>
      <c r="J572" t="s">
        <v>494</v>
      </c>
      <c r="K572" s="24" t="s">
        <v>18</v>
      </c>
      <c r="L572" s="24" t="s">
        <v>89</v>
      </c>
      <c r="M572" t="s">
        <v>2166</v>
      </c>
      <c r="N572" s="17">
        <v>2</v>
      </c>
      <c r="O572" t="s">
        <v>21</v>
      </c>
      <c r="P572" s="24" t="s">
        <v>22</v>
      </c>
      <c r="Q572" s="19">
        <v>724.28</v>
      </c>
    </row>
    <row r="573" spans="1:17">
      <c r="A573" t="s">
        <v>2167</v>
      </c>
      <c r="B573" s="23">
        <v>45619</v>
      </c>
      <c r="C573" s="23" t="str">
        <f t="shared" si="24"/>
        <v>Nov</v>
      </c>
      <c r="D573" s="23" t="str">
        <f t="shared" si="25"/>
        <v>2024</v>
      </c>
      <c r="E573" s="23" t="str">
        <f t="shared" si="26"/>
        <v>Q4</v>
      </c>
      <c r="F573" t="s">
        <v>2168</v>
      </c>
      <c r="G573" s="24" t="s">
        <v>32</v>
      </c>
      <c r="H573" s="17">
        <v>1</v>
      </c>
      <c r="I573" s="19">
        <v>214.08</v>
      </c>
      <c r="J573" t="s">
        <v>1838</v>
      </c>
      <c r="K573" s="24" t="s">
        <v>60</v>
      </c>
      <c r="L573" s="24" t="s">
        <v>43</v>
      </c>
      <c r="M573" t="s">
        <v>2169</v>
      </c>
      <c r="N573" s="17">
        <v>2</v>
      </c>
      <c r="O573" t="s">
        <v>81</v>
      </c>
      <c r="P573" s="24" t="s">
        <v>76</v>
      </c>
      <c r="Q573" s="19">
        <v>214.08</v>
      </c>
    </row>
    <row r="574" spans="1:17">
      <c r="A574" t="s">
        <v>2170</v>
      </c>
      <c r="B574" s="23">
        <v>45241</v>
      </c>
      <c r="C574" s="23" t="str">
        <f t="shared" si="24"/>
        <v>Nov</v>
      </c>
      <c r="D574" s="23" t="str">
        <f t="shared" si="25"/>
        <v>2023</v>
      </c>
      <c r="E574" s="23" t="str">
        <f t="shared" si="26"/>
        <v>Q4</v>
      </c>
      <c r="F574" t="s">
        <v>2171</v>
      </c>
      <c r="G574" s="24" t="s">
        <v>48</v>
      </c>
      <c r="H574" s="17">
        <v>1</v>
      </c>
      <c r="I574" s="19">
        <v>70.32</v>
      </c>
      <c r="J574" t="s">
        <v>1481</v>
      </c>
      <c r="K574" s="24" t="s">
        <v>65</v>
      </c>
      <c r="L574" s="24" t="s">
        <v>43</v>
      </c>
      <c r="M574" t="s">
        <v>2172</v>
      </c>
      <c r="N574" s="17">
        <v>4</v>
      </c>
      <c r="O574" t="s">
        <v>81</v>
      </c>
      <c r="P574" s="24" t="s">
        <v>45</v>
      </c>
      <c r="Q574" s="19">
        <v>70.32</v>
      </c>
    </row>
    <row r="575" spans="1:17">
      <c r="A575" t="s">
        <v>2173</v>
      </c>
      <c r="B575" s="23">
        <v>44951</v>
      </c>
      <c r="C575" s="23" t="str">
        <f t="shared" si="24"/>
        <v>Jan</v>
      </c>
      <c r="D575" s="23" t="str">
        <f t="shared" si="25"/>
        <v>2023</v>
      </c>
      <c r="E575" s="23" t="str">
        <f t="shared" si="26"/>
        <v>Q1</v>
      </c>
      <c r="F575" t="s">
        <v>2174</v>
      </c>
      <c r="G575" s="24" t="s">
        <v>41</v>
      </c>
      <c r="H575" s="17">
        <v>5</v>
      </c>
      <c r="I575" s="19">
        <v>421.42</v>
      </c>
      <c r="J575" t="s">
        <v>466</v>
      </c>
      <c r="K575" s="24" t="s">
        <v>18</v>
      </c>
      <c r="L575" s="24" t="s">
        <v>35</v>
      </c>
      <c r="M575" t="s">
        <v>2175</v>
      </c>
      <c r="N575" s="17">
        <v>7</v>
      </c>
      <c r="O575" t="s">
        <v>4295</v>
      </c>
      <c r="P575" s="24" t="s">
        <v>22</v>
      </c>
      <c r="Q575" s="19">
        <v>2107.1</v>
      </c>
    </row>
    <row r="576" spans="1:17">
      <c r="A576" t="s">
        <v>2176</v>
      </c>
      <c r="B576" s="23">
        <v>45315</v>
      </c>
      <c r="C576" s="23" t="str">
        <f t="shared" si="24"/>
        <v>Jan</v>
      </c>
      <c r="D576" s="23" t="str">
        <f t="shared" si="25"/>
        <v>2024</v>
      </c>
      <c r="E576" s="23" t="str">
        <f t="shared" si="26"/>
        <v>Q1</v>
      </c>
      <c r="F576" t="s">
        <v>2177</v>
      </c>
      <c r="G576" s="24" t="s">
        <v>41</v>
      </c>
      <c r="H576" s="17">
        <v>5</v>
      </c>
      <c r="I576" s="19">
        <v>384.69</v>
      </c>
      <c r="J576" t="s">
        <v>42</v>
      </c>
      <c r="K576" s="24" t="s">
        <v>34</v>
      </c>
      <c r="L576" s="24" t="s">
        <v>89</v>
      </c>
      <c r="M576" t="s">
        <v>2178</v>
      </c>
      <c r="N576" s="17">
        <v>6</v>
      </c>
      <c r="O576" t="s">
        <v>37</v>
      </c>
      <c r="P576" s="24" t="s">
        <v>38</v>
      </c>
      <c r="Q576" s="19">
        <v>1923.45</v>
      </c>
    </row>
    <row r="577" spans="1:17">
      <c r="A577" t="s">
        <v>2179</v>
      </c>
      <c r="B577" s="23">
        <v>45084</v>
      </c>
      <c r="C577" s="23" t="str">
        <f t="shared" si="24"/>
        <v>Jun</v>
      </c>
      <c r="D577" s="23" t="str">
        <f t="shared" si="25"/>
        <v>2023</v>
      </c>
      <c r="E577" s="23" t="str">
        <f t="shared" si="26"/>
        <v>Q2</v>
      </c>
      <c r="F577" t="s">
        <v>2180</v>
      </c>
      <c r="G577" s="24" t="s">
        <v>41</v>
      </c>
      <c r="H577" s="17">
        <v>5</v>
      </c>
      <c r="I577" s="19">
        <v>448.15</v>
      </c>
      <c r="J577" t="s">
        <v>2181</v>
      </c>
      <c r="K577" s="24" t="s">
        <v>60</v>
      </c>
      <c r="L577" s="24" t="s">
        <v>43</v>
      </c>
      <c r="M577" t="s">
        <v>2182</v>
      </c>
      <c r="N577" s="17">
        <v>7</v>
      </c>
      <c r="O577" t="s">
        <v>21</v>
      </c>
      <c r="P577" s="24" t="s">
        <v>76</v>
      </c>
      <c r="Q577" s="19">
        <v>2240.75</v>
      </c>
    </row>
    <row r="578" spans="1:17">
      <c r="A578" t="s">
        <v>2183</v>
      </c>
      <c r="B578" s="23">
        <v>45441</v>
      </c>
      <c r="C578" s="23" t="str">
        <f t="shared" ref="C578:C641" si="27">TEXT(B578,"MMM")</f>
        <v>May</v>
      </c>
      <c r="D578" s="23" t="str">
        <f t="shared" ref="D578:D641" si="28">TEXT(B578,"YYYY")</f>
        <v>2024</v>
      </c>
      <c r="E578" s="23" t="str">
        <f t="shared" ref="E578:E641" si="29">"Q"&amp;ROUNDUP(MONTH(B578)/3,0)</f>
        <v>Q2</v>
      </c>
      <c r="F578" t="s">
        <v>2184</v>
      </c>
      <c r="G578" s="24" t="s">
        <v>58</v>
      </c>
      <c r="H578" s="17">
        <v>5</v>
      </c>
      <c r="I578" s="19">
        <v>79.08</v>
      </c>
      <c r="J578" t="s">
        <v>1415</v>
      </c>
      <c r="K578" s="24" t="s">
        <v>65</v>
      </c>
      <c r="L578" s="24" t="s">
        <v>89</v>
      </c>
      <c r="M578" t="s">
        <v>2185</v>
      </c>
      <c r="N578" s="17">
        <v>8</v>
      </c>
      <c r="O578" t="s">
        <v>4295</v>
      </c>
      <c r="P578" s="24" t="s">
        <v>45</v>
      </c>
      <c r="Q578" s="19">
        <v>395.4</v>
      </c>
    </row>
    <row r="579" spans="1:17">
      <c r="A579" t="s">
        <v>2186</v>
      </c>
      <c r="B579" s="23">
        <v>44948</v>
      </c>
      <c r="C579" s="23" t="str">
        <f t="shared" si="27"/>
        <v>Jan</v>
      </c>
      <c r="D579" s="23" t="str">
        <f t="shared" si="28"/>
        <v>2023</v>
      </c>
      <c r="E579" s="23" t="str">
        <f t="shared" si="29"/>
        <v>Q1</v>
      </c>
      <c r="F579" t="s">
        <v>2187</v>
      </c>
      <c r="G579" s="24" t="s">
        <v>32</v>
      </c>
      <c r="H579" s="17">
        <v>4</v>
      </c>
      <c r="I579" s="19">
        <v>185.41</v>
      </c>
      <c r="J579" t="s">
        <v>371</v>
      </c>
      <c r="K579" s="24" t="s">
        <v>27</v>
      </c>
      <c r="L579" s="24" t="s">
        <v>43</v>
      </c>
      <c r="M579" t="s">
        <v>2188</v>
      </c>
      <c r="N579" s="17">
        <v>9</v>
      </c>
      <c r="O579" t="s">
        <v>81</v>
      </c>
      <c r="P579" s="24" t="s">
        <v>76</v>
      </c>
      <c r="Q579" s="19">
        <v>741.64</v>
      </c>
    </row>
    <row r="580" spans="1:17">
      <c r="A580" t="s">
        <v>2189</v>
      </c>
      <c r="B580" s="23">
        <v>45575</v>
      </c>
      <c r="C580" s="23" t="str">
        <f t="shared" si="27"/>
        <v>Oct</v>
      </c>
      <c r="D580" s="23" t="str">
        <f t="shared" si="28"/>
        <v>2024</v>
      </c>
      <c r="E580" s="23" t="str">
        <f t="shared" si="29"/>
        <v>Q4</v>
      </c>
      <c r="F580" t="s">
        <v>2190</v>
      </c>
      <c r="G580" s="24" t="s">
        <v>16</v>
      </c>
      <c r="H580" s="17">
        <v>5</v>
      </c>
      <c r="I580" s="19">
        <v>566.07</v>
      </c>
      <c r="J580" t="s">
        <v>121</v>
      </c>
      <c r="K580" s="24" t="s">
        <v>34</v>
      </c>
      <c r="L580" s="24" t="s">
        <v>50</v>
      </c>
      <c r="M580" t="s">
        <v>2191</v>
      </c>
      <c r="N580" s="17">
        <v>6</v>
      </c>
      <c r="O580" t="s">
        <v>21</v>
      </c>
      <c r="P580" s="24" t="s">
        <v>22</v>
      </c>
      <c r="Q580" s="19">
        <v>2830.35</v>
      </c>
    </row>
    <row r="581" spans="1:17">
      <c r="A581" t="s">
        <v>2192</v>
      </c>
      <c r="B581" s="23">
        <v>45081</v>
      </c>
      <c r="C581" s="23" t="str">
        <f t="shared" si="27"/>
        <v>Jun</v>
      </c>
      <c r="D581" s="23" t="str">
        <f t="shared" si="28"/>
        <v>2023</v>
      </c>
      <c r="E581" s="23" t="str">
        <f t="shared" si="29"/>
        <v>Q2</v>
      </c>
      <c r="F581" t="s">
        <v>2193</v>
      </c>
      <c r="G581" s="24" t="s">
        <v>32</v>
      </c>
      <c r="H581" s="17">
        <v>2</v>
      </c>
      <c r="I581" s="19">
        <v>187.88</v>
      </c>
      <c r="J581" t="s">
        <v>1267</v>
      </c>
      <c r="K581" s="24" t="s">
        <v>27</v>
      </c>
      <c r="L581" s="24" t="s">
        <v>19</v>
      </c>
      <c r="M581" t="s">
        <v>2194</v>
      </c>
      <c r="N581" s="17">
        <v>4</v>
      </c>
      <c r="O581" t="s">
        <v>81</v>
      </c>
      <c r="P581" s="24" t="s">
        <v>45</v>
      </c>
      <c r="Q581" s="19">
        <v>375.76</v>
      </c>
    </row>
    <row r="582" spans="1:17">
      <c r="A582" t="s">
        <v>2195</v>
      </c>
      <c r="B582" s="23">
        <v>45244</v>
      </c>
      <c r="C582" s="23" t="str">
        <f t="shared" si="27"/>
        <v>Nov</v>
      </c>
      <c r="D582" s="23" t="str">
        <f t="shared" si="28"/>
        <v>2023</v>
      </c>
      <c r="E582" s="23" t="str">
        <f t="shared" si="29"/>
        <v>Q4</v>
      </c>
      <c r="F582" t="s">
        <v>2196</v>
      </c>
      <c r="G582" s="24" t="s">
        <v>16</v>
      </c>
      <c r="H582" s="17">
        <v>2</v>
      </c>
      <c r="I582" s="19">
        <v>255.99</v>
      </c>
      <c r="J582" t="s">
        <v>2197</v>
      </c>
      <c r="K582" s="24" t="s">
        <v>34</v>
      </c>
      <c r="L582" s="24" t="s">
        <v>50</v>
      </c>
      <c r="M582" t="s">
        <v>2198</v>
      </c>
      <c r="N582" s="17">
        <v>4</v>
      </c>
      <c r="O582" t="s">
        <v>21</v>
      </c>
      <c r="P582" s="24" t="s">
        <v>22</v>
      </c>
      <c r="Q582" s="19">
        <v>511.98</v>
      </c>
    </row>
    <row r="583" spans="1:17">
      <c r="A583" t="s">
        <v>2199</v>
      </c>
      <c r="B583" s="23">
        <v>45607</v>
      </c>
      <c r="C583" s="23" t="str">
        <f t="shared" si="27"/>
        <v>Nov</v>
      </c>
      <c r="D583" s="23" t="str">
        <f t="shared" si="28"/>
        <v>2024</v>
      </c>
      <c r="E583" s="23" t="str">
        <f t="shared" si="29"/>
        <v>Q4</v>
      </c>
      <c r="F583" t="s">
        <v>2200</v>
      </c>
      <c r="G583" s="24" t="s">
        <v>58</v>
      </c>
      <c r="H583" s="17">
        <v>1</v>
      </c>
      <c r="I583" s="19">
        <v>627.34</v>
      </c>
      <c r="J583" t="s">
        <v>101</v>
      </c>
      <c r="K583" s="24" t="s">
        <v>27</v>
      </c>
      <c r="L583" s="24" t="s">
        <v>50</v>
      </c>
      <c r="M583" t="s">
        <v>2201</v>
      </c>
      <c r="N583" s="17">
        <v>1</v>
      </c>
      <c r="O583" t="s">
        <v>4295</v>
      </c>
      <c r="P583" s="24" t="s">
        <v>29</v>
      </c>
      <c r="Q583" s="19">
        <v>627.34</v>
      </c>
    </row>
    <row r="584" spans="1:17">
      <c r="A584" t="s">
        <v>2202</v>
      </c>
      <c r="B584" s="23">
        <v>45341</v>
      </c>
      <c r="C584" s="23" t="str">
        <f t="shared" si="27"/>
        <v>Feb</v>
      </c>
      <c r="D584" s="23" t="str">
        <f t="shared" si="28"/>
        <v>2024</v>
      </c>
      <c r="E584" s="23" t="str">
        <f t="shared" si="29"/>
        <v>Q1</v>
      </c>
      <c r="F584" t="s">
        <v>2203</v>
      </c>
      <c r="G584" s="24" t="s">
        <v>32</v>
      </c>
      <c r="H584" s="17">
        <v>3</v>
      </c>
      <c r="I584" s="19">
        <v>474.14</v>
      </c>
      <c r="J584" t="s">
        <v>1525</v>
      </c>
      <c r="K584" s="24" t="s">
        <v>60</v>
      </c>
      <c r="L584" s="24" t="s">
        <v>19</v>
      </c>
      <c r="M584" t="s">
        <v>2204</v>
      </c>
      <c r="N584" s="17">
        <v>8</v>
      </c>
      <c r="O584" t="s">
        <v>81</v>
      </c>
      <c r="P584" s="24" t="s">
        <v>76</v>
      </c>
      <c r="Q584" s="19">
        <v>1422.42</v>
      </c>
    </row>
    <row r="585" spans="1:17">
      <c r="A585" t="s">
        <v>2205</v>
      </c>
      <c r="B585" s="23">
        <v>45823</v>
      </c>
      <c r="C585" s="23" t="str">
        <f t="shared" si="27"/>
        <v>Jun</v>
      </c>
      <c r="D585" s="23" t="str">
        <f t="shared" si="28"/>
        <v>2025</v>
      </c>
      <c r="E585" s="23" t="str">
        <f t="shared" si="29"/>
        <v>Q2</v>
      </c>
      <c r="F585" t="s">
        <v>2206</v>
      </c>
      <c r="G585" s="24" t="s">
        <v>41</v>
      </c>
      <c r="H585" s="17">
        <v>3</v>
      </c>
      <c r="I585" s="19">
        <v>154.37</v>
      </c>
      <c r="J585" t="s">
        <v>165</v>
      </c>
      <c r="K585" s="24" t="s">
        <v>60</v>
      </c>
      <c r="L585" s="24" t="s">
        <v>50</v>
      </c>
      <c r="M585" t="s">
        <v>2207</v>
      </c>
      <c r="N585" s="17">
        <v>4</v>
      </c>
      <c r="O585" t="s">
        <v>4295</v>
      </c>
      <c r="P585" s="24" t="s">
        <v>22</v>
      </c>
      <c r="Q585" s="19">
        <v>463.11</v>
      </c>
    </row>
    <row r="586" spans="1:17">
      <c r="A586" t="s">
        <v>2208</v>
      </c>
      <c r="B586" s="23">
        <v>45737</v>
      </c>
      <c r="C586" s="23" t="str">
        <f t="shared" si="27"/>
        <v>Mar</v>
      </c>
      <c r="D586" s="23" t="str">
        <f t="shared" si="28"/>
        <v>2025</v>
      </c>
      <c r="E586" s="23" t="str">
        <f t="shared" si="29"/>
        <v>Q1</v>
      </c>
      <c r="F586" t="s">
        <v>2209</v>
      </c>
      <c r="G586" s="24" t="s">
        <v>41</v>
      </c>
      <c r="H586" s="17">
        <v>4</v>
      </c>
      <c r="I586" s="19">
        <v>145.05</v>
      </c>
      <c r="J586" t="s">
        <v>2210</v>
      </c>
      <c r="K586" s="24" t="s">
        <v>27</v>
      </c>
      <c r="L586" s="24" t="s">
        <v>50</v>
      </c>
      <c r="M586" t="s">
        <v>2211</v>
      </c>
      <c r="N586" s="17">
        <v>6</v>
      </c>
      <c r="O586" t="s">
        <v>21</v>
      </c>
      <c r="P586" s="24" t="s">
        <v>76</v>
      </c>
      <c r="Q586" s="19">
        <v>580.2</v>
      </c>
    </row>
    <row r="587" spans="1:17">
      <c r="A587" t="s">
        <v>2212</v>
      </c>
      <c r="B587" s="23">
        <v>45158</v>
      </c>
      <c r="C587" s="23" t="str">
        <f t="shared" si="27"/>
        <v>Aug</v>
      </c>
      <c r="D587" s="23" t="str">
        <f t="shared" si="28"/>
        <v>2023</v>
      </c>
      <c r="E587" s="23" t="str">
        <f t="shared" si="29"/>
        <v>Q3</v>
      </c>
      <c r="F587" t="s">
        <v>2213</v>
      </c>
      <c r="G587" s="24" t="s">
        <v>32</v>
      </c>
      <c r="H587" s="17">
        <v>4</v>
      </c>
      <c r="I587" s="19">
        <v>67.08</v>
      </c>
      <c r="J587" t="s">
        <v>1408</v>
      </c>
      <c r="K587" s="24" t="s">
        <v>65</v>
      </c>
      <c r="L587" s="24" t="s">
        <v>43</v>
      </c>
      <c r="M587" t="s">
        <v>2214</v>
      </c>
      <c r="N587" s="17">
        <v>8</v>
      </c>
      <c r="O587" t="s">
        <v>81</v>
      </c>
      <c r="P587" s="24" t="s">
        <v>76</v>
      </c>
      <c r="Q587" s="19">
        <v>268.32</v>
      </c>
    </row>
    <row r="588" spans="1:17">
      <c r="A588" t="s">
        <v>2215</v>
      </c>
      <c r="B588" s="23">
        <v>45606</v>
      </c>
      <c r="C588" s="23" t="str">
        <f t="shared" si="27"/>
        <v>Nov</v>
      </c>
      <c r="D588" s="23" t="str">
        <f t="shared" si="28"/>
        <v>2024</v>
      </c>
      <c r="E588" s="23" t="str">
        <f t="shared" si="29"/>
        <v>Q4</v>
      </c>
      <c r="F588" t="s">
        <v>2216</v>
      </c>
      <c r="G588" s="24" t="s">
        <v>16</v>
      </c>
      <c r="H588" s="17">
        <v>1</v>
      </c>
      <c r="I588" s="19">
        <v>522.08</v>
      </c>
      <c r="J588" t="s">
        <v>2217</v>
      </c>
      <c r="K588" s="24" t="s">
        <v>60</v>
      </c>
      <c r="L588" s="24" t="s">
        <v>43</v>
      </c>
      <c r="M588" t="s">
        <v>2218</v>
      </c>
      <c r="N588" s="17">
        <v>5</v>
      </c>
      <c r="O588" t="s">
        <v>37</v>
      </c>
      <c r="P588" s="24" t="s">
        <v>29</v>
      </c>
      <c r="Q588" s="19">
        <v>522.08</v>
      </c>
    </row>
    <row r="589" spans="1:17">
      <c r="A589" t="s">
        <v>2219</v>
      </c>
      <c r="B589" s="23">
        <v>45089</v>
      </c>
      <c r="C589" s="23" t="str">
        <f t="shared" si="27"/>
        <v>Jun</v>
      </c>
      <c r="D589" s="23" t="str">
        <f t="shared" si="28"/>
        <v>2023</v>
      </c>
      <c r="E589" s="23" t="str">
        <f t="shared" si="29"/>
        <v>Q2</v>
      </c>
      <c r="F589" t="s">
        <v>2220</v>
      </c>
      <c r="G589" s="24" t="s">
        <v>16</v>
      </c>
      <c r="H589" s="17">
        <v>5</v>
      </c>
      <c r="I589" s="19">
        <v>514.6</v>
      </c>
      <c r="J589" t="s">
        <v>2221</v>
      </c>
      <c r="K589" s="24" t="s">
        <v>60</v>
      </c>
      <c r="L589" s="24" t="s">
        <v>50</v>
      </c>
      <c r="M589" t="s">
        <v>2222</v>
      </c>
      <c r="N589" s="17">
        <v>10</v>
      </c>
      <c r="O589" t="s">
        <v>37</v>
      </c>
      <c r="P589" s="24" t="s">
        <v>22</v>
      </c>
      <c r="Q589" s="19">
        <v>2573</v>
      </c>
    </row>
    <row r="590" spans="1:17">
      <c r="A590" t="s">
        <v>2223</v>
      </c>
      <c r="B590" s="23">
        <v>45636</v>
      </c>
      <c r="C590" s="23" t="str">
        <f t="shared" si="27"/>
        <v>Dec</v>
      </c>
      <c r="D590" s="23" t="str">
        <f t="shared" si="28"/>
        <v>2024</v>
      </c>
      <c r="E590" s="23" t="str">
        <f t="shared" si="29"/>
        <v>Q4</v>
      </c>
      <c r="F590" t="s">
        <v>2224</v>
      </c>
      <c r="G590" s="24" t="s">
        <v>16</v>
      </c>
      <c r="H590" s="17">
        <v>4</v>
      </c>
      <c r="I590" s="19">
        <v>577.82</v>
      </c>
      <c r="J590" t="s">
        <v>273</v>
      </c>
      <c r="K590" s="24" t="s">
        <v>34</v>
      </c>
      <c r="L590" s="24" t="s">
        <v>50</v>
      </c>
      <c r="M590" t="s">
        <v>2225</v>
      </c>
      <c r="N590" s="17">
        <v>9</v>
      </c>
      <c r="O590" t="s">
        <v>4295</v>
      </c>
      <c r="P590" s="24" t="s">
        <v>76</v>
      </c>
      <c r="Q590" s="19">
        <v>2311.28</v>
      </c>
    </row>
    <row r="591" spans="1:17">
      <c r="A591" t="s">
        <v>2226</v>
      </c>
      <c r="B591" s="23">
        <v>45698</v>
      </c>
      <c r="C591" s="23" t="str">
        <f t="shared" si="27"/>
        <v>Feb</v>
      </c>
      <c r="D591" s="23" t="str">
        <f t="shared" si="28"/>
        <v>2025</v>
      </c>
      <c r="E591" s="23" t="str">
        <f t="shared" si="29"/>
        <v>Q1</v>
      </c>
      <c r="F591" t="s">
        <v>2227</v>
      </c>
      <c r="G591" s="24" t="s">
        <v>58</v>
      </c>
      <c r="H591" s="17">
        <v>2</v>
      </c>
      <c r="I591" s="19">
        <v>500.8</v>
      </c>
      <c r="J591" t="s">
        <v>2228</v>
      </c>
      <c r="K591" s="24" t="s">
        <v>65</v>
      </c>
      <c r="L591" s="24" t="s">
        <v>50</v>
      </c>
      <c r="M591" t="s">
        <v>2229</v>
      </c>
      <c r="N591" s="17">
        <v>3</v>
      </c>
      <c r="O591" t="s">
        <v>37</v>
      </c>
      <c r="P591" s="24" t="s">
        <v>29</v>
      </c>
      <c r="Q591" s="19">
        <v>1001.6</v>
      </c>
    </row>
    <row r="592" spans="1:17">
      <c r="A592" t="s">
        <v>2230</v>
      </c>
      <c r="B592" s="23">
        <v>45179</v>
      </c>
      <c r="C592" s="23" t="str">
        <f t="shared" si="27"/>
        <v>Sep</v>
      </c>
      <c r="D592" s="23" t="str">
        <f t="shared" si="28"/>
        <v>2023</v>
      </c>
      <c r="E592" s="23" t="str">
        <f t="shared" si="29"/>
        <v>Q3</v>
      </c>
      <c r="F592" t="s">
        <v>2231</v>
      </c>
      <c r="G592" s="24" t="s">
        <v>48</v>
      </c>
      <c r="H592" s="17">
        <v>2</v>
      </c>
      <c r="I592" s="19">
        <v>461.13</v>
      </c>
      <c r="J592" t="s">
        <v>2232</v>
      </c>
      <c r="K592" s="24" t="s">
        <v>60</v>
      </c>
      <c r="L592" s="24" t="s">
        <v>43</v>
      </c>
      <c r="M592" t="s">
        <v>2233</v>
      </c>
      <c r="N592" s="17">
        <v>4</v>
      </c>
      <c r="O592" t="s">
        <v>4295</v>
      </c>
      <c r="P592" s="24" t="s">
        <v>38</v>
      </c>
      <c r="Q592" s="19">
        <v>922.26</v>
      </c>
    </row>
    <row r="593" spans="1:17">
      <c r="A593" t="s">
        <v>2234</v>
      </c>
      <c r="B593" s="23">
        <v>45614</v>
      </c>
      <c r="C593" s="23" t="str">
        <f t="shared" si="27"/>
        <v>Nov</v>
      </c>
      <c r="D593" s="23" t="str">
        <f t="shared" si="28"/>
        <v>2024</v>
      </c>
      <c r="E593" s="23" t="str">
        <f t="shared" si="29"/>
        <v>Q4</v>
      </c>
      <c r="F593" t="s">
        <v>2235</v>
      </c>
      <c r="G593" s="24" t="s">
        <v>58</v>
      </c>
      <c r="H593" s="17">
        <v>1</v>
      </c>
      <c r="I593" s="19">
        <v>605.28</v>
      </c>
      <c r="J593" t="s">
        <v>2236</v>
      </c>
      <c r="K593" s="24" t="s">
        <v>60</v>
      </c>
      <c r="L593" s="24" t="s">
        <v>19</v>
      </c>
      <c r="M593" t="s">
        <v>2237</v>
      </c>
      <c r="N593" s="17">
        <v>3</v>
      </c>
      <c r="O593" t="s">
        <v>37</v>
      </c>
      <c r="P593" s="24" t="s">
        <v>29</v>
      </c>
      <c r="Q593" s="19">
        <v>605.28</v>
      </c>
    </row>
    <row r="594" spans="1:17">
      <c r="A594" t="s">
        <v>2238</v>
      </c>
      <c r="B594" s="23">
        <v>45405</v>
      </c>
      <c r="C594" s="23" t="str">
        <f t="shared" si="27"/>
        <v>Apr</v>
      </c>
      <c r="D594" s="23" t="str">
        <f t="shared" si="28"/>
        <v>2024</v>
      </c>
      <c r="E594" s="23" t="str">
        <f t="shared" si="29"/>
        <v>Q2</v>
      </c>
      <c r="F594" t="s">
        <v>2239</v>
      </c>
      <c r="G594" s="24" t="s">
        <v>25</v>
      </c>
      <c r="H594" s="17">
        <v>3</v>
      </c>
      <c r="I594" s="19">
        <v>204.27</v>
      </c>
      <c r="J594" t="s">
        <v>2021</v>
      </c>
      <c r="K594" s="24" t="s">
        <v>27</v>
      </c>
      <c r="L594" s="24" t="s">
        <v>43</v>
      </c>
      <c r="M594" t="s">
        <v>2240</v>
      </c>
      <c r="N594" s="17">
        <v>4</v>
      </c>
      <c r="O594" t="s">
        <v>4295</v>
      </c>
      <c r="P594" s="24" t="s">
        <v>76</v>
      </c>
      <c r="Q594" s="19">
        <v>612.81</v>
      </c>
    </row>
    <row r="595" spans="1:17">
      <c r="A595" t="s">
        <v>2241</v>
      </c>
      <c r="B595" s="23">
        <v>45140</v>
      </c>
      <c r="C595" s="23" t="str">
        <f t="shared" si="27"/>
        <v>Aug</v>
      </c>
      <c r="D595" s="23" t="str">
        <f t="shared" si="28"/>
        <v>2023</v>
      </c>
      <c r="E595" s="23" t="str">
        <f t="shared" si="29"/>
        <v>Q3</v>
      </c>
      <c r="F595" t="s">
        <v>2242</v>
      </c>
      <c r="G595" s="24" t="s">
        <v>16</v>
      </c>
      <c r="H595" s="17">
        <v>1</v>
      </c>
      <c r="I595" s="19">
        <v>489.8</v>
      </c>
      <c r="J595" t="s">
        <v>565</v>
      </c>
      <c r="K595" s="24" t="s">
        <v>60</v>
      </c>
      <c r="L595" s="24" t="s">
        <v>19</v>
      </c>
      <c r="M595" t="s">
        <v>2243</v>
      </c>
      <c r="N595" s="17">
        <v>4</v>
      </c>
      <c r="O595" t="s">
        <v>37</v>
      </c>
      <c r="P595" s="24" t="s">
        <v>45</v>
      </c>
      <c r="Q595" s="19">
        <v>489.8</v>
      </c>
    </row>
    <row r="596" spans="1:17">
      <c r="A596" t="s">
        <v>2244</v>
      </c>
      <c r="B596" s="23">
        <v>45343</v>
      </c>
      <c r="C596" s="23" t="str">
        <f t="shared" si="27"/>
        <v>Feb</v>
      </c>
      <c r="D596" s="23" t="str">
        <f t="shared" si="28"/>
        <v>2024</v>
      </c>
      <c r="E596" s="23" t="str">
        <f t="shared" si="29"/>
        <v>Q1</v>
      </c>
      <c r="F596" t="s">
        <v>2245</v>
      </c>
      <c r="G596" s="24" t="s">
        <v>25</v>
      </c>
      <c r="H596" s="17">
        <v>5</v>
      </c>
      <c r="I596" s="19">
        <v>72.64</v>
      </c>
      <c r="J596" t="s">
        <v>580</v>
      </c>
      <c r="K596" s="24" t="s">
        <v>34</v>
      </c>
      <c r="L596" s="24" t="s">
        <v>35</v>
      </c>
      <c r="M596" t="s">
        <v>2246</v>
      </c>
      <c r="N596" s="17">
        <v>7</v>
      </c>
      <c r="O596" t="s">
        <v>4295</v>
      </c>
      <c r="P596" s="24" t="s">
        <v>38</v>
      </c>
      <c r="Q596" s="19">
        <v>363.2</v>
      </c>
    </row>
    <row r="597" spans="1:17">
      <c r="A597" t="s">
        <v>2247</v>
      </c>
      <c r="B597" s="23">
        <v>45667</v>
      </c>
      <c r="C597" s="23" t="str">
        <f t="shared" si="27"/>
        <v>Jan</v>
      </c>
      <c r="D597" s="23" t="str">
        <f t="shared" si="28"/>
        <v>2025</v>
      </c>
      <c r="E597" s="23" t="str">
        <f t="shared" si="29"/>
        <v>Q1</v>
      </c>
      <c r="F597" t="s">
        <v>2248</v>
      </c>
      <c r="G597" s="24" t="s">
        <v>48</v>
      </c>
      <c r="H597" s="17">
        <v>2</v>
      </c>
      <c r="I597" s="19">
        <v>385.16</v>
      </c>
      <c r="J597" t="s">
        <v>2249</v>
      </c>
      <c r="K597" s="24" t="s">
        <v>27</v>
      </c>
      <c r="L597" s="24" t="s">
        <v>89</v>
      </c>
      <c r="M597" t="s">
        <v>2250</v>
      </c>
      <c r="N597" s="17">
        <v>7</v>
      </c>
      <c r="O597" t="s">
        <v>21</v>
      </c>
      <c r="P597" s="24" t="s">
        <v>38</v>
      </c>
      <c r="Q597" s="19">
        <v>770.32</v>
      </c>
    </row>
    <row r="598" spans="1:17">
      <c r="A598" t="s">
        <v>2251</v>
      </c>
      <c r="B598" s="23">
        <v>45089</v>
      </c>
      <c r="C598" s="23" t="str">
        <f t="shared" si="27"/>
        <v>Jun</v>
      </c>
      <c r="D598" s="23" t="str">
        <f t="shared" si="28"/>
        <v>2023</v>
      </c>
      <c r="E598" s="23" t="str">
        <f t="shared" si="29"/>
        <v>Q2</v>
      </c>
      <c r="F598" t="s">
        <v>2252</v>
      </c>
      <c r="G598" s="24" t="s">
        <v>73</v>
      </c>
      <c r="H598" s="17">
        <v>3</v>
      </c>
      <c r="I598" s="19">
        <v>606.41</v>
      </c>
      <c r="J598" t="s">
        <v>2253</v>
      </c>
      <c r="K598" s="24" t="s">
        <v>18</v>
      </c>
      <c r="L598" s="24" t="s">
        <v>43</v>
      </c>
      <c r="M598" t="s">
        <v>2254</v>
      </c>
      <c r="N598" s="17">
        <v>7</v>
      </c>
      <c r="O598" t="s">
        <v>37</v>
      </c>
      <c r="P598" s="24" t="s">
        <v>45</v>
      </c>
      <c r="Q598" s="19">
        <v>1819.23</v>
      </c>
    </row>
    <row r="599" spans="1:17">
      <c r="A599" t="s">
        <v>2255</v>
      </c>
      <c r="B599" s="23">
        <v>45621</v>
      </c>
      <c r="C599" s="23" t="str">
        <f t="shared" si="27"/>
        <v>Nov</v>
      </c>
      <c r="D599" s="23" t="str">
        <f t="shared" si="28"/>
        <v>2024</v>
      </c>
      <c r="E599" s="23" t="str">
        <f t="shared" si="29"/>
        <v>Q4</v>
      </c>
      <c r="F599" t="s">
        <v>2256</v>
      </c>
      <c r="G599" s="24" t="s">
        <v>73</v>
      </c>
      <c r="H599" s="17">
        <v>2</v>
      </c>
      <c r="I599" s="19">
        <v>211.82</v>
      </c>
      <c r="J599" t="s">
        <v>2257</v>
      </c>
      <c r="K599" s="24" t="s">
        <v>60</v>
      </c>
      <c r="L599" s="24" t="s">
        <v>35</v>
      </c>
      <c r="M599" t="s">
        <v>2258</v>
      </c>
      <c r="N599" s="17">
        <v>4</v>
      </c>
      <c r="O599" t="s">
        <v>81</v>
      </c>
      <c r="P599" s="24" t="s">
        <v>38</v>
      </c>
      <c r="Q599" s="19">
        <v>423.64</v>
      </c>
    </row>
    <row r="600" spans="1:17">
      <c r="A600" t="s">
        <v>2259</v>
      </c>
      <c r="B600" s="23">
        <v>45408</v>
      </c>
      <c r="C600" s="23" t="str">
        <f t="shared" si="27"/>
        <v>Apr</v>
      </c>
      <c r="D600" s="23" t="str">
        <f t="shared" si="28"/>
        <v>2024</v>
      </c>
      <c r="E600" s="23" t="str">
        <f t="shared" si="29"/>
        <v>Q2</v>
      </c>
      <c r="F600" t="s">
        <v>2260</v>
      </c>
      <c r="G600" s="24" t="s">
        <v>73</v>
      </c>
      <c r="H600" s="17">
        <v>5</v>
      </c>
      <c r="I600" s="19">
        <v>495.35</v>
      </c>
      <c r="J600" t="s">
        <v>1344</v>
      </c>
      <c r="K600" s="24" t="s">
        <v>34</v>
      </c>
      <c r="L600" s="24" t="s">
        <v>89</v>
      </c>
      <c r="M600" t="s">
        <v>2261</v>
      </c>
      <c r="N600" s="17">
        <v>5</v>
      </c>
      <c r="O600" t="s">
        <v>4295</v>
      </c>
      <c r="P600" s="24" t="s">
        <v>45</v>
      </c>
      <c r="Q600" s="19">
        <v>2476.75</v>
      </c>
    </row>
    <row r="601" spans="1:17">
      <c r="A601" t="s">
        <v>2262</v>
      </c>
      <c r="B601" s="23">
        <v>45107</v>
      </c>
      <c r="C601" s="23" t="str">
        <f t="shared" si="27"/>
        <v>Jun</v>
      </c>
      <c r="D601" s="23" t="str">
        <f t="shared" si="28"/>
        <v>2023</v>
      </c>
      <c r="E601" s="23" t="str">
        <f t="shared" si="29"/>
        <v>Q2</v>
      </c>
      <c r="F601" t="s">
        <v>2263</v>
      </c>
      <c r="G601" s="24" t="s">
        <v>41</v>
      </c>
      <c r="H601" s="17">
        <v>3</v>
      </c>
      <c r="I601" s="19">
        <v>556.99</v>
      </c>
      <c r="J601" t="s">
        <v>1609</v>
      </c>
      <c r="K601" s="24" t="s">
        <v>27</v>
      </c>
      <c r="L601" s="24" t="s">
        <v>35</v>
      </c>
      <c r="M601" t="s">
        <v>2264</v>
      </c>
      <c r="N601" s="17">
        <v>4</v>
      </c>
      <c r="O601" t="s">
        <v>37</v>
      </c>
      <c r="P601" s="24" t="s">
        <v>45</v>
      </c>
      <c r="Q601" s="19">
        <v>1670.97</v>
      </c>
    </row>
    <row r="602" spans="1:17">
      <c r="A602" t="s">
        <v>2265</v>
      </c>
      <c r="B602" s="23">
        <v>45072</v>
      </c>
      <c r="C602" s="23" t="str">
        <f t="shared" si="27"/>
        <v>May</v>
      </c>
      <c r="D602" s="23" t="str">
        <f t="shared" si="28"/>
        <v>2023</v>
      </c>
      <c r="E602" s="23" t="str">
        <f t="shared" si="29"/>
        <v>Q2</v>
      </c>
      <c r="F602" t="s">
        <v>2266</v>
      </c>
      <c r="G602" s="24" t="s">
        <v>48</v>
      </c>
      <c r="H602" s="17">
        <v>1</v>
      </c>
      <c r="I602" s="19">
        <v>72.31</v>
      </c>
      <c r="J602" t="s">
        <v>1047</v>
      </c>
      <c r="K602" s="24" t="s">
        <v>60</v>
      </c>
      <c r="L602" s="24" t="s">
        <v>35</v>
      </c>
      <c r="M602" t="s">
        <v>2267</v>
      </c>
      <c r="N602" s="17">
        <v>1</v>
      </c>
      <c r="O602" t="s">
        <v>37</v>
      </c>
      <c r="P602" s="24" t="s">
        <v>45</v>
      </c>
      <c r="Q602" s="19">
        <v>72.31</v>
      </c>
    </row>
    <row r="603" spans="1:17">
      <c r="A603" t="s">
        <v>2268</v>
      </c>
      <c r="B603" s="23">
        <v>45201</v>
      </c>
      <c r="C603" s="23" t="str">
        <f t="shared" si="27"/>
        <v>Oct</v>
      </c>
      <c r="D603" s="23" t="str">
        <f t="shared" si="28"/>
        <v>2023</v>
      </c>
      <c r="E603" s="23" t="str">
        <f t="shared" si="29"/>
        <v>Q4</v>
      </c>
      <c r="F603" t="s">
        <v>2269</v>
      </c>
      <c r="G603" s="24" t="s">
        <v>16</v>
      </c>
      <c r="H603" s="17">
        <v>5</v>
      </c>
      <c r="I603" s="19">
        <v>24.82</v>
      </c>
      <c r="J603" t="s">
        <v>2270</v>
      </c>
      <c r="K603" s="24" t="s">
        <v>34</v>
      </c>
      <c r="L603" s="24" t="s">
        <v>19</v>
      </c>
      <c r="M603" t="s">
        <v>2271</v>
      </c>
      <c r="N603" s="17">
        <v>10</v>
      </c>
      <c r="O603" t="s">
        <v>4295</v>
      </c>
      <c r="P603" s="24" t="s">
        <v>29</v>
      </c>
      <c r="Q603" s="19">
        <v>124.1</v>
      </c>
    </row>
    <row r="604" spans="1:17">
      <c r="A604" t="s">
        <v>2272</v>
      </c>
      <c r="B604" s="23">
        <v>45356</v>
      </c>
      <c r="C604" s="23" t="str">
        <f t="shared" si="27"/>
        <v>Mar</v>
      </c>
      <c r="D604" s="23" t="str">
        <f t="shared" si="28"/>
        <v>2024</v>
      </c>
      <c r="E604" s="23" t="str">
        <f t="shared" si="29"/>
        <v>Q1</v>
      </c>
      <c r="F604" t="s">
        <v>1858</v>
      </c>
      <c r="G604" s="24" t="s">
        <v>32</v>
      </c>
      <c r="H604" s="17">
        <v>4</v>
      </c>
      <c r="I604" s="19">
        <v>26.04</v>
      </c>
      <c r="J604" t="s">
        <v>1862</v>
      </c>
      <c r="K604" s="24" t="s">
        <v>27</v>
      </c>
      <c r="L604" s="24" t="s">
        <v>89</v>
      </c>
      <c r="M604" t="s">
        <v>2273</v>
      </c>
      <c r="N604" s="17">
        <v>5</v>
      </c>
      <c r="O604" t="s">
        <v>21</v>
      </c>
      <c r="P604" s="24" t="s">
        <v>22</v>
      </c>
      <c r="Q604" s="19">
        <v>104.16</v>
      </c>
    </row>
    <row r="605" spans="1:17">
      <c r="A605" t="s">
        <v>2274</v>
      </c>
      <c r="B605" s="23">
        <v>45569</v>
      </c>
      <c r="C605" s="23" t="str">
        <f t="shared" si="27"/>
        <v>Oct</v>
      </c>
      <c r="D605" s="23" t="str">
        <f t="shared" si="28"/>
        <v>2024</v>
      </c>
      <c r="E605" s="23" t="str">
        <f t="shared" si="29"/>
        <v>Q4</v>
      </c>
      <c r="F605" t="s">
        <v>2275</v>
      </c>
      <c r="G605" s="24" t="s">
        <v>32</v>
      </c>
      <c r="H605" s="17">
        <v>1</v>
      </c>
      <c r="I605" s="19">
        <v>657.07</v>
      </c>
      <c r="J605" t="s">
        <v>2276</v>
      </c>
      <c r="K605" s="24" t="s">
        <v>65</v>
      </c>
      <c r="L605" s="24" t="s">
        <v>89</v>
      </c>
      <c r="M605" t="s">
        <v>2277</v>
      </c>
      <c r="N605" s="17">
        <v>4</v>
      </c>
      <c r="O605" t="s">
        <v>21</v>
      </c>
      <c r="P605" s="24" t="s">
        <v>76</v>
      </c>
      <c r="Q605" s="19">
        <v>657.07</v>
      </c>
    </row>
    <row r="606" spans="1:17">
      <c r="A606" t="s">
        <v>2278</v>
      </c>
      <c r="B606" s="23">
        <v>45830</v>
      </c>
      <c r="C606" s="23" t="str">
        <f t="shared" si="27"/>
        <v>Jun</v>
      </c>
      <c r="D606" s="23" t="str">
        <f t="shared" si="28"/>
        <v>2025</v>
      </c>
      <c r="E606" s="23" t="str">
        <f t="shared" si="29"/>
        <v>Q2</v>
      </c>
      <c r="F606" t="s">
        <v>2279</v>
      </c>
      <c r="G606" s="24" t="s">
        <v>41</v>
      </c>
      <c r="H606" s="17">
        <v>3</v>
      </c>
      <c r="I606" s="19">
        <v>32.62</v>
      </c>
      <c r="J606" t="s">
        <v>1183</v>
      </c>
      <c r="K606" s="24" t="s">
        <v>18</v>
      </c>
      <c r="L606" s="24" t="s">
        <v>50</v>
      </c>
      <c r="M606" t="s">
        <v>2280</v>
      </c>
      <c r="N606" s="17">
        <v>6</v>
      </c>
      <c r="O606" t="s">
        <v>4295</v>
      </c>
      <c r="P606" s="24" t="s">
        <v>45</v>
      </c>
      <c r="Q606" s="19">
        <v>97.86</v>
      </c>
    </row>
    <row r="607" spans="1:17">
      <c r="A607" t="s">
        <v>2281</v>
      </c>
      <c r="B607" s="23">
        <v>45422</v>
      </c>
      <c r="C607" s="23" t="str">
        <f t="shared" si="27"/>
        <v>May</v>
      </c>
      <c r="D607" s="23" t="str">
        <f t="shared" si="28"/>
        <v>2024</v>
      </c>
      <c r="E607" s="23" t="str">
        <f t="shared" si="29"/>
        <v>Q2</v>
      </c>
      <c r="F607" t="s">
        <v>2282</v>
      </c>
      <c r="G607" s="24" t="s">
        <v>16</v>
      </c>
      <c r="H607" s="17">
        <v>2</v>
      </c>
      <c r="I607" s="19">
        <v>228.91</v>
      </c>
      <c r="J607" t="s">
        <v>2283</v>
      </c>
      <c r="K607" s="24" t="s">
        <v>18</v>
      </c>
      <c r="L607" s="24" t="s">
        <v>19</v>
      </c>
      <c r="M607" t="s">
        <v>2284</v>
      </c>
      <c r="N607" s="17">
        <v>4</v>
      </c>
      <c r="O607" t="s">
        <v>21</v>
      </c>
      <c r="P607" s="24" t="s">
        <v>29</v>
      </c>
      <c r="Q607" s="19">
        <v>457.82</v>
      </c>
    </row>
    <row r="608" spans="1:17">
      <c r="A608" t="s">
        <v>2285</v>
      </c>
      <c r="B608" s="23">
        <v>45602</v>
      </c>
      <c r="C608" s="23" t="str">
        <f t="shared" si="27"/>
        <v>Nov</v>
      </c>
      <c r="D608" s="23" t="str">
        <f t="shared" si="28"/>
        <v>2024</v>
      </c>
      <c r="E608" s="23" t="str">
        <f t="shared" si="29"/>
        <v>Q4</v>
      </c>
      <c r="F608" t="s">
        <v>2286</v>
      </c>
      <c r="G608" s="24" t="s">
        <v>58</v>
      </c>
      <c r="H608" s="17">
        <v>3</v>
      </c>
      <c r="I608" s="19">
        <v>274.75</v>
      </c>
      <c r="J608" t="s">
        <v>956</v>
      </c>
      <c r="K608" s="24" t="s">
        <v>65</v>
      </c>
      <c r="L608" s="24" t="s">
        <v>35</v>
      </c>
      <c r="M608" t="s">
        <v>2287</v>
      </c>
      <c r="N608" s="17">
        <v>3</v>
      </c>
      <c r="O608" t="s">
        <v>21</v>
      </c>
      <c r="P608" s="24" t="s">
        <v>76</v>
      </c>
      <c r="Q608" s="19">
        <v>824.25</v>
      </c>
    </row>
    <row r="609" spans="1:17">
      <c r="A609" t="s">
        <v>2288</v>
      </c>
      <c r="B609" s="23">
        <v>45808</v>
      </c>
      <c r="C609" s="23" t="str">
        <f t="shared" si="27"/>
        <v>May</v>
      </c>
      <c r="D609" s="23" t="str">
        <f t="shared" si="28"/>
        <v>2025</v>
      </c>
      <c r="E609" s="23" t="str">
        <f t="shared" si="29"/>
        <v>Q2</v>
      </c>
      <c r="F609" t="s">
        <v>2289</v>
      </c>
      <c r="G609" s="24" t="s">
        <v>48</v>
      </c>
      <c r="H609" s="17">
        <v>4</v>
      </c>
      <c r="I609" s="19">
        <v>634.05</v>
      </c>
      <c r="J609" t="s">
        <v>2290</v>
      </c>
      <c r="K609" s="24" t="s">
        <v>65</v>
      </c>
      <c r="L609" s="24" t="s">
        <v>19</v>
      </c>
      <c r="M609" t="s">
        <v>2291</v>
      </c>
      <c r="N609" s="17">
        <v>6</v>
      </c>
      <c r="O609" t="s">
        <v>21</v>
      </c>
      <c r="P609" s="24" t="s">
        <v>76</v>
      </c>
      <c r="Q609" s="19">
        <v>2536.2</v>
      </c>
    </row>
    <row r="610" spans="1:17">
      <c r="A610" t="s">
        <v>2292</v>
      </c>
      <c r="B610" s="23">
        <v>45497</v>
      </c>
      <c r="C610" s="23" t="str">
        <f t="shared" si="27"/>
        <v>Jul</v>
      </c>
      <c r="D610" s="23" t="str">
        <f t="shared" si="28"/>
        <v>2024</v>
      </c>
      <c r="E610" s="23" t="str">
        <f t="shared" si="29"/>
        <v>Q3</v>
      </c>
      <c r="F610" t="s">
        <v>2293</v>
      </c>
      <c r="G610" s="24" t="s">
        <v>58</v>
      </c>
      <c r="H610" s="17">
        <v>5</v>
      </c>
      <c r="I610" s="19">
        <v>543.16</v>
      </c>
      <c r="J610" t="s">
        <v>2294</v>
      </c>
      <c r="K610" s="24" t="s">
        <v>27</v>
      </c>
      <c r="L610" s="24" t="s">
        <v>35</v>
      </c>
      <c r="M610" t="s">
        <v>2295</v>
      </c>
      <c r="N610" s="17">
        <v>6</v>
      </c>
      <c r="O610" t="s">
        <v>21</v>
      </c>
      <c r="P610" s="24" t="s">
        <v>22</v>
      </c>
      <c r="Q610" s="19">
        <v>2715.8</v>
      </c>
    </row>
    <row r="611" spans="1:17">
      <c r="A611" t="s">
        <v>2296</v>
      </c>
      <c r="B611" s="23">
        <v>45684</v>
      </c>
      <c r="C611" s="23" t="str">
        <f t="shared" si="27"/>
        <v>Jan</v>
      </c>
      <c r="D611" s="23" t="str">
        <f t="shared" si="28"/>
        <v>2025</v>
      </c>
      <c r="E611" s="23" t="str">
        <f t="shared" si="29"/>
        <v>Q1</v>
      </c>
      <c r="F611" t="s">
        <v>2297</v>
      </c>
      <c r="G611" s="24" t="s">
        <v>41</v>
      </c>
      <c r="H611" s="17">
        <v>3</v>
      </c>
      <c r="I611" s="19">
        <v>449.13</v>
      </c>
      <c r="J611" t="s">
        <v>2298</v>
      </c>
      <c r="K611" s="24" t="s">
        <v>65</v>
      </c>
      <c r="L611" s="24" t="s">
        <v>43</v>
      </c>
      <c r="M611" t="s">
        <v>2299</v>
      </c>
      <c r="N611" s="17">
        <v>5</v>
      </c>
      <c r="O611" t="s">
        <v>81</v>
      </c>
      <c r="P611" s="24" t="s">
        <v>29</v>
      </c>
      <c r="Q611" s="19">
        <v>1347.39</v>
      </c>
    </row>
    <row r="612" spans="1:17">
      <c r="A612" t="s">
        <v>2300</v>
      </c>
      <c r="B612" s="23">
        <v>45459</v>
      </c>
      <c r="C612" s="23" t="str">
        <f t="shared" si="27"/>
        <v>Jun</v>
      </c>
      <c r="D612" s="23" t="str">
        <f t="shared" si="28"/>
        <v>2024</v>
      </c>
      <c r="E612" s="23" t="str">
        <f t="shared" si="29"/>
        <v>Q2</v>
      </c>
      <c r="F612" t="s">
        <v>2301</v>
      </c>
      <c r="G612" s="24" t="s">
        <v>73</v>
      </c>
      <c r="H612" s="17">
        <v>5</v>
      </c>
      <c r="I612" s="19">
        <v>389.62</v>
      </c>
      <c r="J612" t="s">
        <v>253</v>
      </c>
      <c r="K612" s="24" t="s">
        <v>65</v>
      </c>
      <c r="L612" s="24" t="s">
        <v>43</v>
      </c>
      <c r="M612" t="s">
        <v>2302</v>
      </c>
      <c r="N612" s="17">
        <v>7</v>
      </c>
      <c r="O612" t="s">
        <v>37</v>
      </c>
      <c r="P612" s="24" t="s">
        <v>45</v>
      </c>
      <c r="Q612" s="19">
        <v>1948.1</v>
      </c>
    </row>
    <row r="613" spans="1:17">
      <c r="A613" t="s">
        <v>2303</v>
      </c>
      <c r="B613" s="23">
        <v>45037</v>
      </c>
      <c r="C613" s="23" t="str">
        <f t="shared" si="27"/>
        <v>Apr</v>
      </c>
      <c r="D613" s="23" t="str">
        <f t="shared" si="28"/>
        <v>2023</v>
      </c>
      <c r="E613" s="23" t="str">
        <f t="shared" si="29"/>
        <v>Q2</v>
      </c>
      <c r="F613" t="s">
        <v>2304</v>
      </c>
      <c r="G613" s="24" t="s">
        <v>73</v>
      </c>
      <c r="H613" s="17">
        <v>1</v>
      </c>
      <c r="I613" s="19">
        <v>305.17</v>
      </c>
      <c r="J613" t="s">
        <v>2257</v>
      </c>
      <c r="K613" s="24" t="s">
        <v>60</v>
      </c>
      <c r="L613" s="24" t="s">
        <v>43</v>
      </c>
      <c r="M613" t="s">
        <v>2305</v>
      </c>
      <c r="N613" s="17">
        <v>3</v>
      </c>
      <c r="O613" t="s">
        <v>81</v>
      </c>
      <c r="P613" s="24" t="s">
        <v>29</v>
      </c>
      <c r="Q613" s="19">
        <v>305.17</v>
      </c>
    </row>
    <row r="614" spans="1:17">
      <c r="A614" t="s">
        <v>2306</v>
      </c>
      <c r="B614" s="23">
        <v>45079</v>
      </c>
      <c r="C614" s="23" t="str">
        <f t="shared" si="27"/>
        <v>Jun</v>
      </c>
      <c r="D614" s="23" t="str">
        <f t="shared" si="28"/>
        <v>2023</v>
      </c>
      <c r="E614" s="23" t="str">
        <f t="shared" si="29"/>
        <v>Q2</v>
      </c>
      <c r="F614" t="s">
        <v>2307</v>
      </c>
      <c r="G614" s="24" t="s">
        <v>41</v>
      </c>
      <c r="H614" s="17">
        <v>3</v>
      </c>
      <c r="I614" s="19">
        <v>445.12</v>
      </c>
      <c r="J614" t="s">
        <v>1260</v>
      </c>
      <c r="K614" s="24" t="s">
        <v>60</v>
      </c>
      <c r="L614" s="24" t="s">
        <v>35</v>
      </c>
      <c r="M614" t="s">
        <v>2308</v>
      </c>
      <c r="N614" s="17">
        <v>8</v>
      </c>
      <c r="O614" t="s">
        <v>4295</v>
      </c>
      <c r="P614" s="24" t="s">
        <v>76</v>
      </c>
      <c r="Q614" s="19">
        <v>1335.36</v>
      </c>
    </row>
    <row r="615" spans="1:17">
      <c r="A615" t="s">
        <v>2309</v>
      </c>
      <c r="B615" s="23">
        <v>45645</v>
      </c>
      <c r="C615" s="23" t="str">
        <f t="shared" si="27"/>
        <v>Dec</v>
      </c>
      <c r="D615" s="23" t="str">
        <f t="shared" si="28"/>
        <v>2024</v>
      </c>
      <c r="E615" s="23" t="str">
        <f t="shared" si="29"/>
        <v>Q4</v>
      </c>
      <c r="F615" t="s">
        <v>2310</v>
      </c>
      <c r="G615" s="24" t="s">
        <v>58</v>
      </c>
      <c r="H615" s="17">
        <v>2</v>
      </c>
      <c r="I615" s="19">
        <v>230.36</v>
      </c>
      <c r="J615" t="s">
        <v>2311</v>
      </c>
      <c r="K615" s="24" t="s">
        <v>27</v>
      </c>
      <c r="L615" s="24" t="s">
        <v>43</v>
      </c>
      <c r="M615" t="s">
        <v>2312</v>
      </c>
      <c r="N615" s="17">
        <v>4</v>
      </c>
      <c r="O615" t="s">
        <v>81</v>
      </c>
      <c r="P615" s="24" t="s">
        <v>38</v>
      </c>
      <c r="Q615" s="19">
        <v>460.72</v>
      </c>
    </row>
    <row r="616" spans="1:17">
      <c r="A616" t="s">
        <v>2313</v>
      </c>
      <c r="B616" s="23">
        <v>45359</v>
      </c>
      <c r="C616" s="23" t="str">
        <f t="shared" si="27"/>
        <v>Mar</v>
      </c>
      <c r="D616" s="23" t="str">
        <f t="shared" si="28"/>
        <v>2024</v>
      </c>
      <c r="E616" s="23" t="str">
        <f t="shared" si="29"/>
        <v>Q1</v>
      </c>
      <c r="F616" t="s">
        <v>2314</v>
      </c>
      <c r="G616" s="24" t="s">
        <v>25</v>
      </c>
      <c r="H616" s="17">
        <v>1</v>
      </c>
      <c r="I616" s="19">
        <v>96.81</v>
      </c>
      <c r="J616" t="s">
        <v>506</v>
      </c>
      <c r="K616" s="24" t="s">
        <v>60</v>
      </c>
      <c r="L616" s="24" t="s">
        <v>35</v>
      </c>
      <c r="M616" t="s">
        <v>2315</v>
      </c>
      <c r="N616" s="17">
        <v>3</v>
      </c>
      <c r="O616" t="s">
        <v>4295</v>
      </c>
      <c r="P616" s="24" t="s">
        <v>29</v>
      </c>
      <c r="Q616" s="19">
        <v>96.81</v>
      </c>
    </row>
    <row r="617" spans="1:17">
      <c r="A617" t="s">
        <v>2316</v>
      </c>
      <c r="B617" s="23">
        <v>45723</v>
      </c>
      <c r="C617" s="23" t="str">
        <f t="shared" si="27"/>
        <v>Mar</v>
      </c>
      <c r="D617" s="23" t="str">
        <f t="shared" si="28"/>
        <v>2025</v>
      </c>
      <c r="E617" s="23" t="str">
        <f t="shared" si="29"/>
        <v>Q1</v>
      </c>
      <c r="F617" t="s">
        <v>2317</v>
      </c>
      <c r="G617" s="24" t="s">
        <v>16</v>
      </c>
      <c r="H617" s="17">
        <v>5</v>
      </c>
      <c r="I617" s="19">
        <v>460.14</v>
      </c>
      <c r="J617" t="s">
        <v>1183</v>
      </c>
      <c r="K617" s="24" t="s">
        <v>34</v>
      </c>
      <c r="L617" s="24" t="s">
        <v>43</v>
      </c>
      <c r="M617" t="s">
        <v>2318</v>
      </c>
      <c r="N617" s="17">
        <v>10</v>
      </c>
      <c r="O617" t="s">
        <v>81</v>
      </c>
      <c r="P617" s="24" t="s">
        <v>45</v>
      </c>
      <c r="Q617" s="19">
        <v>2300.7</v>
      </c>
    </row>
    <row r="618" spans="1:17">
      <c r="A618" t="s">
        <v>2319</v>
      </c>
      <c r="B618" s="23">
        <v>45582</v>
      </c>
      <c r="C618" s="23" t="str">
        <f t="shared" si="27"/>
        <v>Oct</v>
      </c>
      <c r="D618" s="23" t="str">
        <f t="shared" si="28"/>
        <v>2024</v>
      </c>
      <c r="E618" s="23" t="str">
        <f t="shared" si="29"/>
        <v>Q4</v>
      </c>
      <c r="F618" t="s">
        <v>2320</v>
      </c>
      <c r="G618" s="24" t="s">
        <v>32</v>
      </c>
      <c r="H618" s="17">
        <v>3</v>
      </c>
      <c r="I618" s="19">
        <v>601.6</v>
      </c>
      <c r="J618" t="s">
        <v>2321</v>
      </c>
      <c r="K618" s="24" t="s">
        <v>34</v>
      </c>
      <c r="L618" s="24" t="s">
        <v>35</v>
      </c>
      <c r="M618" t="s">
        <v>2322</v>
      </c>
      <c r="N618" s="17">
        <v>7</v>
      </c>
      <c r="O618" t="s">
        <v>21</v>
      </c>
      <c r="P618" s="24" t="s">
        <v>45</v>
      </c>
      <c r="Q618" s="19">
        <v>1804.8</v>
      </c>
    </row>
    <row r="619" spans="1:17">
      <c r="A619" t="s">
        <v>2323</v>
      </c>
      <c r="B619" s="23">
        <v>45330</v>
      </c>
      <c r="C619" s="23" t="str">
        <f t="shared" si="27"/>
        <v>Feb</v>
      </c>
      <c r="D619" s="23" t="str">
        <f t="shared" si="28"/>
        <v>2024</v>
      </c>
      <c r="E619" s="23" t="str">
        <f t="shared" si="29"/>
        <v>Q1</v>
      </c>
      <c r="F619" t="s">
        <v>2324</v>
      </c>
      <c r="G619" s="24" t="s">
        <v>32</v>
      </c>
      <c r="H619" s="17">
        <v>3</v>
      </c>
      <c r="I619" s="19">
        <v>184.47</v>
      </c>
      <c r="J619" t="s">
        <v>2325</v>
      </c>
      <c r="K619" s="24" t="s">
        <v>27</v>
      </c>
      <c r="L619" s="24" t="s">
        <v>35</v>
      </c>
      <c r="M619" t="s">
        <v>2326</v>
      </c>
      <c r="N619" s="17">
        <v>4</v>
      </c>
      <c r="O619" t="s">
        <v>4295</v>
      </c>
      <c r="P619" s="24" t="s">
        <v>29</v>
      </c>
      <c r="Q619" s="19">
        <v>553.41</v>
      </c>
    </row>
    <row r="620" spans="1:17">
      <c r="A620" t="s">
        <v>2327</v>
      </c>
      <c r="B620" s="23">
        <v>45538</v>
      </c>
      <c r="C620" s="23" t="str">
        <f t="shared" si="27"/>
        <v>Sep</v>
      </c>
      <c r="D620" s="23" t="str">
        <f t="shared" si="28"/>
        <v>2024</v>
      </c>
      <c r="E620" s="23" t="str">
        <f t="shared" si="29"/>
        <v>Q3</v>
      </c>
      <c r="F620" t="s">
        <v>2328</v>
      </c>
      <c r="G620" s="24" t="s">
        <v>32</v>
      </c>
      <c r="H620" s="17">
        <v>1</v>
      </c>
      <c r="I620" s="19">
        <v>411.34</v>
      </c>
      <c r="J620" t="s">
        <v>2329</v>
      </c>
      <c r="K620" s="24" t="s">
        <v>18</v>
      </c>
      <c r="L620" s="24" t="s">
        <v>43</v>
      </c>
      <c r="M620" t="s">
        <v>2330</v>
      </c>
      <c r="N620" s="17">
        <v>5</v>
      </c>
      <c r="O620" t="s">
        <v>4295</v>
      </c>
      <c r="P620" s="24" t="s">
        <v>22</v>
      </c>
      <c r="Q620" s="19">
        <v>411.34</v>
      </c>
    </row>
    <row r="621" spans="1:17">
      <c r="A621" t="s">
        <v>2331</v>
      </c>
      <c r="B621" s="23">
        <v>45489</v>
      </c>
      <c r="C621" s="23" t="str">
        <f t="shared" si="27"/>
        <v>Jul</v>
      </c>
      <c r="D621" s="23" t="str">
        <f t="shared" si="28"/>
        <v>2024</v>
      </c>
      <c r="E621" s="23" t="str">
        <f t="shared" si="29"/>
        <v>Q3</v>
      </c>
      <c r="F621" t="s">
        <v>2332</v>
      </c>
      <c r="G621" s="24" t="s">
        <v>58</v>
      </c>
      <c r="H621" s="17">
        <v>1</v>
      </c>
      <c r="I621" s="19">
        <v>532.89</v>
      </c>
      <c r="J621" t="s">
        <v>1869</v>
      </c>
      <c r="K621" s="24" t="s">
        <v>60</v>
      </c>
      <c r="L621" s="24" t="s">
        <v>89</v>
      </c>
      <c r="M621" t="s">
        <v>2333</v>
      </c>
      <c r="N621" s="17">
        <v>2</v>
      </c>
      <c r="O621" t="s">
        <v>4295</v>
      </c>
      <c r="P621" s="24" t="s">
        <v>29</v>
      </c>
      <c r="Q621" s="19">
        <v>532.89</v>
      </c>
    </row>
    <row r="622" spans="1:17">
      <c r="A622" t="s">
        <v>2334</v>
      </c>
      <c r="B622" s="23">
        <v>45378</v>
      </c>
      <c r="C622" s="23" t="str">
        <f t="shared" si="27"/>
        <v>Mar</v>
      </c>
      <c r="D622" s="23" t="str">
        <f t="shared" si="28"/>
        <v>2024</v>
      </c>
      <c r="E622" s="23" t="str">
        <f t="shared" si="29"/>
        <v>Q1</v>
      </c>
      <c r="F622" t="s">
        <v>2335</v>
      </c>
      <c r="G622" s="24" t="s">
        <v>32</v>
      </c>
      <c r="H622" s="17">
        <v>3</v>
      </c>
      <c r="I622" s="19">
        <v>136.34</v>
      </c>
      <c r="J622" t="s">
        <v>2336</v>
      </c>
      <c r="K622" s="24" t="s">
        <v>18</v>
      </c>
      <c r="L622" s="24" t="s">
        <v>43</v>
      </c>
      <c r="M622" t="s">
        <v>2337</v>
      </c>
      <c r="N622" s="17">
        <v>8</v>
      </c>
      <c r="O622" t="s">
        <v>21</v>
      </c>
      <c r="P622" s="24" t="s">
        <v>29</v>
      </c>
      <c r="Q622" s="19">
        <v>409.02</v>
      </c>
    </row>
    <row r="623" spans="1:17">
      <c r="A623" t="s">
        <v>2338</v>
      </c>
      <c r="B623" s="23">
        <v>45221</v>
      </c>
      <c r="C623" s="23" t="str">
        <f t="shared" si="27"/>
        <v>Oct</v>
      </c>
      <c r="D623" s="23" t="str">
        <f t="shared" si="28"/>
        <v>2023</v>
      </c>
      <c r="E623" s="23" t="str">
        <f t="shared" si="29"/>
        <v>Q4</v>
      </c>
      <c r="F623" t="s">
        <v>2339</v>
      </c>
      <c r="G623" s="24" t="s">
        <v>25</v>
      </c>
      <c r="H623" s="17">
        <v>5</v>
      </c>
      <c r="I623" s="19">
        <v>476.01</v>
      </c>
      <c r="J623" t="s">
        <v>347</v>
      </c>
      <c r="K623" s="24" t="s">
        <v>34</v>
      </c>
      <c r="L623" s="24" t="s">
        <v>50</v>
      </c>
      <c r="M623" t="s">
        <v>2340</v>
      </c>
      <c r="N623" s="17">
        <v>7</v>
      </c>
      <c r="O623" t="s">
        <v>81</v>
      </c>
      <c r="P623" s="24" t="s">
        <v>76</v>
      </c>
      <c r="Q623" s="19">
        <v>2380.05</v>
      </c>
    </row>
    <row r="624" spans="1:17">
      <c r="A624" t="s">
        <v>2341</v>
      </c>
      <c r="B624" s="23">
        <v>45598</v>
      </c>
      <c r="C624" s="23" t="str">
        <f t="shared" si="27"/>
        <v>Nov</v>
      </c>
      <c r="D624" s="23" t="str">
        <f t="shared" si="28"/>
        <v>2024</v>
      </c>
      <c r="E624" s="23" t="str">
        <f t="shared" si="29"/>
        <v>Q4</v>
      </c>
      <c r="F624" t="s">
        <v>2342</v>
      </c>
      <c r="G624" s="24" t="s">
        <v>73</v>
      </c>
      <c r="H624" s="17">
        <v>5</v>
      </c>
      <c r="I624" s="19">
        <v>236.38</v>
      </c>
      <c r="J624" t="s">
        <v>181</v>
      </c>
      <c r="K624" s="24" t="s">
        <v>34</v>
      </c>
      <c r="L624" s="24" t="s">
        <v>43</v>
      </c>
      <c r="M624" t="s">
        <v>2343</v>
      </c>
      <c r="N624" s="17">
        <v>7</v>
      </c>
      <c r="O624" t="s">
        <v>4295</v>
      </c>
      <c r="P624" s="24" t="s">
        <v>45</v>
      </c>
      <c r="Q624" s="19">
        <v>1181.9</v>
      </c>
    </row>
    <row r="625" spans="1:17">
      <c r="A625" t="s">
        <v>2344</v>
      </c>
      <c r="B625" s="23">
        <v>45093</v>
      </c>
      <c r="C625" s="23" t="str">
        <f t="shared" si="27"/>
        <v>Jun</v>
      </c>
      <c r="D625" s="23" t="str">
        <f t="shared" si="28"/>
        <v>2023</v>
      </c>
      <c r="E625" s="23" t="str">
        <f t="shared" si="29"/>
        <v>Q2</v>
      </c>
      <c r="F625" t="s">
        <v>2345</v>
      </c>
      <c r="G625" s="24" t="s">
        <v>48</v>
      </c>
      <c r="H625" s="17">
        <v>3</v>
      </c>
      <c r="I625" s="19">
        <v>396</v>
      </c>
      <c r="J625" t="s">
        <v>2346</v>
      </c>
      <c r="K625" s="24" t="s">
        <v>60</v>
      </c>
      <c r="L625" s="24" t="s">
        <v>35</v>
      </c>
      <c r="M625" t="s">
        <v>2347</v>
      </c>
      <c r="N625" s="17">
        <v>4</v>
      </c>
      <c r="O625" t="s">
        <v>37</v>
      </c>
      <c r="P625" s="24" t="s">
        <v>22</v>
      </c>
      <c r="Q625" s="19">
        <v>1188</v>
      </c>
    </row>
    <row r="626" spans="1:17">
      <c r="A626" t="s">
        <v>2348</v>
      </c>
      <c r="B626" s="23">
        <v>45307</v>
      </c>
      <c r="C626" s="23" t="str">
        <f t="shared" si="27"/>
        <v>Jan</v>
      </c>
      <c r="D626" s="23" t="str">
        <f t="shared" si="28"/>
        <v>2024</v>
      </c>
      <c r="E626" s="23" t="str">
        <f t="shared" si="29"/>
        <v>Q1</v>
      </c>
      <c r="F626" t="s">
        <v>2349</v>
      </c>
      <c r="G626" s="24" t="s">
        <v>32</v>
      </c>
      <c r="H626" s="17">
        <v>5</v>
      </c>
      <c r="I626" s="19">
        <v>341.96</v>
      </c>
      <c r="J626" t="s">
        <v>1415</v>
      </c>
      <c r="K626" s="24" t="s">
        <v>18</v>
      </c>
      <c r="L626" s="24" t="s">
        <v>50</v>
      </c>
      <c r="M626" t="s">
        <v>2350</v>
      </c>
      <c r="N626" s="17">
        <v>6</v>
      </c>
      <c r="O626" t="s">
        <v>4295</v>
      </c>
      <c r="P626" s="24" t="s">
        <v>38</v>
      </c>
      <c r="Q626" s="19">
        <v>1709.8</v>
      </c>
    </row>
    <row r="627" spans="1:17">
      <c r="A627" t="s">
        <v>2351</v>
      </c>
      <c r="B627" s="23">
        <v>45193</v>
      </c>
      <c r="C627" s="23" t="str">
        <f t="shared" si="27"/>
        <v>Sep</v>
      </c>
      <c r="D627" s="23" t="str">
        <f t="shared" si="28"/>
        <v>2023</v>
      </c>
      <c r="E627" s="23" t="str">
        <f t="shared" si="29"/>
        <v>Q3</v>
      </c>
      <c r="F627" t="s">
        <v>2352</v>
      </c>
      <c r="G627" s="24" t="s">
        <v>32</v>
      </c>
      <c r="H627" s="17">
        <v>1</v>
      </c>
      <c r="I627" s="19">
        <v>672.89</v>
      </c>
      <c r="J627" t="s">
        <v>2353</v>
      </c>
      <c r="K627" s="24" t="s">
        <v>34</v>
      </c>
      <c r="L627" s="24" t="s">
        <v>89</v>
      </c>
      <c r="M627" t="s">
        <v>2354</v>
      </c>
      <c r="N627" s="17">
        <v>1</v>
      </c>
      <c r="O627" t="s">
        <v>81</v>
      </c>
      <c r="P627" s="24" t="s">
        <v>38</v>
      </c>
      <c r="Q627" s="19">
        <v>672.89</v>
      </c>
    </row>
    <row r="628" spans="1:17">
      <c r="A628" t="s">
        <v>2355</v>
      </c>
      <c r="B628" s="23">
        <v>45352</v>
      </c>
      <c r="C628" s="23" t="str">
        <f t="shared" si="27"/>
        <v>Mar</v>
      </c>
      <c r="D628" s="23" t="str">
        <f t="shared" si="28"/>
        <v>2024</v>
      </c>
      <c r="E628" s="23" t="str">
        <f t="shared" si="29"/>
        <v>Q1</v>
      </c>
      <c r="F628" t="s">
        <v>2356</v>
      </c>
      <c r="G628" s="24" t="s">
        <v>32</v>
      </c>
      <c r="H628" s="17">
        <v>2</v>
      </c>
      <c r="I628" s="19">
        <v>657.48</v>
      </c>
      <c r="J628" t="s">
        <v>1639</v>
      </c>
      <c r="K628" s="24" t="s">
        <v>27</v>
      </c>
      <c r="L628" s="24" t="s">
        <v>19</v>
      </c>
      <c r="M628" t="s">
        <v>2357</v>
      </c>
      <c r="N628" s="17">
        <v>5</v>
      </c>
      <c r="O628" t="s">
        <v>21</v>
      </c>
      <c r="P628" s="24" t="s">
        <v>29</v>
      </c>
      <c r="Q628" s="19">
        <v>1314.96</v>
      </c>
    </row>
    <row r="629" spans="1:17">
      <c r="A629" t="s">
        <v>2358</v>
      </c>
      <c r="B629" s="23">
        <v>45144</v>
      </c>
      <c r="C629" s="23" t="str">
        <f t="shared" si="27"/>
        <v>Aug</v>
      </c>
      <c r="D629" s="23" t="str">
        <f t="shared" si="28"/>
        <v>2023</v>
      </c>
      <c r="E629" s="23" t="str">
        <f t="shared" si="29"/>
        <v>Q3</v>
      </c>
      <c r="F629" t="s">
        <v>2359</v>
      </c>
      <c r="G629" s="24" t="s">
        <v>41</v>
      </c>
      <c r="H629" s="17">
        <v>3</v>
      </c>
      <c r="I629" s="19">
        <v>498.68</v>
      </c>
      <c r="J629" t="s">
        <v>2066</v>
      </c>
      <c r="K629" s="24" t="s">
        <v>27</v>
      </c>
      <c r="L629" s="24" t="s">
        <v>43</v>
      </c>
      <c r="M629" t="s">
        <v>2360</v>
      </c>
      <c r="N629" s="17">
        <v>4</v>
      </c>
      <c r="O629" t="s">
        <v>37</v>
      </c>
      <c r="P629" s="24" t="s">
        <v>38</v>
      </c>
      <c r="Q629" s="19">
        <v>1496.04</v>
      </c>
    </row>
    <row r="630" spans="1:17">
      <c r="A630" t="s">
        <v>2361</v>
      </c>
      <c r="B630" s="23">
        <v>45011</v>
      </c>
      <c r="C630" s="23" t="str">
        <f t="shared" si="27"/>
        <v>Mar</v>
      </c>
      <c r="D630" s="23" t="str">
        <f t="shared" si="28"/>
        <v>2023</v>
      </c>
      <c r="E630" s="23" t="str">
        <f t="shared" si="29"/>
        <v>Q1</v>
      </c>
      <c r="F630" t="s">
        <v>2362</v>
      </c>
      <c r="G630" s="24" t="s">
        <v>48</v>
      </c>
      <c r="H630" s="17">
        <v>5</v>
      </c>
      <c r="I630" s="19">
        <v>558.63</v>
      </c>
      <c r="J630" t="s">
        <v>2363</v>
      </c>
      <c r="K630" s="24" t="s">
        <v>65</v>
      </c>
      <c r="L630" s="24" t="s">
        <v>89</v>
      </c>
      <c r="M630" t="s">
        <v>2364</v>
      </c>
      <c r="N630" s="17">
        <v>8</v>
      </c>
      <c r="O630" t="s">
        <v>37</v>
      </c>
      <c r="P630" s="24" t="s">
        <v>29</v>
      </c>
      <c r="Q630" s="19">
        <v>2793.15</v>
      </c>
    </row>
    <row r="631" spans="1:17">
      <c r="A631" t="s">
        <v>2365</v>
      </c>
      <c r="B631" s="23">
        <v>45114</v>
      </c>
      <c r="C631" s="23" t="str">
        <f t="shared" si="27"/>
        <v>Jul</v>
      </c>
      <c r="D631" s="23" t="str">
        <f t="shared" si="28"/>
        <v>2023</v>
      </c>
      <c r="E631" s="23" t="str">
        <f t="shared" si="29"/>
        <v>Q3</v>
      </c>
      <c r="F631" t="s">
        <v>2366</v>
      </c>
      <c r="G631" s="24" t="s">
        <v>25</v>
      </c>
      <c r="H631" s="17">
        <v>3</v>
      </c>
      <c r="I631" s="19">
        <v>19.73</v>
      </c>
      <c r="J631" t="s">
        <v>2367</v>
      </c>
      <c r="K631" s="24" t="s">
        <v>27</v>
      </c>
      <c r="L631" s="24" t="s">
        <v>89</v>
      </c>
      <c r="M631" t="s">
        <v>2368</v>
      </c>
      <c r="N631" s="17">
        <v>3</v>
      </c>
      <c r="O631" t="s">
        <v>4295</v>
      </c>
      <c r="P631" s="24" t="s">
        <v>29</v>
      </c>
      <c r="Q631" s="19">
        <v>59.19</v>
      </c>
    </row>
    <row r="632" spans="1:17">
      <c r="A632" t="s">
        <v>2369</v>
      </c>
      <c r="B632" s="23">
        <v>45100</v>
      </c>
      <c r="C632" s="23" t="str">
        <f t="shared" si="27"/>
        <v>Jun</v>
      </c>
      <c r="D632" s="23" t="str">
        <f t="shared" si="28"/>
        <v>2023</v>
      </c>
      <c r="E632" s="23" t="str">
        <f t="shared" si="29"/>
        <v>Q2</v>
      </c>
      <c r="F632" t="s">
        <v>2370</v>
      </c>
      <c r="G632" s="24" t="s">
        <v>16</v>
      </c>
      <c r="H632" s="17">
        <v>5</v>
      </c>
      <c r="I632" s="19">
        <v>248.84</v>
      </c>
      <c r="J632" t="s">
        <v>2371</v>
      </c>
      <c r="K632" s="24" t="s">
        <v>18</v>
      </c>
      <c r="L632" s="24" t="s">
        <v>35</v>
      </c>
      <c r="M632" t="s">
        <v>2372</v>
      </c>
      <c r="N632" s="17">
        <v>10</v>
      </c>
      <c r="O632" t="s">
        <v>4295</v>
      </c>
      <c r="P632" s="24" t="s">
        <v>22</v>
      </c>
      <c r="Q632" s="19">
        <v>1244.2</v>
      </c>
    </row>
    <row r="633" spans="1:17">
      <c r="A633" t="s">
        <v>2373</v>
      </c>
      <c r="B633" s="23">
        <v>45535</v>
      </c>
      <c r="C633" s="23" t="str">
        <f t="shared" si="27"/>
        <v>Aug</v>
      </c>
      <c r="D633" s="23" t="str">
        <f t="shared" si="28"/>
        <v>2024</v>
      </c>
      <c r="E633" s="23" t="str">
        <f t="shared" si="29"/>
        <v>Q3</v>
      </c>
      <c r="F633" t="s">
        <v>2374</v>
      </c>
      <c r="G633" s="24" t="s">
        <v>41</v>
      </c>
      <c r="H633" s="17">
        <v>3</v>
      </c>
      <c r="I633" s="19">
        <v>46.11</v>
      </c>
      <c r="J633" t="s">
        <v>1101</v>
      </c>
      <c r="K633" s="24" t="s">
        <v>60</v>
      </c>
      <c r="L633" s="24" t="s">
        <v>43</v>
      </c>
      <c r="M633" t="s">
        <v>2375</v>
      </c>
      <c r="N633" s="17">
        <v>5</v>
      </c>
      <c r="O633" t="s">
        <v>81</v>
      </c>
      <c r="P633" s="24" t="s">
        <v>29</v>
      </c>
      <c r="Q633" s="19">
        <v>138.33</v>
      </c>
    </row>
    <row r="634" spans="1:17">
      <c r="A634" t="s">
        <v>2376</v>
      </c>
      <c r="B634" s="23">
        <v>45048</v>
      </c>
      <c r="C634" s="23" t="str">
        <f t="shared" si="27"/>
        <v>May</v>
      </c>
      <c r="D634" s="23" t="str">
        <f t="shared" si="28"/>
        <v>2023</v>
      </c>
      <c r="E634" s="23" t="str">
        <f t="shared" si="29"/>
        <v>Q2</v>
      </c>
      <c r="F634" t="s">
        <v>2377</v>
      </c>
      <c r="G634" s="24" t="s">
        <v>58</v>
      </c>
      <c r="H634" s="17">
        <v>5</v>
      </c>
      <c r="I634" s="19">
        <v>678.16</v>
      </c>
      <c r="J634" t="s">
        <v>1028</v>
      </c>
      <c r="K634" s="24" t="s">
        <v>60</v>
      </c>
      <c r="L634" s="24" t="s">
        <v>50</v>
      </c>
      <c r="M634" t="s">
        <v>2378</v>
      </c>
      <c r="N634" s="17">
        <v>7</v>
      </c>
      <c r="O634" t="s">
        <v>81</v>
      </c>
      <c r="P634" s="24" t="s">
        <v>45</v>
      </c>
      <c r="Q634" s="19">
        <v>3390.8</v>
      </c>
    </row>
    <row r="635" spans="1:17">
      <c r="A635" t="s">
        <v>2379</v>
      </c>
      <c r="B635" s="23">
        <v>45392</v>
      </c>
      <c r="C635" s="23" t="str">
        <f t="shared" si="27"/>
        <v>Apr</v>
      </c>
      <c r="D635" s="23" t="str">
        <f t="shared" si="28"/>
        <v>2024</v>
      </c>
      <c r="E635" s="23" t="str">
        <f t="shared" si="29"/>
        <v>Q2</v>
      </c>
      <c r="F635" t="s">
        <v>2380</v>
      </c>
      <c r="G635" s="24" t="s">
        <v>58</v>
      </c>
      <c r="H635" s="17">
        <v>5</v>
      </c>
      <c r="I635" s="19">
        <v>601.72</v>
      </c>
      <c r="J635" t="s">
        <v>1538</v>
      </c>
      <c r="K635" s="24" t="s">
        <v>60</v>
      </c>
      <c r="L635" s="24" t="s">
        <v>35</v>
      </c>
      <c r="M635" t="s">
        <v>2381</v>
      </c>
      <c r="N635" s="17">
        <v>5</v>
      </c>
      <c r="O635" t="s">
        <v>81</v>
      </c>
      <c r="P635" s="24" t="s">
        <v>22</v>
      </c>
      <c r="Q635" s="19">
        <v>3008.6</v>
      </c>
    </row>
    <row r="636" spans="1:17">
      <c r="A636" t="s">
        <v>2382</v>
      </c>
      <c r="B636" s="23">
        <v>45407</v>
      </c>
      <c r="C636" s="23" t="str">
        <f t="shared" si="27"/>
        <v>Apr</v>
      </c>
      <c r="D636" s="23" t="str">
        <f t="shared" si="28"/>
        <v>2024</v>
      </c>
      <c r="E636" s="23" t="str">
        <f t="shared" si="29"/>
        <v>Q2</v>
      </c>
      <c r="F636" t="s">
        <v>2383</v>
      </c>
      <c r="G636" s="24" t="s">
        <v>48</v>
      </c>
      <c r="H636" s="17">
        <v>2</v>
      </c>
      <c r="I636" s="19">
        <v>259.32</v>
      </c>
      <c r="J636" t="s">
        <v>2384</v>
      </c>
      <c r="K636" s="24" t="s">
        <v>60</v>
      </c>
      <c r="L636" s="24" t="s">
        <v>50</v>
      </c>
      <c r="M636" t="s">
        <v>2385</v>
      </c>
      <c r="N636" s="17">
        <v>2</v>
      </c>
      <c r="O636" t="s">
        <v>81</v>
      </c>
      <c r="P636" s="24" t="s">
        <v>29</v>
      </c>
      <c r="Q636" s="19">
        <v>518.64</v>
      </c>
    </row>
    <row r="637" spans="1:17">
      <c r="A637" t="s">
        <v>2386</v>
      </c>
      <c r="B637" s="23">
        <v>45273</v>
      </c>
      <c r="C637" s="23" t="str">
        <f t="shared" si="27"/>
        <v>Dec</v>
      </c>
      <c r="D637" s="23" t="str">
        <f t="shared" si="28"/>
        <v>2023</v>
      </c>
      <c r="E637" s="23" t="str">
        <f t="shared" si="29"/>
        <v>Q4</v>
      </c>
      <c r="F637" t="s">
        <v>2387</v>
      </c>
      <c r="G637" s="24" t="s">
        <v>41</v>
      </c>
      <c r="H637" s="17">
        <v>3</v>
      </c>
      <c r="I637" s="19">
        <v>63.68</v>
      </c>
      <c r="J637" t="s">
        <v>242</v>
      </c>
      <c r="K637" s="24" t="s">
        <v>65</v>
      </c>
      <c r="L637" s="24" t="s">
        <v>43</v>
      </c>
      <c r="M637" t="s">
        <v>2388</v>
      </c>
      <c r="N637" s="17">
        <v>6</v>
      </c>
      <c r="O637" t="s">
        <v>4295</v>
      </c>
      <c r="P637" s="24" t="s">
        <v>45</v>
      </c>
      <c r="Q637" s="19">
        <v>191.04</v>
      </c>
    </row>
    <row r="638" spans="1:17">
      <c r="A638" t="s">
        <v>2389</v>
      </c>
      <c r="B638" s="23">
        <v>45204</v>
      </c>
      <c r="C638" s="23" t="str">
        <f t="shared" si="27"/>
        <v>Oct</v>
      </c>
      <c r="D638" s="23" t="str">
        <f t="shared" si="28"/>
        <v>2023</v>
      </c>
      <c r="E638" s="23" t="str">
        <f t="shared" si="29"/>
        <v>Q4</v>
      </c>
      <c r="F638" t="s">
        <v>2390</v>
      </c>
      <c r="G638" s="24" t="s">
        <v>58</v>
      </c>
      <c r="H638" s="17">
        <v>4</v>
      </c>
      <c r="I638" s="19">
        <v>371.07</v>
      </c>
      <c r="J638" t="s">
        <v>708</v>
      </c>
      <c r="K638" s="24" t="s">
        <v>65</v>
      </c>
      <c r="L638" s="24" t="s">
        <v>35</v>
      </c>
      <c r="M638" t="s">
        <v>2391</v>
      </c>
      <c r="N638" s="17">
        <v>7</v>
      </c>
      <c r="O638" t="s">
        <v>81</v>
      </c>
      <c r="P638" s="24" t="s">
        <v>45</v>
      </c>
      <c r="Q638" s="19">
        <v>1484.28</v>
      </c>
    </row>
    <row r="639" spans="1:17">
      <c r="A639" t="s">
        <v>2392</v>
      </c>
      <c r="B639" s="23">
        <v>45564</v>
      </c>
      <c r="C639" s="23" t="str">
        <f t="shared" si="27"/>
        <v>Sep</v>
      </c>
      <c r="D639" s="23" t="str">
        <f t="shared" si="28"/>
        <v>2024</v>
      </c>
      <c r="E639" s="23" t="str">
        <f t="shared" si="29"/>
        <v>Q3</v>
      </c>
      <c r="F639" t="s">
        <v>2393</v>
      </c>
      <c r="G639" s="24" t="s">
        <v>41</v>
      </c>
      <c r="H639" s="17">
        <v>4</v>
      </c>
      <c r="I639" s="19">
        <v>306.35</v>
      </c>
      <c r="J639" t="s">
        <v>2394</v>
      </c>
      <c r="K639" s="24" t="s">
        <v>60</v>
      </c>
      <c r="L639" s="24" t="s">
        <v>19</v>
      </c>
      <c r="M639" t="s">
        <v>2395</v>
      </c>
      <c r="N639" s="17">
        <v>7</v>
      </c>
      <c r="O639" t="s">
        <v>81</v>
      </c>
      <c r="P639" s="24" t="s">
        <v>29</v>
      </c>
      <c r="Q639" s="19">
        <v>1225.4</v>
      </c>
    </row>
    <row r="640" spans="1:17">
      <c r="A640" t="s">
        <v>2396</v>
      </c>
      <c r="B640" s="23">
        <v>45214</v>
      </c>
      <c r="C640" s="23" t="str">
        <f t="shared" si="27"/>
        <v>Oct</v>
      </c>
      <c r="D640" s="23" t="str">
        <f t="shared" si="28"/>
        <v>2023</v>
      </c>
      <c r="E640" s="23" t="str">
        <f t="shared" si="29"/>
        <v>Q4</v>
      </c>
      <c r="F640" t="s">
        <v>2397</v>
      </c>
      <c r="G640" s="24" t="s">
        <v>32</v>
      </c>
      <c r="H640" s="17">
        <v>4</v>
      </c>
      <c r="I640" s="19">
        <v>578.27</v>
      </c>
      <c r="J640" t="s">
        <v>2398</v>
      </c>
      <c r="K640" s="24" t="s">
        <v>27</v>
      </c>
      <c r="L640" s="24" t="s">
        <v>50</v>
      </c>
      <c r="M640" t="s">
        <v>2399</v>
      </c>
      <c r="N640" s="17">
        <v>9</v>
      </c>
      <c r="O640" t="s">
        <v>81</v>
      </c>
      <c r="P640" s="24" t="s">
        <v>38</v>
      </c>
      <c r="Q640" s="19">
        <v>2313.08</v>
      </c>
    </row>
    <row r="641" spans="1:17">
      <c r="A641" t="s">
        <v>2400</v>
      </c>
      <c r="B641" s="23">
        <v>44946</v>
      </c>
      <c r="C641" s="23" t="str">
        <f t="shared" si="27"/>
        <v>Jan</v>
      </c>
      <c r="D641" s="23" t="str">
        <f t="shared" si="28"/>
        <v>2023</v>
      </c>
      <c r="E641" s="23" t="str">
        <f t="shared" si="29"/>
        <v>Q1</v>
      </c>
      <c r="F641" t="s">
        <v>2401</v>
      </c>
      <c r="G641" s="24" t="s">
        <v>41</v>
      </c>
      <c r="H641" s="17">
        <v>1</v>
      </c>
      <c r="I641" s="19">
        <v>529.19</v>
      </c>
      <c r="J641" t="s">
        <v>1798</v>
      </c>
      <c r="K641" s="24" t="s">
        <v>65</v>
      </c>
      <c r="L641" s="24" t="s">
        <v>35</v>
      </c>
      <c r="M641" t="s">
        <v>2402</v>
      </c>
      <c r="N641" s="17">
        <v>5</v>
      </c>
      <c r="O641" t="s">
        <v>4295</v>
      </c>
      <c r="P641" s="24" t="s">
        <v>29</v>
      </c>
      <c r="Q641" s="19">
        <v>529.19</v>
      </c>
    </row>
    <row r="642" spans="1:17">
      <c r="A642" t="s">
        <v>2403</v>
      </c>
      <c r="B642" s="23">
        <v>45349</v>
      </c>
      <c r="C642" s="23" t="str">
        <f t="shared" ref="C642:C705" si="30">TEXT(B642,"MMM")</f>
        <v>Feb</v>
      </c>
      <c r="D642" s="23" t="str">
        <f t="shared" ref="D642:D705" si="31">TEXT(B642,"YYYY")</f>
        <v>2024</v>
      </c>
      <c r="E642" s="23" t="str">
        <f t="shared" ref="E642:E705" si="32">"Q"&amp;ROUNDUP(MONTH(B642)/3,0)</f>
        <v>Q1</v>
      </c>
      <c r="F642" t="s">
        <v>2404</v>
      </c>
      <c r="G642" s="24" t="s">
        <v>41</v>
      </c>
      <c r="H642" s="17">
        <v>2</v>
      </c>
      <c r="I642" s="19">
        <v>587.49</v>
      </c>
      <c r="J642" t="s">
        <v>450</v>
      </c>
      <c r="K642" s="24" t="s">
        <v>60</v>
      </c>
      <c r="L642" s="24" t="s">
        <v>43</v>
      </c>
      <c r="M642" t="s">
        <v>2405</v>
      </c>
      <c r="N642" s="17">
        <v>6</v>
      </c>
      <c r="O642" t="s">
        <v>21</v>
      </c>
      <c r="P642" s="24" t="s">
        <v>29</v>
      </c>
      <c r="Q642" s="19">
        <v>1174.98</v>
      </c>
    </row>
    <row r="643" spans="1:17">
      <c r="A643" t="s">
        <v>2406</v>
      </c>
      <c r="B643" s="23">
        <v>45473</v>
      </c>
      <c r="C643" s="23" t="str">
        <f t="shared" si="30"/>
        <v>Jun</v>
      </c>
      <c r="D643" s="23" t="str">
        <f t="shared" si="31"/>
        <v>2024</v>
      </c>
      <c r="E643" s="23" t="str">
        <f t="shared" si="32"/>
        <v>Q2</v>
      </c>
      <c r="F643" t="s">
        <v>2407</v>
      </c>
      <c r="G643" s="24" t="s">
        <v>48</v>
      </c>
      <c r="H643" s="17">
        <v>4</v>
      </c>
      <c r="I643" s="19">
        <v>567.57</v>
      </c>
      <c r="J643" t="s">
        <v>1011</v>
      </c>
      <c r="K643" s="24" t="s">
        <v>18</v>
      </c>
      <c r="L643" s="24" t="s">
        <v>89</v>
      </c>
      <c r="M643" t="s">
        <v>2408</v>
      </c>
      <c r="N643" s="17">
        <v>9</v>
      </c>
      <c r="O643" t="s">
        <v>81</v>
      </c>
      <c r="P643" s="24" t="s">
        <v>76</v>
      </c>
      <c r="Q643" s="19">
        <v>2270.28</v>
      </c>
    </row>
    <row r="644" spans="1:17">
      <c r="A644" t="s">
        <v>2409</v>
      </c>
      <c r="B644" s="23">
        <v>45411</v>
      </c>
      <c r="C644" s="23" t="str">
        <f t="shared" si="30"/>
        <v>Apr</v>
      </c>
      <c r="D644" s="23" t="str">
        <f t="shared" si="31"/>
        <v>2024</v>
      </c>
      <c r="E644" s="23" t="str">
        <f t="shared" si="32"/>
        <v>Q2</v>
      </c>
      <c r="F644" t="s">
        <v>2410</v>
      </c>
      <c r="G644" s="24" t="s">
        <v>41</v>
      </c>
      <c r="H644" s="17">
        <v>5</v>
      </c>
      <c r="I644" s="19">
        <v>85.22</v>
      </c>
      <c r="J644" t="s">
        <v>2411</v>
      </c>
      <c r="K644" s="24" t="s">
        <v>34</v>
      </c>
      <c r="L644" s="24" t="s">
        <v>35</v>
      </c>
      <c r="M644" t="s">
        <v>2412</v>
      </c>
      <c r="N644" s="17">
        <v>7</v>
      </c>
      <c r="O644" t="s">
        <v>37</v>
      </c>
      <c r="P644" s="24" t="s">
        <v>38</v>
      </c>
      <c r="Q644" s="19">
        <v>426.1</v>
      </c>
    </row>
    <row r="645" spans="1:17">
      <c r="A645" t="s">
        <v>2413</v>
      </c>
      <c r="B645" s="23">
        <v>45530</v>
      </c>
      <c r="C645" s="23" t="str">
        <f t="shared" si="30"/>
        <v>Aug</v>
      </c>
      <c r="D645" s="23" t="str">
        <f t="shared" si="31"/>
        <v>2024</v>
      </c>
      <c r="E645" s="23" t="str">
        <f t="shared" si="32"/>
        <v>Q3</v>
      </c>
      <c r="F645" t="s">
        <v>2414</v>
      </c>
      <c r="G645" s="24" t="s">
        <v>58</v>
      </c>
      <c r="H645" s="17">
        <v>1</v>
      </c>
      <c r="I645" s="19">
        <v>438.37</v>
      </c>
      <c r="J645" t="s">
        <v>450</v>
      </c>
      <c r="K645" s="24" t="s">
        <v>65</v>
      </c>
      <c r="L645" s="24" t="s">
        <v>35</v>
      </c>
      <c r="M645" t="s">
        <v>2415</v>
      </c>
      <c r="N645" s="17">
        <v>4</v>
      </c>
      <c r="O645" t="s">
        <v>21</v>
      </c>
      <c r="P645" s="24" t="s">
        <v>29</v>
      </c>
      <c r="Q645" s="19">
        <v>438.37</v>
      </c>
    </row>
    <row r="646" spans="1:17">
      <c r="A646" t="s">
        <v>2416</v>
      </c>
      <c r="B646" s="23">
        <v>45245</v>
      </c>
      <c r="C646" s="23" t="str">
        <f t="shared" si="30"/>
        <v>Nov</v>
      </c>
      <c r="D646" s="23" t="str">
        <f t="shared" si="31"/>
        <v>2023</v>
      </c>
      <c r="E646" s="23" t="str">
        <f t="shared" si="32"/>
        <v>Q4</v>
      </c>
      <c r="F646" t="s">
        <v>2417</v>
      </c>
      <c r="G646" s="24" t="s">
        <v>41</v>
      </c>
      <c r="H646" s="17">
        <v>2</v>
      </c>
      <c r="I646" s="19">
        <v>366.23</v>
      </c>
      <c r="J646" t="s">
        <v>2418</v>
      </c>
      <c r="K646" s="24" t="s">
        <v>65</v>
      </c>
      <c r="L646" s="24" t="s">
        <v>19</v>
      </c>
      <c r="M646" t="s">
        <v>2419</v>
      </c>
      <c r="N646" s="17">
        <v>2</v>
      </c>
      <c r="O646" t="s">
        <v>81</v>
      </c>
      <c r="P646" s="24" t="s">
        <v>38</v>
      </c>
      <c r="Q646" s="19">
        <v>732.46</v>
      </c>
    </row>
    <row r="647" spans="1:17">
      <c r="A647" t="s">
        <v>2420</v>
      </c>
      <c r="B647" s="23">
        <v>44928</v>
      </c>
      <c r="C647" s="23" t="str">
        <f t="shared" si="30"/>
        <v>Jan</v>
      </c>
      <c r="D647" s="23" t="str">
        <f t="shared" si="31"/>
        <v>2023</v>
      </c>
      <c r="E647" s="23" t="str">
        <f t="shared" si="32"/>
        <v>Q1</v>
      </c>
      <c r="F647" t="s">
        <v>2421</v>
      </c>
      <c r="G647" s="24" t="s">
        <v>58</v>
      </c>
      <c r="H647" s="17">
        <v>2</v>
      </c>
      <c r="I647" s="19">
        <v>150.05</v>
      </c>
      <c r="J647" t="s">
        <v>525</v>
      </c>
      <c r="K647" s="24" t="s">
        <v>34</v>
      </c>
      <c r="L647" s="24" t="s">
        <v>35</v>
      </c>
      <c r="M647" t="s">
        <v>2422</v>
      </c>
      <c r="N647" s="17">
        <v>4</v>
      </c>
      <c r="O647" t="s">
        <v>21</v>
      </c>
      <c r="P647" s="24" t="s">
        <v>45</v>
      </c>
      <c r="Q647" s="19">
        <v>300.1</v>
      </c>
    </row>
    <row r="648" spans="1:17">
      <c r="A648" t="s">
        <v>2423</v>
      </c>
      <c r="B648" s="23">
        <v>45226</v>
      </c>
      <c r="C648" s="23" t="str">
        <f t="shared" si="30"/>
        <v>Oct</v>
      </c>
      <c r="D648" s="23" t="str">
        <f t="shared" si="31"/>
        <v>2023</v>
      </c>
      <c r="E648" s="23" t="str">
        <f t="shared" si="32"/>
        <v>Q4</v>
      </c>
      <c r="F648" t="s">
        <v>2424</v>
      </c>
      <c r="G648" s="24" t="s">
        <v>41</v>
      </c>
      <c r="H648" s="17">
        <v>4</v>
      </c>
      <c r="I648" s="19">
        <v>498.51</v>
      </c>
      <c r="J648" t="s">
        <v>2425</v>
      </c>
      <c r="K648" s="24" t="s">
        <v>18</v>
      </c>
      <c r="L648" s="24" t="s">
        <v>19</v>
      </c>
      <c r="M648" t="s">
        <v>2426</v>
      </c>
      <c r="N648" s="17">
        <v>4</v>
      </c>
      <c r="O648" t="s">
        <v>21</v>
      </c>
      <c r="P648" s="24" t="s">
        <v>76</v>
      </c>
      <c r="Q648" s="19">
        <v>1994.04</v>
      </c>
    </row>
    <row r="649" spans="1:17">
      <c r="A649" t="s">
        <v>2427</v>
      </c>
      <c r="B649" s="23">
        <v>45771</v>
      </c>
      <c r="C649" s="23" t="str">
        <f t="shared" si="30"/>
        <v>Apr</v>
      </c>
      <c r="D649" s="23" t="str">
        <f t="shared" si="31"/>
        <v>2025</v>
      </c>
      <c r="E649" s="23" t="str">
        <f t="shared" si="32"/>
        <v>Q2</v>
      </c>
      <c r="F649" t="s">
        <v>2428</v>
      </c>
      <c r="G649" s="24" t="s">
        <v>73</v>
      </c>
      <c r="H649" s="17">
        <v>3</v>
      </c>
      <c r="I649" s="19">
        <v>339.39</v>
      </c>
      <c r="J649" t="s">
        <v>681</v>
      </c>
      <c r="K649" s="24" t="s">
        <v>65</v>
      </c>
      <c r="L649" s="24" t="s">
        <v>43</v>
      </c>
      <c r="M649" t="s">
        <v>2429</v>
      </c>
      <c r="N649" s="17">
        <v>7</v>
      </c>
      <c r="O649" t="s">
        <v>37</v>
      </c>
      <c r="P649" s="24" t="s">
        <v>76</v>
      </c>
      <c r="Q649" s="19">
        <v>1018.17</v>
      </c>
    </row>
    <row r="650" spans="1:17">
      <c r="A650" t="s">
        <v>2430</v>
      </c>
      <c r="B650" s="23">
        <v>45675</v>
      </c>
      <c r="C650" s="23" t="str">
        <f t="shared" si="30"/>
        <v>Jan</v>
      </c>
      <c r="D650" s="23" t="str">
        <f t="shared" si="31"/>
        <v>2025</v>
      </c>
      <c r="E650" s="23" t="str">
        <f t="shared" si="32"/>
        <v>Q1</v>
      </c>
      <c r="F650" t="s">
        <v>2431</v>
      </c>
      <c r="G650" s="24" t="s">
        <v>16</v>
      </c>
      <c r="H650" s="17">
        <v>2</v>
      </c>
      <c r="I650" s="19">
        <v>575.83</v>
      </c>
      <c r="J650" t="s">
        <v>2432</v>
      </c>
      <c r="K650" s="24" t="s">
        <v>27</v>
      </c>
      <c r="L650" s="24" t="s">
        <v>50</v>
      </c>
      <c r="M650" t="s">
        <v>2433</v>
      </c>
      <c r="N650" s="17">
        <v>3</v>
      </c>
      <c r="O650" t="s">
        <v>81</v>
      </c>
      <c r="P650" s="24" t="s">
        <v>29</v>
      </c>
      <c r="Q650" s="19">
        <v>1151.66</v>
      </c>
    </row>
    <row r="651" spans="1:17">
      <c r="A651" t="s">
        <v>2434</v>
      </c>
      <c r="B651" s="23">
        <v>45283</v>
      </c>
      <c r="C651" s="23" t="str">
        <f t="shared" si="30"/>
        <v>Dec</v>
      </c>
      <c r="D651" s="23" t="str">
        <f t="shared" si="31"/>
        <v>2023</v>
      </c>
      <c r="E651" s="23" t="str">
        <f t="shared" si="32"/>
        <v>Q4</v>
      </c>
      <c r="F651" t="s">
        <v>2435</v>
      </c>
      <c r="G651" s="24" t="s">
        <v>16</v>
      </c>
      <c r="H651" s="17">
        <v>2</v>
      </c>
      <c r="I651" s="19">
        <v>642.98</v>
      </c>
      <c r="J651" t="s">
        <v>1043</v>
      </c>
      <c r="K651" s="24" t="s">
        <v>18</v>
      </c>
      <c r="L651" s="24" t="s">
        <v>43</v>
      </c>
      <c r="M651" t="s">
        <v>2436</v>
      </c>
      <c r="N651" s="17">
        <v>7</v>
      </c>
      <c r="O651" t="s">
        <v>37</v>
      </c>
      <c r="P651" s="24" t="s">
        <v>38</v>
      </c>
      <c r="Q651" s="19">
        <v>1285.96</v>
      </c>
    </row>
    <row r="652" spans="1:17">
      <c r="A652" t="s">
        <v>2437</v>
      </c>
      <c r="B652" s="23">
        <v>45064</v>
      </c>
      <c r="C652" s="23" t="str">
        <f t="shared" si="30"/>
        <v>May</v>
      </c>
      <c r="D652" s="23" t="str">
        <f t="shared" si="31"/>
        <v>2023</v>
      </c>
      <c r="E652" s="23" t="str">
        <f t="shared" si="32"/>
        <v>Q2</v>
      </c>
      <c r="F652" t="s">
        <v>2438</v>
      </c>
      <c r="G652" s="24" t="s">
        <v>73</v>
      </c>
      <c r="H652" s="17">
        <v>2</v>
      </c>
      <c r="I652" s="19">
        <v>372.23</v>
      </c>
      <c r="J652" t="s">
        <v>2439</v>
      </c>
      <c r="K652" s="24" t="s">
        <v>60</v>
      </c>
      <c r="L652" s="24" t="s">
        <v>50</v>
      </c>
      <c r="M652" t="s">
        <v>2440</v>
      </c>
      <c r="N652" s="17">
        <v>7</v>
      </c>
      <c r="O652" t="s">
        <v>21</v>
      </c>
      <c r="P652" s="24" t="s">
        <v>38</v>
      </c>
      <c r="Q652" s="19">
        <v>744.46</v>
      </c>
    </row>
    <row r="653" spans="1:17">
      <c r="A653" t="s">
        <v>2441</v>
      </c>
      <c r="B653" s="23">
        <v>45608</v>
      </c>
      <c r="C653" s="23" t="str">
        <f t="shared" si="30"/>
        <v>Nov</v>
      </c>
      <c r="D653" s="23" t="str">
        <f t="shared" si="31"/>
        <v>2024</v>
      </c>
      <c r="E653" s="23" t="str">
        <f t="shared" si="32"/>
        <v>Q4</v>
      </c>
      <c r="F653" t="s">
        <v>2442</v>
      </c>
      <c r="G653" s="24" t="s">
        <v>41</v>
      </c>
      <c r="H653" s="17">
        <v>3</v>
      </c>
      <c r="I653" s="19">
        <v>646.34</v>
      </c>
      <c r="J653" t="s">
        <v>794</v>
      </c>
      <c r="K653" s="24" t="s">
        <v>18</v>
      </c>
      <c r="L653" s="24" t="s">
        <v>89</v>
      </c>
      <c r="M653" t="s">
        <v>2443</v>
      </c>
      <c r="N653" s="17">
        <v>5</v>
      </c>
      <c r="O653" t="s">
        <v>4295</v>
      </c>
      <c r="P653" s="24" t="s">
        <v>76</v>
      </c>
      <c r="Q653" s="19">
        <v>1939.02</v>
      </c>
    </row>
    <row r="654" spans="1:17">
      <c r="A654" t="s">
        <v>2444</v>
      </c>
      <c r="B654" s="23">
        <v>45448</v>
      </c>
      <c r="C654" s="23" t="str">
        <f t="shared" si="30"/>
        <v>Jun</v>
      </c>
      <c r="D654" s="23" t="str">
        <f t="shared" si="31"/>
        <v>2024</v>
      </c>
      <c r="E654" s="23" t="str">
        <f t="shared" si="32"/>
        <v>Q2</v>
      </c>
      <c r="F654" t="s">
        <v>2445</v>
      </c>
      <c r="G654" s="24" t="s">
        <v>41</v>
      </c>
      <c r="H654" s="17">
        <v>5</v>
      </c>
      <c r="I654" s="19">
        <v>341.84</v>
      </c>
      <c r="J654" t="s">
        <v>2446</v>
      </c>
      <c r="K654" s="24" t="s">
        <v>27</v>
      </c>
      <c r="L654" s="24" t="s">
        <v>19</v>
      </c>
      <c r="M654" t="s">
        <v>2447</v>
      </c>
      <c r="N654" s="17">
        <v>8</v>
      </c>
      <c r="O654" t="s">
        <v>37</v>
      </c>
      <c r="P654" s="24" t="s">
        <v>22</v>
      </c>
      <c r="Q654" s="19">
        <v>1709.2</v>
      </c>
    </row>
    <row r="655" spans="1:17">
      <c r="A655" t="s">
        <v>2448</v>
      </c>
      <c r="B655" s="23">
        <v>45347</v>
      </c>
      <c r="C655" s="23" t="str">
        <f t="shared" si="30"/>
        <v>Feb</v>
      </c>
      <c r="D655" s="23" t="str">
        <f t="shared" si="31"/>
        <v>2024</v>
      </c>
      <c r="E655" s="23" t="str">
        <f t="shared" si="32"/>
        <v>Q1</v>
      </c>
      <c r="F655" t="s">
        <v>2449</v>
      </c>
      <c r="G655" s="24" t="s">
        <v>48</v>
      </c>
      <c r="H655" s="17">
        <v>3</v>
      </c>
      <c r="I655" s="19">
        <v>690.3</v>
      </c>
      <c r="J655" t="s">
        <v>1415</v>
      </c>
      <c r="K655" s="24" t="s">
        <v>34</v>
      </c>
      <c r="L655" s="24" t="s">
        <v>19</v>
      </c>
      <c r="M655" t="s">
        <v>2450</v>
      </c>
      <c r="N655" s="17">
        <v>6</v>
      </c>
      <c r="O655" t="s">
        <v>81</v>
      </c>
      <c r="P655" s="24" t="s">
        <v>76</v>
      </c>
      <c r="Q655" s="19">
        <v>2070.9</v>
      </c>
    </row>
    <row r="656" spans="1:17">
      <c r="A656" t="s">
        <v>2451</v>
      </c>
      <c r="B656" s="23">
        <v>45089</v>
      </c>
      <c r="C656" s="23" t="str">
        <f t="shared" si="30"/>
        <v>Jun</v>
      </c>
      <c r="D656" s="23" t="str">
        <f t="shared" si="31"/>
        <v>2023</v>
      </c>
      <c r="E656" s="23" t="str">
        <f t="shared" si="32"/>
        <v>Q2</v>
      </c>
      <c r="F656" t="s">
        <v>2452</v>
      </c>
      <c r="G656" s="24" t="s">
        <v>32</v>
      </c>
      <c r="H656" s="17">
        <v>3</v>
      </c>
      <c r="I656" s="19">
        <v>382.37</v>
      </c>
      <c r="J656" t="s">
        <v>2453</v>
      </c>
      <c r="K656" s="24" t="s">
        <v>18</v>
      </c>
      <c r="L656" s="24" t="s">
        <v>43</v>
      </c>
      <c r="M656" t="s">
        <v>2454</v>
      </c>
      <c r="N656" s="17">
        <v>8</v>
      </c>
      <c r="O656" t="s">
        <v>4295</v>
      </c>
      <c r="P656" s="24" t="s">
        <v>22</v>
      </c>
      <c r="Q656" s="19">
        <v>1147.11</v>
      </c>
    </row>
    <row r="657" spans="1:17">
      <c r="A657" t="s">
        <v>2455</v>
      </c>
      <c r="B657" s="23">
        <v>44999</v>
      </c>
      <c r="C657" s="23" t="str">
        <f t="shared" si="30"/>
        <v>Mar</v>
      </c>
      <c r="D657" s="23" t="str">
        <f t="shared" si="31"/>
        <v>2023</v>
      </c>
      <c r="E657" s="23" t="str">
        <f t="shared" si="32"/>
        <v>Q1</v>
      </c>
      <c r="F657" t="s">
        <v>2456</v>
      </c>
      <c r="G657" s="24" t="s">
        <v>41</v>
      </c>
      <c r="H657" s="17">
        <v>2</v>
      </c>
      <c r="I657" s="19">
        <v>132.6</v>
      </c>
      <c r="J657" t="s">
        <v>1727</v>
      </c>
      <c r="K657" s="24" t="s">
        <v>18</v>
      </c>
      <c r="L657" s="24" t="s">
        <v>35</v>
      </c>
      <c r="M657" t="s">
        <v>2457</v>
      </c>
      <c r="N657" s="17">
        <v>4</v>
      </c>
      <c r="O657" t="s">
        <v>81</v>
      </c>
      <c r="P657" s="24" t="s">
        <v>38</v>
      </c>
      <c r="Q657" s="19">
        <v>265.2</v>
      </c>
    </row>
    <row r="658" spans="1:17">
      <c r="A658" t="s">
        <v>2458</v>
      </c>
      <c r="B658" s="23">
        <v>45309</v>
      </c>
      <c r="C658" s="23" t="str">
        <f t="shared" si="30"/>
        <v>Jan</v>
      </c>
      <c r="D658" s="23" t="str">
        <f t="shared" si="31"/>
        <v>2024</v>
      </c>
      <c r="E658" s="23" t="str">
        <f t="shared" si="32"/>
        <v>Q1</v>
      </c>
      <c r="F658" t="s">
        <v>2459</v>
      </c>
      <c r="G658" s="24" t="s">
        <v>16</v>
      </c>
      <c r="H658" s="17">
        <v>2</v>
      </c>
      <c r="I658" s="19">
        <v>189.06</v>
      </c>
      <c r="J658" t="s">
        <v>2460</v>
      </c>
      <c r="K658" s="24" t="s">
        <v>60</v>
      </c>
      <c r="L658" s="24" t="s">
        <v>19</v>
      </c>
      <c r="M658" t="s">
        <v>2461</v>
      </c>
      <c r="N658" s="17">
        <v>7</v>
      </c>
      <c r="O658" t="s">
        <v>21</v>
      </c>
      <c r="P658" s="24" t="s">
        <v>45</v>
      </c>
      <c r="Q658" s="19">
        <v>378.12</v>
      </c>
    </row>
    <row r="659" spans="1:17">
      <c r="A659" t="s">
        <v>2462</v>
      </c>
      <c r="B659" s="23">
        <v>45284</v>
      </c>
      <c r="C659" s="23" t="str">
        <f t="shared" si="30"/>
        <v>Dec</v>
      </c>
      <c r="D659" s="23" t="str">
        <f t="shared" si="31"/>
        <v>2023</v>
      </c>
      <c r="E659" s="23" t="str">
        <f t="shared" si="32"/>
        <v>Q4</v>
      </c>
      <c r="F659" t="s">
        <v>2463</v>
      </c>
      <c r="G659" s="24" t="s">
        <v>32</v>
      </c>
      <c r="H659" s="17">
        <v>4</v>
      </c>
      <c r="I659" s="19">
        <v>87.79</v>
      </c>
      <c r="J659" t="s">
        <v>1306</v>
      </c>
      <c r="K659" s="24" t="s">
        <v>65</v>
      </c>
      <c r="L659" s="24" t="s">
        <v>35</v>
      </c>
      <c r="M659" t="s">
        <v>2464</v>
      </c>
      <c r="N659" s="17">
        <v>6</v>
      </c>
      <c r="O659" t="s">
        <v>37</v>
      </c>
      <c r="P659" s="24" t="s">
        <v>22</v>
      </c>
      <c r="Q659" s="19">
        <v>351.16</v>
      </c>
    </row>
    <row r="660" spans="1:17">
      <c r="A660" t="s">
        <v>2465</v>
      </c>
      <c r="B660" s="23">
        <v>45765</v>
      </c>
      <c r="C660" s="23" t="str">
        <f t="shared" si="30"/>
        <v>Apr</v>
      </c>
      <c r="D660" s="23" t="str">
        <f t="shared" si="31"/>
        <v>2025</v>
      </c>
      <c r="E660" s="23" t="str">
        <f t="shared" si="32"/>
        <v>Q2</v>
      </c>
      <c r="F660" t="s">
        <v>2466</v>
      </c>
      <c r="G660" s="24" t="s">
        <v>48</v>
      </c>
      <c r="H660" s="17">
        <v>2</v>
      </c>
      <c r="I660" s="19">
        <v>46.36</v>
      </c>
      <c r="J660" t="s">
        <v>1161</v>
      </c>
      <c r="K660" s="24" t="s">
        <v>60</v>
      </c>
      <c r="L660" s="24" t="s">
        <v>43</v>
      </c>
      <c r="M660" t="s">
        <v>2467</v>
      </c>
      <c r="N660" s="17">
        <v>4</v>
      </c>
      <c r="O660" t="s">
        <v>21</v>
      </c>
      <c r="P660" s="24" t="s">
        <v>76</v>
      </c>
      <c r="Q660" s="19">
        <v>92.72</v>
      </c>
    </row>
    <row r="661" spans="1:17">
      <c r="A661" t="s">
        <v>2468</v>
      </c>
      <c r="B661" s="23">
        <v>45591</v>
      </c>
      <c r="C661" s="23" t="str">
        <f t="shared" si="30"/>
        <v>Oct</v>
      </c>
      <c r="D661" s="23" t="str">
        <f t="shared" si="31"/>
        <v>2024</v>
      </c>
      <c r="E661" s="23" t="str">
        <f t="shared" si="32"/>
        <v>Q4</v>
      </c>
      <c r="F661" t="s">
        <v>2469</v>
      </c>
      <c r="G661" s="24" t="s">
        <v>25</v>
      </c>
      <c r="H661" s="17">
        <v>2</v>
      </c>
      <c r="I661" s="19">
        <v>642.04</v>
      </c>
      <c r="J661" t="s">
        <v>2079</v>
      </c>
      <c r="K661" s="24" t="s">
        <v>60</v>
      </c>
      <c r="L661" s="24" t="s">
        <v>50</v>
      </c>
      <c r="M661" t="s">
        <v>2470</v>
      </c>
      <c r="N661" s="17">
        <v>4</v>
      </c>
      <c r="O661" t="s">
        <v>81</v>
      </c>
      <c r="P661" s="24" t="s">
        <v>38</v>
      </c>
      <c r="Q661" s="19">
        <v>1284.08</v>
      </c>
    </row>
    <row r="662" spans="1:17">
      <c r="A662" t="s">
        <v>2471</v>
      </c>
      <c r="B662" s="23">
        <v>45584</v>
      </c>
      <c r="C662" s="23" t="str">
        <f t="shared" si="30"/>
        <v>Oct</v>
      </c>
      <c r="D662" s="23" t="str">
        <f t="shared" si="31"/>
        <v>2024</v>
      </c>
      <c r="E662" s="23" t="str">
        <f t="shared" si="32"/>
        <v>Q4</v>
      </c>
      <c r="F662" t="s">
        <v>2472</v>
      </c>
      <c r="G662" s="24" t="s">
        <v>41</v>
      </c>
      <c r="H662" s="17">
        <v>2</v>
      </c>
      <c r="I662" s="19">
        <v>651.57</v>
      </c>
      <c r="J662" t="s">
        <v>603</v>
      </c>
      <c r="K662" s="24" t="s">
        <v>18</v>
      </c>
      <c r="L662" s="24" t="s">
        <v>19</v>
      </c>
      <c r="M662" t="s">
        <v>2473</v>
      </c>
      <c r="N662" s="17">
        <v>7</v>
      </c>
      <c r="O662" t="s">
        <v>81</v>
      </c>
      <c r="P662" s="24" t="s">
        <v>45</v>
      </c>
      <c r="Q662" s="19">
        <v>1303.14</v>
      </c>
    </row>
    <row r="663" spans="1:17">
      <c r="A663" t="s">
        <v>2474</v>
      </c>
      <c r="B663" s="23">
        <v>45716</v>
      </c>
      <c r="C663" s="23" t="str">
        <f t="shared" si="30"/>
        <v>Feb</v>
      </c>
      <c r="D663" s="23" t="str">
        <f t="shared" si="31"/>
        <v>2025</v>
      </c>
      <c r="E663" s="23" t="str">
        <f t="shared" si="32"/>
        <v>Q1</v>
      </c>
      <c r="F663" t="s">
        <v>2475</v>
      </c>
      <c r="G663" s="24" t="s">
        <v>32</v>
      </c>
      <c r="H663" s="17">
        <v>3</v>
      </c>
      <c r="I663" s="19">
        <v>424.89</v>
      </c>
      <c r="J663" t="s">
        <v>2476</v>
      </c>
      <c r="K663" s="24" t="s">
        <v>18</v>
      </c>
      <c r="L663" s="24" t="s">
        <v>35</v>
      </c>
      <c r="M663" t="s">
        <v>2477</v>
      </c>
      <c r="N663" s="17">
        <v>6</v>
      </c>
      <c r="O663" t="s">
        <v>37</v>
      </c>
      <c r="P663" s="24" t="s">
        <v>76</v>
      </c>
      <c r="Q663" s="19">
        <v>1274.67</v>
      </c>
    </row>
    <row r="664" spans="1:17">
      <c r="A664" t="s">
        <v>2478</v>
      </c>
      <c r="B664" s="23">
        <v>44954</v>
      </c>
      <c r="C664" s="23" t="str">
        <f t="shared" si="30"/>
        <v>Jan</v>
      </c>
      <c r="D664" s="23" t="str">
        <f t="shared" si="31"/>
        <v>2023</v>
      </c>
      <c r="E664" s="23" t="str">
        <f t="shared" si="32"/>
        <v>Q1</v>
      </c>
      <c r="F664" t="s">
        <v>2479</v>
      </c>
      <c r="G664" s="24" t="s">
        <v>58</v>
      </c>
      <c r="H664" s="17">
        <v>3</v>
      </c>
      <c r="I664" s="19">
        <v>438.89</v>
      </c>
      <c r="J664" t="s">
        <v>2480</v>
      </c>
      <c r="K664" s="24" t="s">
        <v>65</v>
      </c>
      <c r="L664" s="24" t="s">
        <v>43</v>
      </c>
      <c r="M664" t="s">
        <v>2481</v>
      </c>
      <c r="N664" s="17">
        <v>3</v>
      </c>
      <c r="O664" t="s">
        <v>4295</v>
      </c>
      <c r="P664" s="24" t="s">
        <v>45</v>
      </c>
      <c r="Q664" s="19">
        <v>1316.67</v>
      </c>
    </row>
    <row r="665" spans="1:17">
      <c r="A665" t="s">
        <v>2482</v>
      </c>
      <c r="B665" s="23">
        <v>45397</v>
      </c>
      <c r="C665" s="23" t="str">
        <f t="shared" si="30"/>
        <v>Apr</v>
      </c>
      <c r="D665" s="23" t="str">
        <f t="shared" si="31"/>
        <v>2024</v>
      </c>
      <c r="E665" s="23" t="str">
        <f t="shared" si="32"/>
        <v>Q2</v>
      </c>
      <c r="F665" t="s">
        <v>2483</v>
      </c>
      <c r="G665" s="24" t="s">
        <v>16</v>
      </c>
      <c r="H665" s="17">
        <v>1</v>
      </c>
      <c r="I665" s="19">
        <v>72.6</v>
      </c>
      <c r="J665" t="s">
        <v>1988</v>
      </c>
      <c r="K665" s="24" t="s">
        <v>18</v>
      </c>
      <c r="L665" s="24" t="s">
        <v>35</v>
      </c>
      <c r="M665" t="s">
        <v>2484</v>
      </c>
      <c r="N665" s="17">
        <v>6</v>
      </c>
      <c r="O665" t="s">
        <v>37</v>
      </c>
      <c r="P665" s="24" t="s">
        <v>22</v>
      </c>
      <c r="Q665" s="19">
        <v>72.6</v>
      </c>
    </row>
    <row r="666" spans="1:17">
      <c r="A666" t="s">
        <v>2485</v>
      </c>
      <c r="B666" s="23">
        <v>45645</v>
      </c>
      <c r="C666" s="23" t="str">
        <f t="shared" si="30"/>
        <v>Dec</v>
      </c>
      <c r="D666" s="23" t="str">
        <f t="shared" si="31"/>
        <v>2024</v>
      </c>
      <c r="E666" s="23" t="str">
        <f t="shared" si="32"/>
        <v>Q4</v>
      </c>
      <c r="F666" t="s">
        <v>951</v>
      </c>
      <c r="G666" s="24" t="s">
        <v>58</v>
      </c>
      <c r="H666" s="17">
        <v>4</v>
      </c>
      <c r="I666" s="19">
        <v>194.75</v>
      </c>
      <c r="J666" t="s">
        <v>2486</v>
      </c>
      <c r="K666" s="24" t="s">
        <v>65</v>
      </c>
      <c r="L666" s="24" t="s">
        <v>19</v>
      </c>
      <c r="M666" t="s">
        <v>2487</v>
      </c>
      <c r="N666" s="17">
        <v>5</v>
      </c>
      <c r="O666" t="s">
        <v>4295</v>
      </c>
      <c r="P666" s="24" t="s">
        <v>45</v>
      </c>
      <c r="Q666" s="19">
        <v>779</v>
      </c>
    </row>
    <row r="667" spans="1:17">
      <c r="A667" t="s">
        <v>2488</v>
      </c>
      <c r="B667" s="23">
        <v>45048</v>
      </c>
      <c r="C667" s="23" t="str">
        <f t="shared" si="30"/>
        <v>May</v>
      </c>
      <c r="D667" s="23" t="str">
        <f t="shared" si="31"/>
        <v>2023</v>
      </c>
      <c r="E667" s="23" t="str">
        <f t="shared" si="32"/>
        <v>Q2</v>
      </c>
      <c r="F667" t="s">
        <v>2489</v>
      </c>
      <c r="G667" s="24" t="s">
        <v>32</v>
      </c>
      <c r="H667" s="17">
        <v>4</v>
      </c>
      <c r="I667" s="19">
        <v>231.26</v>
      </c>
      <c r="J667" t="s">
        <v>2490</v>
      </c>
      <c r="K667" s="24" t="s">
        <v>27</v>
      </c>
      <c r="L667" s="24" t="s">
        <v>19</v>
      </c>
      <c r="M667" t="s">
        <v>2491</v>
      </c>
      <c r="N667" s="17">
        <v>6</v>
      </c>
      <c r="O667" t="s">
        <v>81</v>
      </c>
      <c r="P667" s="24" t="s">
        <v>76</v>
      </c>
      <c r="Q667" s="19">
        <v>925.04</v>
      </c>
    </row>
    <row r="668" spans="1:17">
      <c r="A668" t="s">
        <v>2492</v>
      </c>
      <c r="B668" s="23">
        <v>45535</v>
      </c>
      <c r="C668" s="23" t="str">
        <f t="shared" si="30"/>
        <v>Aug</v>
      </c>
      <c r="D668" s="23" t="str">
        <f t="shared" si="31"/>
        <v>2024</v>
      </c>
      <c r="E668" s="23" t="str">
        <f t="shared" si="32"/>
        <v>Q3</v>
      </c>
      <c r="F668" t="s">
        <v>2493</v>
      </c>
      <c r="G668" s="24" t="s">
        <v>16</v>
      </c>
      <c r="H668" s="17">
        <v>4</v>
      </c>
      <c r="I668" s="19">
        <v>327.12</v>
      </c>
      <c r="J668" t="s">
        <v>2294</v>
      </c>
      <c r="K668" s="24" t="s">
        <v>34</v>
      </c>
      <c r="L668" s="24" t="s">
        <v>35</v>
      </c>
      <c r="M668" t="s">
        <v>2494</v>
      </c>
      <c r="N668" s="17">
        <v>4</v>
      </c>
      <c r="O668" t="s">
        <v>4295</v>
      </c>
      <c r="P668" s="24" t="s">
        <v>38</v>
      </c>
      <c r="Q668" s="19">
        <v>1308.48</v>
      </c>
    </row>
    <row r="669" spans="1:17">
      <c r="A669" t="s">
        <v>2495</v>
      </c>
      <c r="B669" s="23">
        <v>45049</v>
      </c>
      <c r="C669" s="23" t="str">
        <f t="shared" si="30"/>
        <v>May</v>
      </c>
      <c r="D669" s="23" t="str">
        <f t="shared" si="31"/>
        <v>2023</v>
      </c>
      <c r="E669" s="23" t="str">
        <f t="shared" si="32"/>
        <v>Q2</v>
      </c>
      <c r="F669" t="s">
        <v>2496</v>
      </c>
      <c r="G669" s="24" t="s">
        <v>58</v>
      </c>
      <c r="H669" s="17">
        <v>1</v>
      </c>
      <c r="I669" s="19">
        <v>466.42</v>
      </c>
      <c r="J669" t="s">
        <v>830</v>
      </c>
      <c r="K669" s="24" t="s">
        <v>60</v>
      </c>
      <c r="L669" s="24" t="s">
        <v>89</v>
      </c>
      <c r="M669" t="s">
        <v>2497</v>
      </c>
      <c r="N669" s="17">
        <v>5</v>
      </c>
      <c r="O669" t="s">
        <v>21</v>
      </c>
      <c r="P669" s="24" t="s">
        <v>38</v>
      </c>
      <c r="Q669" s="19">
        <v>466.42</v>
      </c>
    </row>
    <row r="670" spans="1:17">
      <c r="A670" t="s">
        <v>2498</v>
      </c>
      <c r="B670" s="23">
        <v>45478</v>
      </c>
      <c r="C670" s="23" t="str">
        <f t="shared" si="30"/>
        <v>Jul</v>
      </c>
      <c r="D670" s="23" t="str">
        <f t="shared" si="31"/>
        <v>2024</v>
      </c>
      <c r="E670" s="23" t="str">
        <f t="shared" si="32"/>
        <v>Q3</v>
      </c>
      <c r="F670" t="s">
        <v>2499</v>
      </c>
      <c r="G670" s="24" t="s">
        <v>16</v>
      </c>
      <c r="H670" s="17">
        <v>2</v>
      </c>
      <c r="I670" s="19">
        <v>253.67</v>
      </c>
      <c r="J670" t="s">
        <v>630</v>
      </c>
      <c r="K670" s="24" t="s">
        <v>65</v>
      </c>
      <c r="L670" s="24" t="s">
        <v>43</v>
      </c>
      <c r="M670" t="s">
        <v>2500</v>
      </c>
      <c r="N670" s="17">
        <v>3</v>
      </c>
      <c r="O670" t="s">
        <v>81</v>
      </c>
      <c r="P670" s="24" t="s">
        <v>45</v>
      </c>
      <c r="Q670" s="19">
        <v>507.34</v>
      </c>
    </row>
    <row r="671" spans="1:17">
      <c r="A671" t="s">
        <v>2501</v>
      </c>
      <c r="B671" s="23">
        <v>44962</v>
      </c>
      <c r="C671" s="23" t="str">
        <f t="shared" si="30"/>
        <v>Feb</v>
      </c>
      <c r="D671" s="23" t="str">
        <f t="shared" si="31"/>
        <v>2023</v>
      </c>
      <c r="E671" s="23" t="str">
        <f t="shared" si="32"/>
        <v>Q1</v>
      </c>
      <c r="F671" t="s">
        <v>2502</v>
      </c>
      <c r="G671" s="24" t="s">
        <v>73</v>
      </c>
      <c r="H671" s="17">
        <v>1</v>
      </c>
      <c r="I671" s="19">
        <v>257</v>
      </c>
      <c r="J671" t="s">
        <v>2503</v>
      </c>
      <c r="K671" s="24" t="s">
        <v>18</v>
      </c>
      <c r="L671" s="24" t="s">
        <v>35</v>
      </c>
      <c r="M671" t="s">
        <v>2504</v>
      </c>
      <c r="N671" s="17">
        <v>5</v>
      </c>
      <c r="O671" t="s">
        <v>4295</v>
      </c>
      <c r="P671" s="24" t="s">
        <v>29</v>
      </c>
      <c r="Q671" s="19">
        <v>257</v>
      </c>
    </row>
    <row r="672" spans="1:17">
      <c r="A672" t="s">
        <v>2505</v>
      </c>
      <c r="B672" s="23">
        <v>45400</v>
      </c>
      <c r="C672" s="23" t="str">
        <f t="shared" si="30"/>
        <v>Apr</v>
      </c>
      <c r="D672" s="23" t="str">
        <f t="shared" si="31"/>
        <v>2024</v>
      </c>
      <c r="E672" s="23" t="str">
        <f t="shared" si="32"/>
        <v>Q2</v>
      </c>
      <c r="F672" t="s">
        <v>2506</v>
      </c>
      <c r="G672" s="24" t="s">
        <v>73</v>
      </c>
      <c r="H672" s="17">
        <v>4</v>
      </c>
      <c r="I672" s="19">
        <v>539.2</v>
      </c>
      <c r="J672" t="s">
        <v>1415</v>
      </c>
      <c r="K672" s="24" t="s">
        <v>34</v>
      </c>
      <c r="L672" s="24" t="s">
        <v>89</v>
      </c>
      <c r="M672" t="s">
        <v>2507</v>
      </c>
      <c r="N672" s="17">
        <v>8</v>
      </c>
      <c r="O672" t="s">
        <v>37</v>
      </c>
      <c r="P672" s="24" t="s">
        <v>76</v>
      </c>
      <c r="Q672" s="19">
        <v>2156.8</v>
      </c>
    </row>
    <row r="673" spans="1:17">
      <c r="A673" t="s">
        <v>2508</v>
      </c>
      <c r="B673" s="23">
        <v>45092</v>
      </c>
      <c r="C673" s="23" t="str">
        <f t="shared" si="30"/>
        <v>Jun</v>
      </c>
      <c r="D673" s="23" t="str">
        <f t="shared" si="31"/>
        <v>2023</v>
      </c>
      <c r="E673" s="23" t="str">
        <f t="shared" si="32"/>
        <v>Q2</v>
      </c>
      <c r="F673" t="s">
        <v>2509</v>
      </c>
      <c r="G673" s="24" t="s">
        <v>41</v>
      </c>
      <c r="H673" s="17">
        <v>5</v>
      </c>
      <c r="I673" s="19">
        <v>50.74</v>
      </c>
      <c r="J673" t="s">
        <v>659</v>
      </c>
      <c r="K673" s="24" t="s">
        <v>60</v>
      </c>
      <c r="L673" s="24" t="s">
        <v>35</v>
      </c>
      <c r="M673" t="s">
        <v>2510</v>
      </c>
      <c r="N673" s="17">
        <v>7</v>
      </c>
      <c r="O673" t="s">
        <v>81</v>
      </c>
      <c r="P673" s="24" t="s">
        <v>76</v>
      </c>
      <c r="Q673" s="19">
        <v>253.7</v>
      </c>
    </row>
    <row r="674" spans="1:17">
      <c r="A674" t="s">
        <v>2511</v>
      </c>
      <c r="B674" s="23">
        <v>45055</v>
      </c>
      <c r="C674" s="23" t="str">
        <f t="shared" si="30"/>
        <v>May</v>
      </c>
      <c r="D674" s="23" t="str">
        <f t="shared" si="31"/>
        <v>2023</v>
      </c>
      <c r="E674" s="23" t="str">
        <f t="shared" si="32"/>
        <v>Q2</v>
      </c>
      <c r="F674" t="s">
        <v>2512</v>
      </c>
      <c r="G674" s="24" t="s">
        <v>25</v>
      </c>
      <c r="H674" s="17">
        <v>2</v>
      </c>
      <c r="I674" s="19">
        <v>624.16</v>
      </c>
      <c r="J674" t="s">
        <v>2321</v>
      </c>
      <c r="K674" s="24" t="s">
        <v>18</v>
      </c>
      <c r="L674" s="24" t="s">
        <v>19</v>
      </c>
      <c r="M674" t="s">
        <v>2513</v>
      </c>
      <c r="N674" s="17">
        <v>2</v>
      </c>
      <c r="O674" t="s">
        <v>21</v>
      </c>
      <c r="P674" s="24" t="s">
        <v>22</v>
      </c>
      <c r="Q674" s="19">
        <v>1248.32</v>
      </c>
    </row>
    <row r="675" spans="1:17">
      <c r="A675" t="s">
        <v>2514</v>
      </c>
      <c r="B675" s="23">
        <v>44978</v>
      </c>
      <c r="C675" s="23" t="str">
        <f t="shared" si="30"/>
        <v>Feb</v>
      </c>
      <c r="D675" s="23" t="str">
        <f t="shared" si="31"/>
        <v>2023</v>
      </c>
      <c r="E675" s="23" t="str">
        <f t="shared" si="32"/>
        <v>Q1</v>
      </c>
      <c r="F675" t="s">
        <v>2515</v>
      </c>
      <c r="G675" s="24" t="s">
        <v>32</v>
      </c>
      <c r="H675" s="17">
        <v>2</v>
      </c>
      <c r="I675" s="19">
        <v>372.92</v>
      </c>
      <c r="J675" t="s">
        <v>470</v>
      </c>
      <c r="K675" s="24" t="s">
        <v>34</v>
      </c>
      <c r="L675" s="24" t="s">
        <v>50</v>
      </c>
      <c r="M675" t="s">
        <v>2516</v>
      </c>
      <c r="N675" s="17">
        <v>7</v>
      </c>
      <c r="O675" t="s">
        <v>21</v>
      </c>
      <c r="P675" s="24" t="s">
        <v>38</v>
      </c>
      <c r="Q675" s="19">
        <v>745.84</v>
      </c>
    </row>
    <row r="676" spans="1:17">
      <c r="A676" t="s">
        <v>2517</v>
      </c>
      <c r="B676" s="23">
        <v>45300</v>
      </c>
      <c r="C676" s="23" t="str">
        <f t="shared" si="30"/>
        <v>Jan</v>
      </c>
      <c r="D676" s="23" t="str">
        <f t="shared" si="31"/>
        <v>2024</v>
      </c>
      <c r="E676" s="23" t="str">
        <f t="shared" si="32"/>
        <v>Q1</v>
      </c>
      <c r="F676" t="s">
        <v>2518</v>
      </c>
      <c r="G676" s="24" t="s">
        <v>58</v>
      </c>
      <c r="H676" s="17">
        <v>4</v>
      </c>
      <c r="I676" s="19">
        <v>358.75</v>
      </c>
      <c r="J676" t="s">
        <v>2519</v>
      </c>
      <c r="K676" s="24" t="s">
        <v>60</v>
      </c>
      <c r="L676" s="24" t="s">
        <v>50</v>
      </c>
      <c r="M676" t="s">
        <v>2520</v>
      </c>
      <c r="N676" s="17">
        <v>9</v>
      </c>
      <c r="O676" t="s">
        <v>21</v>
      </c>
      <c r="P676" s="24" t="s">
        <v>45</v>
      </c>
      <c r="Q676" s="19">
        <v>1435</v>
      </c>
    </row>
    <row r="677" spans="1:17">
      <c r="A677" t="s">
        <v>2521</v>
      </c>
      <c r="B677" s="23">
        <v>45510</v>
      </c>
      <c r="C677" s="23" t="str">
        <f t="shared" si="30"/>
        <v>Aug</v>
      </c>
      <c r="D677" s="23" t="str">
        <f t="shared" si="31"/>
        <v>2024</v>
      </c>
      <c r="E677" s="23" t="str">
        <f t="shared" si="32"/>
        <v>Q3</v>
      </c>
      <c r="F677" t="s">
        <v>2522</v>
      </c>
      <c r="G677" s="24" t="s">
        <v>73</v>
      </c>
      <c r="H677" s="17">
        <v>3</v>
      </c>
      <c r="I677" s="19">
        <v>342.02</v>
      </c>
      <c r="J677" t="s">
        <v>2040</v>
      </c>
      <c r="K677" s="24" t="s">
        <v>18</v>
      </c>
      <c r="L677" s="24" t="s">
        <v>89</v>
      </c>
      <c r="M677" t="s">
        <v>2523</v>
      </c>
      <c r="N677" s="17">
        <v>5</v>
      </c>
      <c r="O677" t="s">
        <v>4295</v>
      </c>
      <c r="P677" s="24" t="s">
        <v>38</v>
      </c>
      <c r="Q677" s="19">
        <v>1026.06</v>
      </c>
    </row>
    <row r="678" spans="1:17">
      <c r="A678" t="s">
        <v>2524</v>
      </c>
      <c r="B678" s="23">
        <v>45831</v>
      </c>
      <c r="C678" s="23" t="str">
        <f t="shared" si="30"/>
        <v>Jun</v>
      </c>
      <c r="D678" s="23" t="str">
        <f t="shared" si="31"/>
        <v>2025</v>
      </c>
      <c r="E678" s="23" t="str">
        <f t="shared" si="32"/>
        <v>Q2</v>
      </c>
      <c r="F678" t="s">
        <v>2525</v>
      </c>
      <c r="G678" s="24" t="s">
        <v>58</v>
      </c>
      <c r="H678" s="17">
        <v>2</v>
      </c>
      <c r="I678" s="19">
        <v>422.34</v>
      </c>
      <c r="J678" t="s">
        <v>2480</v>
      </c>
      <c r="K678" s="24" t="s">
        <v>34</v>
      </c>
      <c r="L678" s="24" t="s">
        <v>35</v>
      </c>
      <c r="M678" t="s">
        <v>2526</v>
      </c>
      <c r="N678" s="17">
        <v>4</v>
      </c>
      <c r="O678" t="s">
        <v>37</v>
      </c>
      <c r="P678" s="24" t="s">
        <v>22</v>
      </c>
      <c r="Q678" s="19">
        <v>844.68</v>
      </c>
    </row>
    <row r="679" spans="1:17">
      <c r="A679" t="s">
        <v>2527</v>
      </c>
      <c r="B679" s="23">
        <v>45750</v>
      </c>
      <c r="C679" s="23" t="str">
        <f t="shared" si="30"/>
        <v>Apr</v>
      </c>
      <c r="D679" s="23" t="str">
        <f t="shared" si="31"/>
        <v>2025</v>
      </c>
      <c r="E679" s="23" t="str">
        <f t="shared" si="32"/>
        <v>Q2</v>
      </c>
      <c r="F679" t="s">
        <v>2528</v>
      </c>
      <c r="G679" s="24" t="s">
        <v>32</v>
      </c>
      <c r="H679" s="17">
        <v>5</v>
      </c>
      <c r="I679" s="19">
        <v>22.07</v>
      </c>
      <c r="J679" t="s">
        <v>88</v>
      </c>
      <c r="K679" s="24" t="s">
        <v>27</v>
      </c>
      <c r="L679" s="24" t="s">
        <v>35</v>
      </c>
      <c r="M679" t="s">
        <v>2529</v>
      </c>
      <c r="N679" s="17">
        <v>7</v>
      </c>
      <c r="O679" t="s">
        <v>37</v>
      </c>
      <c r="P679" s="24" t="s">
        <v>22</v>
      </c>
      <c r="Q679" s="19">
        <v>110.35</v>
      </c>
    </row>
    <row r="680" spans="1:17">
      <c r="A680" t="s">
        <v>2530</v>
      </c>
      <c r="B680" s="23">
        <v>45620</v>
      </c>
      <c r="C680" s="23" t="str">
        <f t="shared" si="30"/>
        <v>Nov</v>
      </c>
      <c r="D680" s="23" t="str">
        <f t="shared" si="31"/>
        <v>2024</v>
      </c>
      <c r="E680" s="23" t="str">
        <f t="shared" si="32"/>
        <v>Q4</v>
      </c>
      <c r="F680" t="s">
        <v>2531</v>
      </c>
      <c r="G680" s="24" t="s">
        <v>41</v>
      </c>
      <c r="H680" s="17">
        <v>3</v>
      </c>
      <c r="I680" s="19">
        <v>163.13</v>
      </c>
      <c r="J680" t="s">
        <v>888</v>
      </c>
      <c r="K680" s="24" t="s">
        <v>60</v>
      </c>
      <c r="L680" s="24" t="s">
        <v>19</v>
      </c>
      <c r="M680" t="s">
        <v>2532</v>
      </c>
      <c r="N680" s="17">
        <v>5</v>
      </c>
      <c r="O680" t="s">
        <v>81</v>
      </c>
      <c r="P680" s="24" t="s">
        <v>45</v>
      </c>
      <c r="Q680" s="19">
        <v>489.39</v>
      </c>
    </row>
    <row r="681" spans="1:17">
      <c r="A681" t="s">
        <v>2533</v>
      </c>
      <c r="B681" s="23">
        <v>44959</v>
      </c>
      <c r="C681" s="23" t="str">
        <f t="shared" si="30"/>
        <v>Feb</v>
      </c>
      <c r="D681" s="23" t="str">
        <f t="shared" si="31"/>
        <v>2023</v>
      </c>
      <c r="E681" s="23" t="str">
        <f t="shared" si="32"/>
        <v>Q1</v>
      </c>
      <c r="F681" t="s">
        <v>2534</v>
      </c>
      <c r="G681" s="24" t="s">
        <v>32</v>
      </c>
      <c r="H681" s="17">
        <v>3</v>
      </c>
      <c r="I681" s="19">
        <v>360.66</v>
      </c>
      <c r="J681" t="s">
        <v>1564</v>
      </c>
      <c r="K681" s="24" t="s">
        <v>27</v>
      </c>
      <c r="L681" s="24" t="s">
        <v>43</v>
      </c>
      <c r="M681" t="s">
        <v>2535</v>
      </c>
      <c r="N681" s="17">
        <v>5</v>
      </c>
      <c r="O681" t="s">
        <v>37</v>
      </c>
      <c r="P681" s="24" t="s">
        <v>22</v>
      </c>
      <c r="Q681" s="19">
        <v>1081.98</v>
      </c>
    </row>
    <row r="682" spans="1:17">
      <c r="A682" t="s">
        <v>2536</v>
      </c>
      <c r="B682" s="23">
        <v>45165</v>
      </c>
      <c r="C682" s="23" t="str">
        <f t="shared" si="30"/>
        <v>Aug</v>
      </c>
      <c r="D682" s="23" t="str">
        <f t="shared" si="31"/>
        <v>2023</v>
      </c>
      <c r="E682" s="23" t="str">
        <f t="shared" si="32"/>
        <v>Q3</v>
      </c>
      <c r="F682" t="s">
        <v>2537</v>
      </c>
      <c r="G682" s="24" t="s">
        <v>16</v>
      </c>
      <c r="H682" s="17">
        <v>3</v>
      </c>
      <c r="I682" s="19">
        <v>463.39</v>
      </c>
      <c r="J682" t="s">
        <v>2538</v>
      </c>
      <c r="K682" s="24" t="s">
        <v>34</v>
      </c>
      <c r="L682" s="24" t="s">
        <v>43</v>
      </c>
      <c r="M682" t="s">
        <v>2539</v>
      </c>
      <c r="N682" s="17">
        <v>3</v>
      </c>
      <c r="O682" t="s">
        <v>4295</v>
      </c>
      <c r="P682" s="24" t="s">
        <v>45</v>
      </c>
      <c r="Q682" s="19">
        <v>1390.17</v>
      </c>
    </row>
    <row r="683" spans="1:17">
      <c r="A683" t="s">
        <v>2540</v>
      </c>
      <c r="B683" s="23">
        <v>45321</v>
      </c>
      <c r="C683" s="23" t="str">
        <f t="shared" si="30"/>
        <v>Jan</v>
      </c>
      <c r="D683" s="23" t="str">
        <f t="shared" si="31"/>
        <v>2024</v>
      </c>
      <c r="E683" s="23" t="str">
        <f t="shared" si="32"/>
        <v>Q1</v>
      </c>
      <c r="F683" t="s">
        <v>2541</v>
      </c>
      <c r="G683" s="24" t="s">
        <v>32</v>
      </c>
      <c r="H683" s="17">
        <v>1</v>
      </c>
      <c r="I683" s="19">
        <v>155.27</v>
      </c>
      <c r="J683" t="s">
        <v>2542</v>
      </c>
      <c r="K683" s="24" t="s">
        <v>18</v>
      </c>
      <c r="L683" s="24" t="s">
        <v>19</v>
      </c>
      <c r="M683" t="s">
        <v>2543</v>
      </c>
      <c r="N683" s="17">
        <v>6</v>
      </c>
      <c r="O683" t="s">
        <v>4295</v>
      </c>
      <c r="P683" s="24" t="s">
        <v>38</v>
      </c>
      <c r="Q683" s="19">
        <v>155.27</v>
      </c>
    </row>
    <row r="684" spans="1:17">
      <c r="A684" t="s">
        <v>2544</v>
      </c>
      <c r="B684" s="23">
        <v>45130</v>
      </c>
      <c r="C684" s="23" t="str">
        <f t="shared" si="30"/>
        <v>Jul</v>
      </c>
      <c r="D684" s="23" t="str">
        <f t="shared" si="31"/>
        <v>2023</v>
      </c>
      <c r="E684" s="23" t="str">
        <f t="shared" si="32"/>
        <v>Q3</v>
      </c>
      <c r="F684" t="s">
        <v>2545</v>
      </c>
      <c r="G684" s="24" t="s">
        <v>16</v>
      </c>
      <c r="H684" s="17">
        <v>3</v>
      </c>
      <c r="I684" s="19">
        <v>509.42</v>
      </c>
      <c r="J684" t="s">
        <v>1827</v>
      </c>
      <c r="K684" s="24" t="s">
        <v>34</v>
      </c>
      <c r="L684" s="24" t="s">
        <v>35</v>
      </c>
      <c r="M684" t="s">
        <v>2546</v>
      </c>
      <c r="N684" s="17">
        <v>5</v>
      </c>
      <c r="O684" t="s">
        <v>37</v>
      </c>
      <c r="P684" s="24" t="s">
        <v>76</v>
      </c>
      <c r="Q684" s="19">
        <v>1528.26</v>
      </c>
    </row>
    <row r="685" spans="1:17">
      <c r="A685" t="s">
        <v>2547</v>
      </c>
      <c r="B685" s="23">
        <v>45795</v>
      </c>
      <c r="C685" s="23" t="str">
        <f t="shared" si="30"/>
        <v>May</v>
      </c>
      <c r="D685" s="23" t="str">
        <f t="shared" si="31"/>
        <v>2025</v>
      </c>
      <c r="E685" s="23" t="str">
        <f t="shared" si="32"/>
        <v>Q2</v>
      </c>
      <c r="F685" t="s">
        <v>2548</v>
      </c>
      <c r="G685" s="24" t="s">
        <v>73</v>
      </c>
      <c r="H685" s="17">
        <v>4</v>
      </c>
      <c r="I685" s="19">
        <v>652.48</v>
      </c>
      <c r="J685" t="s">
        <v>2549</v>
      </c>
      <c r="K685" s="24" t="s">
        <v>65</v>
      </c>
      <c r="L685" s="24" t="s">
        <v>89</v>
      </c>
      <c r="M685" t="s">
        <v>2550</v>
      </c>
      <c r="N685" s="17">
        <v>5</v>
      </c>
      <c r="O685" t="s">
        <v>37</v>
      </c>
      <c r="P685" s="24" t="s">
        <v>22</v>
      </c>
      <c r="Q685" s="19">
        <v>2609.92</v>
      </c>
    </row>
    <row r="686" spans="1:17">
      <c r="A686" t="s">
        <v>2551</v>
      </c>
      <c r="B686" s="23">
        <v>45557</v>
      </c>
      <c r="C686" s="23" t="str">
        <f t="shared" si="30"/>
        <v>Sep</v>
      </c>
      <c r="D686" s="23" t="str">
        <f t="shared" si="31"/>
        <v>2024</v>
      </c>
      <c r="E686" s="23" t="str">
        <f t="shared" si="32"/>
        <v>Q3</v>
      </c>
      <c r="F686" t="s">
        <v>2552</v>
      </c>
      <c r="G686" s="24" t="s">
        <v>48</v>
      </c>
      <c r="H686" s="17">
        <v>4</v>
      </c>
      <c r="I686" s="19">
        <v>34.84</v>
      </c>
      <c r="J686" t="s">
        <v>2553</v>
      </c>
      <c r="K686" s="24" t="s">
        <v>34</v>
      </c>
      <c r="L686" s="24" t="s">
        <v>19</v>
      </c>
      <c r="M686" t="s">
        <v>2554</v>
      </c>
      <c r="N686" s="17">
        <v>8</v>
      </c>
      <c r="O686" t="s">
        <v>4295</v>
      </c>
      <c r="P686" s="24" t="s">
        <v>38</v>
      </c>
      <c r="Q686" s="19">
        <v>139.36</v>
      </c>
    </row>
    <row r="687" spans="1:17">
      <c r="A687" t="s">
        <v>2555</v>
      </c>
      <c r="B687" s="23">
        <v>45695</v>
      </c>
      <c r="C687" s="23" t="str">
        <f t="shared" si="30"/>
        <v>Feb</v>
      </c>
      <c r="D687" s="23" t="str">
        <f t="shared" si="31"/>
        <v>2025</v>
      </c>
      <c r="E687" s="23" t="str">
        <f t="shared" si="32"/>
        <v>Q1</v>
      </c>
      <c r="F687" t="s">
        <v>2556</v>
      </c>
      <c r="G687" s="24" t="s">
        <v>73</v>
      </c>
      <c r="H687" s="17">
        <v>1</v>
      </c>
      <c r="I687" s="19">
        <v>234.37</v>
      </c>
      <c r="J687" t="s">
        <v>2557</v>
      </c>
      <c r="K687" s="24" t="s">
        <v>18</v>
      </c>
      <c r="L687" s="24" t="s">
        <v>19</v>
      </c>
      <c r="M687" t="s">
        <v>2558</v>
      </c>
      <c r="N687" s="17">
        <v>5</v>
      </c>
      <c r="O687" t="s">
        <v>37</v>
      </c>
      <c r="P687" s="24" t="s">
        <v>38</v>
      </c>
      <c r="Q687" s="19">
        <v>234.37</v>
      </c>
    </row>
    <row r="688" spans="1:17">
      <c r="A688" t="s">
        <v>2559</v>
      </c>
      <c r="B688" s="23">
        <v>45208</v>
      </c>
      <c r="C688" s="23" t="str">
        <f t="shared" si="30"/>
        <v>Oct</v>
      </c>
      <c r="D688" s="23" t="str">
        <f t="shared" si="31"/>
        <v>2023</v>
      </c>
      <c r="E688" s="23" t="str">
        <f t="shared" si="32"/>
        <v>Q4</v>
      </c>
      <c r="F688" t="s">
        <v>2560</v>
      </c>
      <c r="G688" s="24" t="s">
        <v>73</v>
      </c>
      <c r="H688" s="17">
        <v>3</v>
      </c>
      <c r="I688" s="19">
        <v>53.6</v>
      </c>
      <c r="J688" t="s">
        <v>2561</v>
      </c>
      <c r="K688" s="24" t="s">
        <v>65</v>
      </c>
      <c r="L688" s="24" t="s">
        <v>89</v>
      </c>
      <c r="M688" t="s">
        <v>2562</v>
      </c>
      <c r="N688" s="17">
        <v>4</v>
      </c>
      <c r="O688" t="s">
        <v>81</v>
      </c>
      <c r="P688" s="24" t="s">
        <v>45</v>
      </c>
      <c r="Q688" s="19">
        <v>160.8</v>
      </c>
    </row>
    <row r="689" spans="1:17">
      <c r="A689" t="s">
        <v>2563</v>
      </c>
      <c r="B689" s="23">
        <v>45182</v>
      </c>
      <c r="C689" s="23" t="str">
        <f t="shared" si="30"/>
        <v>Sep</v>
      </c>
      <c r="D689" s="23" t="str">
        <f t="shared" si="31"/>
        <v>2023</v>
      </c>
      <c r="E689" s="23" t="str">
        <f t="shared" si="32"/>
        <v>Q3</v>
      </c>
      <c r="F689" t="s">
        <v>2564</v>
      </c>
      <c r="G689" s="24" t="s">
        <v>32</v>
      </c>
      <c r="H689" s="17">
        <v>1</v>
      </c>
      <c r="I689" s="19">
        <v>332.09</v>
      </c>
      <c r="J689" t="s">
        <v>2565</v>
      </c>
      <c r="K689" s="24" t="s">
        <v>60</v>
      </c>
      <c r="L689" s="24" t="s">
        <v>43</v>
      </c>
      <c r="M689" t="s">
        <v>2566</v>
      </c>
      <c r="N689" s="17">
        <v>5</v>
      </c>
      <c r="O689" t="s">
        <v>37</v>
      </c>
      <c r="P689" s="24" t="s">
        <v>22</v>
      </c>
      <c r="Q689" s="19">
        <v>332.09</v>
      </c>
    </row>
    <row r="690" spans="1:17">
      <c r="A690" t="s">
        <v>2567</v>
      </c>
      <c r="B690" s="23">
        <v>45357</v>
      </c>
      <c r="C690" s="23" t="str">
        <f t="shared" si="30"/>
        <v>Mar</v>
      </c>
      <c r="D690" s="23" t="str">
        <f t="shared" si="31"/>
        <v>2024</v>
      </c>
      <c r="E690" s="23" t="str">
        <f t="shared" si="32"/>
        <v>Q1</v>
      </c>
      <c r="F690" t="s">
        <v>2568</v>
      </c>
      <c r="G690" s="24" t="s">
        <v>16</v>
      </c>
      <c r="H690" s="17">
        <v>4</v>
      </c>
      <c r="I690" s="19">
        <v>593.22</v>
      </c>
      <c r="J690" t="s">
        <v>2311</v>
      </c>
      <c r="K690" s="24" t="s">
        <v>34</v>
      </c>
      <c r="L690" s="24" t="s">
        <v>35</v>
      </c>
      <c r="M690" t="s">
        <v>2569</v>
      </c>
      <c r="N690" s="17">
        <v>8</v>
      </c>
      <c r="O690" t="s">
        <v>81</v>
      </c>
      <c r="P690" s="24" t="s">
        <v>45</v>
      </c>
      <c r="Q690" s="19">
        <v>2372.88</v>
      </c>
    </row>
    <row r="691" spans="1:17">
      <c r="A691" t="s">
        <v>2570</v>
      </c>
      <c r="B691" s="23">
        <v>45167</v>
      </c>
      <c r="C691" s="23" t="str">
        <f t="shared" si="30"/>
        <v>Aug</v>
      </c>
      <c r="D691" s="23" t="str">
        <f t="shared" si="31"/>
        <v>2023</v>
      </c>
      <c r="E691" s="23" t="str">
        <f t="shared" si="32"/>
        <v>Q3</v>
      </c>
      <c r="F691" t="s">
        <v>2571</v>
      </c>
      <c r="G691" s="24" t="s">
        <v>32</v>
      </c>
      <c r="H691" s="17">
        <v>2</v>
      </c>
      <c r="I691" s="19">
        <v>444.84</v>
      </c>
      <c r="J691" t="s">
        <v>2572</v>
      </c>
      <c r="K691" s="24" t="s">
        <v>27</v>
      </c>
      <c r="L691" s="24" t="s">
        <v>19</v>
      </c>
      <c r="M691" t="s">
        <v>2573</v>
      </c>
      <c r="N691" s="17">
        <v>7</v>
      </c>
      <c r="O691" t="s">
        <v>4295</v>
      </c>
      <c r="P691" s="24" t="s">
        <v>45</v>
      </c>
      <c r="Q691" s="19">
        <v>889.68</v>
      </c>
    </row>
    <row r="692" spans="1:17">
      <c r="A692" t="s">
        <v>2574</v>
      </c>
      <c r="B692" s="23">
        <v>45485</v>
      </c>
      <c r="C692" s="23" t="str">
        <f t="shared" si="30"/>
        <v>Jul</v>
      </c>
      <c r="D692" s="23" t="str">
        <f t="shared" si="31"/>
        <v>2024</v>
      </c>
      <c r="E692" s="23" t="str">
        <f t="shared" si="32"/>
        <v>Q3</v>
      </c>
      <c r="F692" t="s">
        <v>2575</v>
      </c>
      <c r="G692" s="24" t="s">
        <v>16</v>
      </c>
      <c r="H692" s="17">
        <v>1</v>
      </c>
      <c r="I692" s="19">
        <v>24.48</v>
      </c>
      <c r="J692" t="s">
        <v>181</v>
      </c>
      <c r="K692" s="24" t="s">
        <v>60</v>
      </c>
      <c r="L692" s="24" t="s">
        <v>43</v>
      </c>
      <c r="M692" t="s">
        <v>2576</v>
      </c>
      <c r="N692" s="17">
        <v>1</v>
      </c>
      <c r="O692" t="s">
        <v>4295</v>
      </c>
      <c r="P692" s="24" t="s">
        <v>22</v>
      </c>
      <c r="Q692" s="19">
        <v>24.48</v>
      </c>
    </row>
    <row r="693" spans="1:17">
      <c r="A693" t="s">
        <v>2577</v>
      </c>
      <c r="B693" s="23">
        <v>45620</v>
      </c>
      <c r="C693" s="23" t="str">
        <f t="shared" si="30"/>
        <v>Nov</v>
      </c>
      <c r="D693" s="23" t="str">
        <f t="shared" si="31"/>
        <v>2024</v>
      </c>
      <c r="E693" s="23" t="str">
        <f t="shared" si="32"/>
        <v>Q4</v>
      </c>
      <c r="F693" t="s">
        <v>2578</v>
      </c>
      <c r="G693" s="24" t="s">
        <v>58</v>
      </c>
      <c r="H693" s="17">
        <v>3</v>
      </c>
      <c r="I693" s="19">
        <v>239.08</v>
      </c>
      <c r="J693" t="s">
        <v>2579</v>
      </c>
      <c r="K693" s="24" t="s">
        <v>65</v>
      </c>
      <c r="L693" s="24" t="s">
        <v>19</v>
      </c>
      <c r="M693" t="s">
        <v>2580</v>
      </c>
      <c r="N693" s="17">
        <v>8</v>
      </c>
      <c r="O693" t="s">
        <v>4295</v>
      </c>
      <c r="P693" s="24" t="s">
        <v>76</v>
      </c>
      <c r="Q693" s="19">
        <v>717.24</v>
      </c>
    </row>
    <row r="694" spans="1:17">
      <c r="A694" t="s">
        <v>2581</v>
      </c>
      <c r="B694" s="23">
        <v>44949</v>
      </c>
      <c r="C694" s="23" t="str">
        <f t="shared" si="30"/>
        <v>Jan</v>
      </c>
      <c r="D694" s="23" t="str">
        <f t="shared" si="31"/>
        <v>2023</v>
      </c>
      <c r="E694" s="23" t="str">
        <f t="shared" si="32"/>
        <v>Q1</v>
      </c>
      <c r="F694" t="s">
        <v>2582</v>
      </c>
      <c r="G694" s="24" t="s">
        <v>73</v>
      </c>
      <c r="H694" s="17">
        <v>5</v>
      </c>
      <c r="I694" s="19">
        <v>196.84</v>
      </c>
      <c r="J694" t="s">
        <v>1560</v>
      </c>
      <c r="K694" s="24" t="s">
        <v>34</v>
      </c>
      <c r="L694" s="24" t="s">
        <v>50</v>
      </c>
      <c r="M694" t="s">
        <v>2583</v>
      </c>
      <c r="N694" s="17">
        <v>5</v>
      </c>
      <c r="O694" t="s">
        <v>81</v>
      </c>
      <c r="P694" s="24" t="s">
        <v>22</v>
      </c>
      <c r="Q694" s="19">
        <v>984.2</v>
      </c>
    </row>
    <row r="695" spans="1:17">
      <c r="A695" t="s">
        <v>2584</v>
      </c>
      <c r="B695" s="23">
        <v>45728</v>
      </c>
      <c r="C695" s="23" t="str">
        <f t="shared" si="30"/>
        <v>Mar</v>
      </c>
      <c r="D695" s="23" t="str">
        <f t="shared" si="31"/>
        <v>2025</v>
      </c>
      <c r="E695" s="23" t="str">
        <f t="shared" si="32"/>
        <v>Q1</v>
      </c>
      <c r="F695" t="s">
        <v>2585</v>
      </c>
      <c r="G695" s="24" t="s">
        <v>16</v>
      </c>
      <c r="H695" s="17">
        <v>1</v>
      </c>
      <c r="I695" s="19">
        <v>176.58</v>
      </c>
      <c r="J695" t="s">
        <v>2586</v>
      </c>
      <c r="K695" s="24" t="s">
        <v>18</v>
      </c>
      <c r="L695" s="24" t="s">
        <v>43</v>
      </c>
      <c r="M695" t="s">
        <v>2587</v>
      </c>
      <c r="N695" s="17">
        <v>4</v>
      </c>
      <c r="O695" t="s">
        <v>4295</v>
      </c>
      <c r="P695" s="24" t="s">
        <v>29</v>
      </c>
      <c r="Q695" s="19">
        <v>176.58</v>
      </c>
    </row>
    <row r="696" spans="1:17">
      <c r="A696" t="s">
        <v>2588</v>
      </c>
      <c r="B696" s="23">
        <v>45201</v>
      </c>
      <c r="C696" s="23" t="str">
        <f t="shared" si="30"/>
        <v>Oct</v>
      </c>
      <c r="D696" s="23" t="str">
        <f t="shared" si="31"/>
        <v>2023</v>
      </c>
      <c r="E696" s="23" t="str">
        <f t="shared" si="32"/>
        <v>Q4</v>
      </c>
      <c r="F696" t="s">
        <v>2589</v>
      </c>
      <c r="G696" s="24" t="s">
        <v>48</v>
      </c>
      <c r="H696" s="17">
        <v>4</v>
      </c>
      <c r="I696" s="19">
        <v>666.52</v>
      </c>
      <c r="J696" t="s">
        <v>1352</v>
      </c>
      <c r="K696" s="24" t="s">
        <v>65</v>
      </c>
      <c r="L696" s="24" t="s">
        <v>19</v>
      </c>
      <c r="M696" t="s">
        <v>2590</v>
      </c>
      <c r="N696" s="17">
        <v>8</v>
      </c>
      <c r="O696" t="s">
        <v>37</v>
      </c>
      <c r="P696" s="24" t="s">
        <v>38</v>
      </c>
      <c r="Q696" s="19">
        <v>2666.08</v>
      </c>
    </row>
    <row r="697" spans="1:17">
      <c r="A697" t="s">
        <v>2591</v>
      </c>
      <c r="B697" s="23">
        <v>45619</v>
      </c>
      <c r="C697" s="23" t="str">
        <f t="shared" si="30"/>
        <v>Nov</v>
      </c>
      <c r="D697" s="23" t="str">
        <f t="shared" si="31"/>
        <v>2024</v>
      </c>
      <c r="E697" s="23" t="str">
        <f t="shared" si="32"/>
        <v>Q4</v>
      </c>
      <c r="F697" t="s">
        <v>2592</v>
      </c>
      <c r="G697" s="24" t="s">
        <v>48</v>
      </c>
      <c r="H697" s="17">
        <v>5</v>
      </c>
      <c r="I697" s="19">
        <v>101.3</v>
      </c>
      <c r="J697" t="s">
        <v>727</v>
      </c>
      <c r="K697" s="24" t="s">
        <v>27</v>
      </c>
      <c r="L697" s="24" t="s">
        <v>19</v>
      </c>
      <c r="M697" t="s">
        <v>2593</v>
      </c>
      <c r="N697" s="17">
        <v>7</v>
      </c>
      <c r="O697" t="s">
        <v>37</v>
      </c>
      <c r="P697" s="24" t="s">
        <v>38</v>
      </c>
      <c r="Q697" s="19">
        <v>506.5</v>
      </c>
    </row>
    <row r="698" spans="1:17">
      <c r="A698" t="s">
        <v>2594</v>
      </c>
      <c r="B698" s="23">
        <v>45109</v>
      </c>
      <c r="C698" s="23" t="str">
        <f t="shared" si="30"/>
        <v>Jul</v>
      </c>
      <c r="D698" s="23" t="str">
        <f t="shared" si="31"/>
        <v>2023</v>
      </c>
      <c r="E698" s="23" t="str">
        <f t="shared" si="32"/>
        <v>Q3</v>
      </c>
      <c r="F698" t="s">
        <v>2595</v>
      </c>
      <c r="G698" s="24" t="s">
        <v>41</v>
      </c>
      <c r="H698" s="17">
        <v>4</v>
      </c>
      <c r="I698" s="19">
        <v>151.2</v>
      </c>
      <c r="J698" t="s">
        <v>2596</v>
      </c>
      <c r="K698" s="24" t="s">
        <v>60</v>
      </c>
      <c r="L698" s="24" t="s">
        <v>89</v>
      </c>
      <c r="M698" t="s">
        <v>2597</v>
      </c>
      <c r="N698" s="17">
        <v>9</v>
      </c>
      <c r="O698" t="s">
        <v>81</v>
      </c>
      <c r="P698" s="24" t="s">
        <v>45</v>
      </c>
      <c r="Q698" s="19">
        <v>604.8</v>
      </c>
    </row>
    <row r="699" spans="1:17">
      <c r="A699" t="s">
        <v>2598</v>
      </c>
      <c r="B699" s="23">
        <v>45692</v>
      </c>
      <c r="C699" s="23" t="str">
        <f t="shared" si="30"/>
        <v>Feb</v>
      </c>
      <c r="D699" s="23" t="str">
        <f t="shared" si="31"/>
        <v>2025</v>
      </c>
      <c r="E699" s="23" t="str">
        <f t="shared" si="32"/>
        <v>Q1</v>
      </c>
      <c r="F699" t="s">
        <v>2599</v>
      </c>
      <c r="G699" s="24" t="s">
        <v>48</v>
      </c>
      <c r="H699" s="17">
        <v>5</v>
      </c>
      <c r="I699" s="19">
        <v>94.85</v>
      </c>
      <c r="J699" t="s">
        <v>2294</v>
      </c>
      <c r="K699" s="24" t="s">
        <v>65</v>
      </c>
      <c r="L699" s="24" t="s">
        <v>19</v>
      </c>
      <c r="M699" t="s">
        <v>2600</v>
      </c>
      <c r="N699" s="17">
        <v>6</v>
      </c>
      <c r="O699" t="s">
        <v>81</v>
      </c>
      <c r="P699" s="24" t="s">
        <v>38</v>
      </c>
      <c r="Q699" s="19">
        <v>474.25</v>
      </c>
    </row>
    <row r="700" spans="1:17">
      <c r="A700" t="s">
        <v>2601</v>
      </c>
      <c r="B700" s="23">
        <v>44930</v>
      </c>
      <c r="C700" s="23" t="str">
        <f t="shared" si="30"/>
        <v>Jan</v>
      </c>
      <c r="D700" s="23" t="str">
        <f t="shared" si="31"/>
        <v>2023</v>
      </c>
      <c r="E700" s="23" t="str">
        <f t="shared" si="32"/>
        <v>Q1</v>
      </c>
      <c r="F700" t="s">
        <v>2602</v>
      </c>
      <c r="G700" s="24" t="s">
        <v>58</v>
      </c>
      <c r="H700" s="17">
        <v>2</v>
      </c>
      <c r="I700" s="19">
        <v>388.22</v>
      </c>
      <c r="J700" t="s">
        <v>1923</v>
      </c>
      <c r="K700" s="24" t="s">
        <v>65</v>
      </c>
      <c r="L700" s="24" t="s">
        <v>50</v>
      </c>
      <c r="M700" t="s">
        <v>2603</v>
      </c>
      <c r="N700" s="17">
        <v>2</v>
      </c>
      <c r="O700" t="s">
        <v>81</v>
      </c>
      <c r="P700" s="24" t="s">
        <v>22</v>
      </c>
      <c r="Q700" s="19">
        <v>776.44</v>
      </c>
    </row>
    <row r="701" spans="1:17">
      <c r="A701" t="s">
        <v>2604</v>
      </c>
      <c r="B701" s="23">
        <v>45243</v>
      </c>
      <c r="C701" s="23" t="str">
        <f t="shared" si="30"/>
        <v>Nov</v>
      </c>
      <c r="D701" s="23" t="str">
        <f t="shared" si="31"/>
        <v>2023</v>
      </c>
      <c r="E701" s="23" t="str">
        <f t="shared" si="32"/>
        <v>Q4</v>
      </c>
      <c r="F701" t="s">
        <v>2605</v>
      </c>
      <c r="G701" s="24" t="s">
        <v>58</v>
      </c>
      <c r="H701" s="17">
        <v>3</v>
      </c>
      <c r="I701" s="19">
        <v>614.15</v>
      </c>
      <c r="J701" t="s">
        <v>2606</v>
      </c>
      <c r="K701" s="24" t="s">
        <v>60</v>
      </c>
      <c r="L701" s="24" t="s">
        <v>35</v>
      </c>
      <c r="M701" t="s">
        <v>2607</v>
      </c>
      <c r="N701" s="17">
        <v>3</v>
      </c>
      <c r="O701" t="s">
        <v>4295</v>
      </c>
      <c r="P701" s="24" t="s">
        <v>45</v>
      </c>
      <c r="Q701" s="19">
        <v>1842.45</v>
      </c>
    </row>
    <row r="702" spans="1:17">
      <c r="A702" t="s">
        <v>2608</v>
      </c>
      <c r="B702" s="23">
        <v>45560</v>
      </c>
      <c r="C702" s="23" t="str">
        <f t="shared" si="30"/>
        <v>Sep</v>
      </c>
      <c r="D702" s="23" t="str">
        <f t="shared" si="31"/>
        <v>2024</v>
      </c>
      <c r="E702" s="23" t="str">
        <f t="shared" si="32"/>
        <v>Q3</v>
      </c>
      <c r="F702" t="s">
        <v>2609</v>
      </c>
      <c r="G702" s="24" t="s">
        <v>58</v>
      </c>
      <c r="H702" s="17">
        <v>2</v>
      </c>
      <c r="I702" s="19">
        <v>92.91</v>
      </c>
      <c r="J702" t="s">
        <v>2610</v>
      </c>
      <c r="K702" s="24" t="s">
        <v>65</v>
      </c>
      <c r="L702" s="24" t="s">
        <v>43</v>
      </c>
      <c r="M702" t="s">
        <v>2611</v>
      </c>
      <c r="N702" s="17">
        <v>3</v>
      </c>
      <c r="O702" t="s">
        <v>81</v>
      </c>
      <c r="P702" s="24" t="s">
        <v>22</v>
      </c>
      <c r="Q702" s="19">
        <v>185.82</v>
      </c>
    </row>
    <row r="703" spans="1:17">
      <c r="A703" t="s">
        <v>2612</v>
      </c>
      <c r="B703" s="23">
        <v>45466</v>
      </c>
      <c r="C703" s="23" t="str">
        <f t="shared" si="30"/>
        <v>Jun</v>
      </c>
      <c r="D703" s="23" t="str">
        <f t="shared" si="31"/>
        <v>2024</v>
      </c>
      <c r="E703" s="23" t="str">
        <f t="shared" si="32"/>
        <v>Q2</v>
      </c>
      <c r="F703" t="s">
        <v>2613</v>
      </c>
      <c r="G703" s="24" t="s">
        <v>16</v>
      </c>
      <c r="H703" s="17">
        <v>3</v>
      </c>
      <c r="I703" s="19">
        <v>92.22</v>
      </c>
      <c r="J703" t="s">
        <v>490</v>
      </c>
      <c r="K703" s="24" t="s">
        <v>34</v>
      </c>
      <c r="L703" s="24" t="s">
        <v>50</v>
      </c>
      <c r="M703" t="s">
        <v>2614</v>
      </c>
      <c r="N703" s="17">
        <v>5</v>
      </c>
      <c r="O703" t="s">
        <v>37</v>
      </c>
      <c r="P703" s="24" t="s">
        <v>38</v>
      </c>
      <c r="Q703" s="19">
        <v>276.66</v>
      </c>
    </row>
    <row r="704" spans="1:17">
      <c r="A704" t="s">
        <v>2615</v>
      </c>
      <c r="B704" s="23">
        <v>45452</v>
      </c>
      <c r="C704" s="23" t="str">
        <f t="shared" si="30"/>
        <v>Jun</v>
      </c>
      <c r="D704" s="23" t="str">
        <f t="shared" si="31"/>
        <v>2024</v>
      </c>
      <c r="E704" s="23" t="str">
        <f t="shared" si="32"/>
        <v>Q2</v>
      </c>
      <c r="F704" t="s">
        <v>2616</v>
      </c>
      <c r="G704" s="24" t="s">
        <v>48</v>
      </c>
      <c r="H704" s="17">
        <v>3</v>
      </c>
      <c r="I704" s="19">
        <v>562.55</v>
      </c>
      <c r="J704" t="s">
        <v>2311</v>
      </c>
      <c r="K704" s="24" t="s">
        <v>18</v>
      </c>
      <c r="L704" s="24" t="s">
        <v>43</v>
      </c>
      <c r="M704" t="s">
        <v>2617</v>
      </c>
      <c r="N704" s="17">
        <v>6</v>
      </c>
      <c r="O704" t="s">
        <v>4295</v>
      </c>
      <c r="P704" s="24" t="s">
        <v>38</v>
      </c>
      <c r="Q704" s="19">
        <v>1687.65</v>
      </c>
    </row>
    <row r="705" spans="1:17">
      <c r="A705" t="s">
        <v>2618</v>
      </c>
      <c r="B705" s="23">
        <v>45007</v>
      </c>
      <c r="C705" s="23" t="str">
        <f t="shared" si="30"/>
        <v>Mar</v>
      </c>
      <c r="D705" s="23" t="str">
        <f t="shared" si="31"/>
        <v>2023</v>
      </c>
      <c r="E705" s="23" t="str">
        <f t="shared" si="32"/>
        <v>Q1</v>
      </c>
      <c r="F705" t="s">
        <v>2619</v>
      </c>
      <c r="G705" s="24" t="s">
        <v>73</v>
      </c>
      <c r="H705" s="17">
        <v>1</v>
      </c>
      <c r="I705" s="19">
        <v>92.79</v>
      </c>
      <c r="J705" t="s">
        <v>2620</v>
      </c>
      <c r="K705" s="24" t="s">
        <v>65</v>
      </c>
      <c r="L705" s="24" t="s">
        <v>89</v>
      </c>
      <c r="M705" t="s">
        <v>2621</v>
      </c>
      <c r="N705" s="17">
        <v>3</v>
      </c>
      <c r="O705" t="s">
        <v>81</v>
      </c>
      <c r="P705" s="24" t="s">
        <v>38</v>
      </c>
      <c r="Q705" s="19">
        <v>92.79</v>
      </c>
    </row>
    <row r="706" spans="1:17">
      <c r="A706" t="s">
        <v>2622</v>
      </c>
      <c r="B706" s="23">
        <v>45080</v>
      </c>
      <c r="C706" s="23" t="str">
        <f t="shared" ref="C706:C769" si="33">TEXT(B706,"MMM")</f>
        <v>Jun</v>
      </c>
      <c r="D706" s="23" t="str">
        <f t="shared" ref="D706:D769" si="34">TEXT(B706,"YYYY")</f>
        <v>2023</v>
      </c>
      <c r="E706" s="23" t="str">
        <f t="shared" ref="E706:E769" si="35">"Q"&amp;ROUNDUP(MONTH(B706)/3,0)</f>
        <v>Q2</v>
      </c>
      <c r="F706" t="s">
        <v>2623</v>
      </c>
      <c r="G706" s="24" t="s">
        <v>73</v>
      </c>
      <c r="H706" s="17">
        <v>4</v>
      </c>
      <c r="I706" s="19">
        <v>30.27</v>
      </c>
      <c r="J706" t="s">
        <v>663</v>
      </c>
      <c r="K706" s="24" t="s">
        <v>27</v>
      </c>
      <c r="L706" s="24" t="s">
        <v>50</v>
      </c>
      <c r="M706" t="s">
        <v>2624</v>
      </c>
      <c r="N706" s="17">
        <v>9</v>
      </c>
      <c r="O706" t="s">
        <v>37</v>
      </c>
      <c r="P706" s="24" t="s">
        <v>76</v>
      </c>
      <c r="Q706" s="19">
        <v>121.08</v>
      </c>
    </row>
    <row r="707" spans="1:17">
      <c r="A707" t="s">
        <v>2625</v>
      </c>
      <c r="B707" s="23">
        <v>45746</v>
      </c>
      <c r="C707" s="23" t="str">
        <f t="shared" si="33"/>
        <v>Mar</v>
      </c>
      <c r="D707" s="23" t="str">
        <f t="shared" si="34"/>
        <v>2025</v>
      </c>
      <c r="E707" s="23" t="str">
        <f t="shared" si="35"/>
        <v>Q1</v>
      </c>
      <c r="F707" t="s">
        <v>2626</v>
      </c>
      <c r="G707" s="24" t="s">
        <v>16</v>
      </c>
      <c r="H707" s="17">
        <v>2</v>
      </c>
      <c r="I707" s="19">
        <v>49.08</v>
      </c>
      <c r="J707" t="s">
        <v>2627</v>
      </c>
      <c r="K707" s="24" t="s">
        <v>18</v>
      </c>
      <c r="L707" s="24" t="s">
        <v>43</v>
      </c>
      <c r="M707" t="s">
        <v>2628</v>
      </c>
      <c r="N707" s="17">
        <v>7</v>
      </c>
      <c r="O707" t="s">
        <v>37</v>
      </c>
      <c r="P707" s="24" t="s">
        <v>22</v>
      </c>
      <c r="Q707" s="19">
        <v>98.16</v>
      </c>
    </row>
    <row r="708" spans="1:17">
      <c r="A708" t="s">
        <v>2629</v>
      </c>
      <c r="B708" s="23">
        <v>45718</v>
      </c>
      <c r="C708" s="23" t="str">
        <f t="shared" si="33"/>
        <v>Mar</v>
      </c>
      <c r="D708" s="23" t="str">
        <f t="shared" si="34"/>
        <v>2025</v>
      </c>
      <c r="E708" s="23" t="str">
        <f t="shared" si="35"/>
        <v>Q1</v>
      </c>
      <c r="F708" t="s">
        <v>2630</v>
      </c>
      <c r="G708" s="24" t="s">
        <v>73</v>
      </c>
      <c r="H708" s="17">
        <v>5</v>
      </c>
      <c r="I708" s="19">
        <v>228.09</v>
      </c>
      <c r="J708" t="s">
        <v>1470</v>
      </c>
      <c r="K708" s="24" t="s">
        <v>60</v>
      </c>
      <c r="L708" s="24" t="s">
        <v>43</v>
      </c>
      <c r="M708" t="s">
        <v>2631</v>
      </c>
      <c r="N708" s="17">
        <v>9</v>
      </c>
      <c r="O708" t="s">
        <v>37</v>
      </c>
      <c r="P708" s="24" t="s">
        <v>45</v>
      </c>
      <c r="Q708" s="19">
        <v>1140.45</v>
      </c>
    </row>
    <row r="709" spans="1:17">
      <c r="A709" t="s">
        <v>2632</v>
      </c>
      <c r="B709" s="23">
        <v>45597</v>
      </c>
      <c r="C709" s="23" t="str">
        <f t="shared" si="33"/>
        <v>Nov</v>
      </c>
      <c r="D709" s="23" t="str">
        <f t="shared" si="34"/>
        <v>2024</v>
      </c>
      <c r="E709" s="23" t="str">
        <f t="shared" si="35"/>
        <v>Q4</v>
      </c>
      <c r="F709" t="s">
        <v>2633</v>
      </c>
      <c r="G709" s="24" t="s">
        <v>41</v>
      </c>
      <c r="H709" s="17">
        <v>4</v>
      </c>
      <c r="I709" s="19">
        <v>650.04</v>
      </c>
      <c r="J709" t="s">
        <v>367</v>
      </c>
      <c r="K709" s="24" t="s">
        <v>60</v>
      </c>
      <c r="L709" s="24" t="s">
        <v>35</v>
      </c>
      <c r="M709" t="s">
        <v>2634</v>
      </c>
      <c r="N709" s="17">
        <v>6</v>
      </c>
      <c r="O709" t="s">
        <v>21</v>
      </c>
      <c r="P709" s="24" t="s">
        <v>45</v>
      </c>
      <c r="Q709" s="19">
        <v>2600.16</v>
      </c>
    </row>
    <row r="710" spans="1:17">
      <c r="A710" t="s">
        <v>2635</v>
      </c>
      <c r="B710" s="23">
        <v>45720</v>
      </c>
      <c r="C710" s="23" t="str">
        <f t="shared" si="33"/>
        <v>Mar</v>
      </c>
      <c r="D710" s="23" t="str">
        <f t="shared" si="34"/>
        <v>2025</v>
      </c>
      <c r="E710" s="23" t="str">
        <f t="shared" si="35"/>
        <v>Q1</v>
      </c>
      <c r="F710" t="s">
        <v>2636</v>
      </c>
      <c r="G710" s="24" t="s">
        <v>48</v>
      </c>
      <c r="H710" s="17">
        <v>1</v>
      </c>
      <c r="I710" s="19">
        <v>665.11</v>
      </c>
      <c r="J710" t="s">
        <v>2294</v>
      </c>
      <c r="K710" s="24" t="s">
        <v>65</v>
      </c>
      <c r="L710" s="24" t="s">
        <v>89</v>
      </c>
      <c r="M710" t="s">
        <v>2637</v>
      </c>
      <c r="N710" s="17">
        <v>3</v>
      </c>
      <c r="O710" t="s">
        <v>37</v>
      </c>
      <c r="P710" s="24" t="s">
        <v>22</v>
      </c>
      <c r="Q710" s="19">
        <v>665.11</v>
      </c>
    </row>
    <row r="711" spans="1:17">
      <c r="A711" t="s">
        <v>2638</v>
      </c>
      <c r="B711" s="23">
        <v>45633</v>
      </c>
      <c r="C711" s="23" t="str">
        <f t="shared" si="33"/>
        <v>Dec</v>
      </c>
      <c r="D711" s="23" t="str">
        <f t="shared" si="34"/>
        <v>2024</v>
      </c>
      <c r="E711" s="23" t="str">
        <f t="shared" si="35"/>
        <v>Q4</v>
      </c>
      <c r="F711" t="s">
        <v>2639</v>
      </c>
      <c r="G711" s="24" t="s">
        <v>73</v>
      </c>
      <c r="H711" s="17">
        <v>1</v>
      </c>
      <c r="I711" s="19">
        <v>386.03</v>
      </c>
      <c r="J711" t="s">
        <v>2640</v>
      </c>
      <c r="K711" s="24" t="s">
        <v>27</v>
      </c>
      <c r="L711" s="24" t="s">
        <v>89</v>
      </c>
      <c r="M711" t="s">
        <v>2641</v>
      </c>
      <c r="N711" s="17">
        <v>4</v>
      </c>
      <c r="O711" t="s">
        <v>37</v>
      </c>
      <c r="P711" s="24" t="s">
        <v>76</v>
      </c>
      <c r="Q711" s="19">
        <v>386.03</v>
      </c>
    </row>
    <row r="712" spans="1:17">
      <c r="A712" t="s">
        <v>2642</v>
      </c>
      <c r="B712" s="23">
        <v>45495</v>
      </c>
      <c r="C712" s="23" t="str">
        <f t="shared" si="33"/>
        <v>Jul</v>
      </c>
      <c r="D712" s="23" t="str">
        <f t="shared" si="34"/>
        <v>2024</v>
      </c>
      <c r="E712" s="23" t="str">
        <f t="shared" si="35"/>
        <v>Q3</v>
      </c>
      <c r="F712" t="s">
        <v>2643</v>
      </c>
      <c r="G712" s="24" t="s">
        <v>58</v>
      </c>
      <c r="H712" s="17">
        <v>5</v>
      </c>
      <c r="I712" s="19">
        <v>21.54</v>
      </c>
      <c r="J712" t="s">
        <v>2644</v>
      </c>
      <c r="K712" s="24" t="s">
        <v>60</v>
      </c>
      <c r="L712" s="24" t="s">
        <v>43</v>
      </c>
      <c r="M712" t="s">
        <v>2645</v>
      </c>
      <c r="N712" s="17">
        <v>10</v>
      </c>
      <c r="O712" t="s">
        <v>4295</v>
      </c>
      <c r="P712" s="24" t="s">
        <v>76</v>
      </c>
      <c r="Q712" s="19">
        <v>107.7</v>
      </c>
    </row>
    <row r="713" spans="1:17">
      <c r="A713" t="s">
        <v>2646</v>
      </c>
      <c r="B713" s="23">
        <v>45477</v>
      </c>
      <c r="C713" s="23" t="str">
        <f t="shared" si="33"/>
        <v>Jul</v>
      </c>
      <c r="D713" s="23" t="str">
        <f t="shared" si="34"/>
        <v>2024</v>
      </c>
      <c r="E713" s="23" t="str">
        <f t="shared" si="35"/>
        <v>Q3</v>
      </c>
      <c r="F713" t="s">
        <v>2647</v>
      </c>
      <c r="G713" s="24" t="s">
        <v>32</v>
      </c>
      <c r="H713" s="17">
        <v>2</v>
      </c>
      <c r="I713" s="19">
        <v>475.78</v>
      </c>
      <c r="J713" t="s">
        <v>2648</v>
      </c>
      <c r="K713" s="24" t="s">
        <v>27</v>
      </c>
      <c r="L713" s="24" t="s">
        <v>19</v>
      </c>
      <c r="M713" t="s">
        <v>2649</v>
      </c>
      <c r="N713" s="17">
        <v>2</v>
      </c>
      <c r="O713" t="s">
        <v>81</v>
      </c>
      <c r="P713" s="24" t="s">
        <v>76</v>
      </c>
      <c r="Q713" s="19">
        <v>951.56</v>
      </c>
    </row>
    <row r="714" spans="1:17">
      <c r="A714" t="s">
        <v>2650</v>
      </c>
      <c r="B714" s="23">
        <v>45300</v>
      </c>
      <c r="C714" s="23" t="str">
        <f t="shared" si="33"/>
        <v>Jan</v>
      </c>
      <c r="D714" s="23" t="str">
        <f t="shared" si="34"/>
        <v>2024</v>
      </c>
      <c r="E714" s="23" t="str">
        <f t="shared" si="35"/>
        <v>Q1</v>
      </c>
      <c r="F714" t="s">
        <v>2119</v>
      </c>
      <c r="G714" s="24" t="s">
        <v>32</v>
      </c>
      <c r="H714" s="17">
        <v>2</v>
      </c>
      <c r="I714" s="19">
        <v>68.4</v>
      </c>
      <c r="J714" t="s">
        <v>2651</v>
      </c>
      <c r="K714" s="24" t="s">
        <v>60</v>
      </c>
      <c r="L714" s="24" t="s">
        <v>89</v>
      </c>
      <c r="M714" t="s">
        <v>2652</v>
      </c>
      <c r="N714" s="17">
        <v>7</v>
      </c>
      <c r="O714" t="s">
        <v>37</v>
      </c>
      <c r="P714" s="24" t="s">
        <v>38</v>
      </c>
      <c r="Q714" s="19">
        <v>136.8</v>
      </c>
    </row>
    <row r="715" spans="1:17">
      <c r="A715" t="s">
        <v>2653</v>
      </c>
      <c r="B715" s="23">
        <v>45829</v>
      </c>
      <c r="C715" s="23" t="str">
        <f t="shared" si="33"/>
        <v>Jun</v>
      </c>
      <c r="D715" s="23" t="str">
        <f t="shared" si="34"/>
        <v>2025</v>
      </c>
      <c r="E715" s="23" t="str">
        <f t="shared" si="35"/>
        <v>Q2</v>
      </c>
      <c r="F715" t="s">
        <v>2654</v>
      </c>
      <c r="G715" s="24" t="s">
        <v>32</v>
      </c>
      <c r="H715" s="17">
        <v>4</v>
      </c>
      <c r="I715" s="19">
        <v>532.49</v>
      </c>
      <c r="J715" t="s">
        <v>2557</v>
      </c>
      <c r="K715" s="24" t="s">
        <v>27</v>
      </c>
      <c r="L715" s="24" t="s">
        <v>35</v>
      </c>
      <c r="M715" t="s">
        <v>2655</v>
      </c>
      <c r="N715" s="17">
        <v>6</v>
      </c>
      <c r="O715" t="s">
        <v>21</v>
      </c>
      <c r="P715" s="24" t="s">
        <v>45</v>
      </c>
      <c r="Q715" s="19">
        <v>2129.96</v>
      </c>
    </row>
    <row r="716" spans="1:17">
      <c r="A716" t="s">
        <v>2656</v>
      </c>
      <c r="B716" s="23">
        <v>45037</v>
      </c>
      <c r="C716" s="23" t="str">
        <f t="shared" si="33"/>
        <v>Apr</v>
      </c>
      <c r="D716" s="23" t="str">
        <f t="shared" si="34"/>
        <v>2023</v>
      </c>
      <c r="E716" s="23" t="str">
        <f t="shared" si="35"/>
        <v>Q2</v>
      </c>
      <c r="F716" t="s">
        <v>2657</v>
      </c>
      <c r="G716" s="24" t="s">
        <v>58</v>
      </c>
      <c r="H716" s="17">
        <v>1</v>
      </c>
      <c r="I716" s="19">
        <v>51.73</v>
      </c>
      <c r="J716" t="s">
        <v>1176</v>
      </c>
      <c r="K716" s="24" t="s">
        <v>18</v>
      </c>
      <c r="L716" s="24" t="s">
        <v>89</v>
      </c>
      <c r="M716" t="s">
        <v>2658</v>
      </c>
      <c r="N716" s="17">
        <v>1</v>
      </c>
      <c r="O716" t="s">
        <v>37</v>
      </c>
      <c r="P716" s="24" t="s">
        <v>45</v>
      </c>
      <c r="Q716" s="19">
        <v>51.73</v>
      </c>
    </row>
    <row r="717" spans="1:17">
      <c r="A717" t="s">
        <v>2659</v>
      </c>
      <c r="B717" s="23">
        <v>45499</v>
      </c>
      <c r="C717" s="23" t="str">
        <f t="shared" si="33"/>
        <v>Jul</v>
      </c>
      <c r="D717" s="23" t="str">
        <f t="shared" si="34"/>
        <v>2024</v>
      </c>
      <c r="E717" s="23" t="str">
        <f t="shared" si="35"/>
        <v>Q3</v>
      </c>
      <c r="F717" t="s">
        <v>2660</v>
      </c>
      <c r="G717" s="24" t="s">
        <v>48</v>
      </c>
      <c r="H717" s="17">
        <v>3</v>
      </c>
      <c r="I717" s="19">
        <v>653.63</v>
      </c>
      <c r="J717" t="s">
        <v>2661</v>
      </c>
      <c r="K717" s="24" t="s">
        <v>27</v>
      </c>
      <c r="L717" s="24" t="s">
        <v>50</v>
      </c>
      <c r="M717" t="s">
        <v>2662</v>
      </c>
      <c r="N717" s="17">
        <v>7</v>
      </c>
      <c r="O717" t="s">
        <v>37</v>
      </c>
      <c r="P717" s="24" t="s">
        <v>38</v>
      </c>
      <c r="Q717" s="19">
        <v>1960.89</v>
      </c>
    </row>
    <row r="718" spans="1:17">
      <c r="A718" t="s">
        <v>2663</v>
      </c>
      <c r="B718" s="23">
        <v>45456</v>
      </c>
      <c r="C718" s="23" t="str">
        <f t="shared" si="33"/>
        <v>Jun</v>
      </c>
      <c r="D718" s="23" t="str">
        <f t="shared" si="34"/>
        <v>2024</v>
      </c>
      <c r="E718" s="23" t="str">
        <f t="shared" si="35"/>
        <v>Q2</v>
      </c>
      <c r="F718" t="s">
        <v>2664</v>
      </c>
      <c r="G718" s="24" t="s">
        <v>41</v>
      </c>
      <c r="H718" s="17">
        <v>3</v>
      </c>
      <c r="I718" s="19">
        <v>454.29</v>
      </c>
      <c r="J718" t="s">
        <v>113</v>
      </c>
      <c r="K718" s="24" t="s">
        <v>34</v>
      </c>
      <c r="L718" s="24" t="s">
        <v>89</v>
      </c>
      <c r="M718" t="s">
        <v>2665</v>
      </c>
      <c r="N718" s="17">
        <v>4</v>
      </c>
      <c r="O718" t="s">
        <v>81</v>
      </c>
      <c r="P718" s="24" t="s">
        <v>76</v>
      </c>
      <c r="Q718" s="19">
        <v>1362.87</v>
      </c>
    </row>
    <row r="719" spans="1:17">
      <c r="A719" t="s">
        <v>2666</v>
      </c>
      <c r="B719" s="23">
        <v>45215</v>
      </c>
      <c r="C719" s="23" t="str">
        <f t="shared" si="33"/>
        <v>Oct</v>
      </c>
      <c r="D719" s="23" t="str">
        <f t="shared" si="34"/>
        <v>2023</v>
      </c>
      <c r="E719" s="23" t="str">
        <f t="shared" si="35"/>
        <v>Q4</v>
      </c>
      <c r="F719" t="s">
        <v>2667</v>
      </c>
      <c r="G719" s="24" t="s">
        <v>41</v>
      </c>
      <c r="H719" s="17">
        <v>3</v>
      </c>
      <c r="I719" s="19">
        <v>122.11</v>
      </c>
      <c r="J719" t="s">
        <v>2668</v>
      </c>
      <c r="K719" s="24" t="s">
        <v>27</v>
      </c>
      <c r="L719" s="24" t="s">
        <v>50</v>
      </c>
      <c r="M719" t="s">
        <v>2669</v>
      </c>
      <c r="N719" s="17">
        <v>4</v>
      </c>
      <c r="O719" t="s">
        <v>81</v>
      </c>
      <c r="P719" s="24" t="s">
        <v>38</v>
      </c>
      <c r="Q719" s="19">
        <v>366.33</v>
      </c>
    </row>
    <row r="720" spans="1:17">
      <c r="A720" t="s">
        <v>2670</v>
      </c>
      <c r="B720" s="23">
        <v>45024</v>
      </c>
      <c r="C720" s="23" t="str">
        <f t="shared" si="33"/>
        <v>Apr</v>
      </c>
      <c r="D720" s="23" t="str">
        <f t="shared" si="34"/>
        <v>2023</v>
      </c>
      <c r="E720" s="23" t="str">
        <f t="shared" si="35"/>
        <v>Q2</v>
      </c>
      <c r="F720" t="s">
        <v>2671</v>
      </c>
      <c r="G720" s="24" t="s">
        <v>58</v>
      </c>
      <c r="H720" s="17">
        <v>4</v>
      </c>
      <c r="I720" s="19">
        <v>64.74</v>
      </c>
      <c r="J720" t="s">
        <v>2672</v>
      </c>
      <c r="K720" s="24" t="s">
        <v>60</v>
      </c>
      <c r="L720" s="24" t="s">
        <v>35</v>
      </c>
      <c r="M720" t="s">
        <v>2673</v>
      </c>
      <c r="N720" s="17">
        <v>8</v>
      </c>
      <c r="O720" t="s">
        <v>21</v>
      </c>
      <c r="P720" s="24" t="s">
        <v>76</v>
      </c>
      <c r="Q720" s="19">
        <v>258.96</v>
      </c>
    </row>
    <row r="721" spans="1:17">
      <c r="A721" t="s">
        <v>2674</v>
      </c>
      <c r="B721" s="23">
        <v>45312</v>
      </c>
      <c r="C721" s="23" t="str">
        <f t="shared" si="33"/>
        <v>Jan</v>
      </c>
      <c r="D721" s="23" t="str">
        <f t="shared" si="34"/>
        <v>2024</v>
      </c>
      <c r="E721" s="23" t="str">
        <f t="shared" si="35"/>
        <v>Q1</v>
      </c>
      <c r="F721" t="s">
        <v>2675</v>
      </c>
      <c r="G721" s="24" t="s">
        <v>58</v>
      </c>
      <c r="H721" s="17">
        <v>2</v>
      </c>
      <c r="I721" s="19">
        <v>681.06</v>
      </c>
      <c r="J721" t="s">
        <v>2676</v>
      </c>
      <c r="K721" s="24" t="s">
        <v>18</v>
      </c>
      <c r="L721" s="24" t="s">
        <v>19</v>
      </c>
      <c r="M721" t="s">
        <v>2677</v>
      </c>
      <c r="N721" s="17">
        <v>3</v>
      </c>
      <c r="O721" t="s">
        <v>37</v>
      </c>
      <c r="P721" s="24" t="s">
        <v>45</v>
      </c>
      <c r="Q721" s="19">
        <v>1362.12</v>
      </c>
    </row>
    <row r="722" spans="1:17">
      <c r="A722" t="s">
        <v>2678</v>
      </c>
      <c r="B722" s="23">
        <v>45190</v>
      </c>
      <c r="C722" s="23" t="str">
        <f t="shared" si="33"/>
        <v>Sep</v>
      </c>
      <c r="D722" s="23" t="str">
        <f t="shared" si="34"/>
        <v>2023</v>
      </c>
      <c r="E722" s="23" t="str">
        <f t="shared" si="35"/>
        <v>Q3</v>
      </c>
      <c r="F722" t="s">
        <v>2679</v>
      </c>
      <c r="G722" s="24" t="s">
        <v>73</v>
      </c>
      <c r="H722" s="17">
        <v>5</v>
      </c>
      <c r="I722" s="19">
        <v>128.95</v>
      </c>
      <c r="J722" t="s">
        <v>2680</v>
      </c>
      <c r="K722" s="24" t="s">
        <v>65</v>
      </c>
      <c r="L722" s="24" t="s">
        <v>89</v>
      </c>
      <c r="M722" t="s">
        <v>2681</v>
      </c>
      <c r="N722" s="17">
        <v>10</v>
      </c>
      <c r="O722" t="s">
        <v>37</v>
      </c>
      <c r="P722" s="24" t="s">
        <v>22</v>
      </c>
      <c r="Q722" s="19">
        <v>644.75</v>
      </c>
    </row>
    <row r="723" spans="1:17">
      <c r="A723" t="s">
        <v>2682</v>
      </c>
      <c r="B723" s="23">
        <v>45369</v>
      </c>
      <c r="C723" s="23" t="str">
        <f t="shared" si="33"/>
        <v>Mar</v>
      </c>
      <c r="D723" s="23" t="str">
        <f t="shared" si="34"/>
        <v>2024</v>
      </c>
      <c r="E723" s="23" t="str">
        <f t="shared" si="35"/>
        <v>Q1</v>
      </c>
      <c r="F723" t="s">
        <v>2683</v>
      </c>
      <c r="G723" s="24" t="s">
        <v>73</v>
      </c>
      <c r="H723" s="17">
        <v>2</v>
      </c>
      <c r="I723" s="19">
        <v>118.59</v>
      </c>
      <c r="J723" t="s">
        <v>2684</v>
      </c>
      <c r="K723" s="24" t="s">
        <v>34</v>
      </c>
      <c r="L723" s="24" t="s">
        <v>50</v>
      </c>
      <c r="M723" t="s">
        <v>2685</v>
      </c>
      <c r="N723" s="17">
        <v>2</v>
      </c>
      <c r="O723" t="s">
        <v>4295</v>
      </c>
      <c r="P723" s="24" t="s">
        <v>38</v>
      </c>
      <c r="Q723" s="19">
        <v>237.18</v>
      </c>
    </row>
    <row r="724" spans="1:17">
      <c r="A724" t="s">
        <v>2686</v>
      </c>
      <c r="B724" s="23">
        <v>45611</v>
      </c>
      <c r="C724" s="23" t="str">
        <f t="shared" si="33"/>
        <v>Nov</v>
      </c>
      <c r="D724" s="23" t="str">
        <f t="shared" si="34"/>
        <v>2024</v>
      </c>
      <c r="E724" s="23" t="str">
        <f t="shared" si="35"/>
        <v>Q4</v>
      </c>
      <c r="F724" t="s">
        <v>2687</v>
      </c>
      <c r="G724" s="24" t="s">
        <v>48</v>
      </c>
      <c r="H724" s="17">
        <v>1</v>
      </c>
      <c r="I724" s="19">
        <v>95.1</v>
      </c>
      <c r="J724" t="s">
        <v>1137</v>
      </c>
      <c r="K724" s="24" t="s">
        <v>60</v>
      </c>
      <c r="L724" s="24" t="s">
        <v>89</v>
      </c>
      <c r="M724" t="s">
        <v>2688</v>
      </c>
      <c r="N724" s="17">
        <v>1</v>
      </c>
      <c r="O724" t="s">
        <v>81</v>
      </c>
      <c r="P724" s="24" t="s">
        <v>22</v>
      </c>
      <c r="Q724" s="19">
        <v>95.1</v>
      </c>
    </row>
    <row r="725" spans="1:17">
      <c r="A725" t="s">
        <v>2689</v>
      </c>
      <c r="B725" s="23">
        <v>45269</v>
      </c>
      <c r="C725" s="23" t="str">
        <f t="shared" si="33"/>
        <v>Dec</v>
      </c>
      <c r="D725" s="23" t="str">
        <f t="shared" si="34"/>
        <v>2023</v>
      </c>
      <c r="E725" s="23" t="str">
        <f t="shared" si="35"/>
        <v>Q4</v>
      </c>
      <c r="F725" t="s">
        <v>2690</v>
      </c>
      <c r="G725" s="24" t="s">
        <v>73</v>
      </c>
      <c r="H725" s="17">
        <v>3</v>
      </c>
      <c r="I725" s="19">
        <v>54.95</v>
      </c>
      <c r="J725" t="s">
        <v>297</v>
      </c>
      <c r="K725" s="24" t="s">
        <v>65</v>
      </c>
      <c r="L725" s="24" t="s">
        <v>43</v>
      </c>
      <c r="M725" t="s">
        <v>2691</v>
      </c>
      <c r="N725" s="17">
        <v>8</v>
      </c>
      <c r="O725" t="s">
        <v>21</v>
      </c>
      <c r="P725" s="24" t="s">
        <v>29</v>
      </c>
      <c r="Q725" s="19">
        <v>164.85</v>
      </c>
    </row>
    <row r="726" spans="1:17">
      <c r="A726" t="s">
        <v>2692</v>
      </c>
      <c r="B726" s="23">
        <v>45583</v>
      </c>
      <c r="C726" s="23" t="str">
        <f t="shared" si="33"/>
        <v>Oct</v>
      </c>
      <c r="D726" s="23" t="str">
        <f t="shared" si="34"/>
        <v>2024</v>
      </c>
      <c r="E726" s="23" t="str">
        <f t="shared" si="35"/>
        <v>Q4</v>
      </c>
      <c r="F726" t="s">
        <v>2693</v>
      </c>
      <c r="G726" s="24" t="s">
        <v>48</v>
      </c>
      <c r="H726" s="17">
        <v>3</v>
      </c>
      <c r="I726" s="19">
        <v>136.97</v>
      </c>
      <c r="J726" t="s">
        <v>1210</v>
      </c>
      <c r="K726" s="24" t="s">
        <v>34</v>
      </c>
      <c r="L726" s="24" t="s">
        <v>43</v>
      </c>
      <c r="M726" t="s">
        <v>2694</v>
      </c>
      <c r="N726" s="17">
        <v>4</v>
      </c>
      <c r="O726" t="s">
        <v>37</v>
      </c>
      <c r="P726" s="24" t="s">
        <v>29</v>
      </c>
      <c r="Q726" s="19">
        <v>410.91</v>
      </c>
    </row>
    <row r="727" spans="1:17">
      <c r="A727" t="s">
        <v>2695</v>
      </c>
      <c r="B727" s="23">
        <v>44997</v>
      </c>
      <c r="C727" s="23" t="str">
        <f t="shared" si="33"/>
        <v>Mar</v>
      </c>
      <c r="D727" s="23" t="str">
        <f t="shared" si="34"/>
        <v>2023</v>
      </c>
      <c r="E727" s="23" t="str">
        <f t="shared" si="35"/>
        <v>Q1</v>
      </c>
      <c r="F727" t="s">
        <v>2696</v>
      </c>
      <c r="G727" s="24" t="s">
        <v>41</v>
      </c>
      <c r="H727" s="17">
        <v>2</v>
      </c>
      <c r="I727" s="19">
        <v>194.85</v>
      </c>
      <c r="J727" t="s">
        <v>1897</v>
      </c>
      <c r="K727" s="24" t="s">
        <v>60</v>
      </c>
      <c r="L727" s="24" t="s">
        <v>43</v>
      </c>
      <c r="M727" t="s">
        <v>2697</v>
      </c>
      <c r="N727" s="17">
        <v>5</v>
      </c>
      <c r="O727" t="s">
        <v>4295</v>
      </c>
      <c r="P727" s="24" t="s">
        <v>29</v>
      </c>
      <c r="Q727" s="19">
        <v>389.7</v>
      </c>
    </row>
    <row r="728" spans="1:17">
      <c r="A728" t="s">
        <v>2698</v>
      </c>
      <c r="B728" s="23">
        <v>45590</v>
      </c>
      <c r="C728" s="23" t="str">
        <f t="shared" si="33"/>
        <v>Oct</v>
      </c>
      <c r="D728" s="23" t="str">
        <f t="shared" si="34"/>
        <v>2024</v>
      </c>
      <c r="E728" s="23" t="str">
        <f t="shared" si="35"/>
        <v>Q4</v>
      </c>
      <c r="F728" t="s">
        <v>2699</v>
      </c>
      <c r="G728" s="24" t="s">
        <v>58</v>
      </c>
      <c r="H728" s="17">
        <v>4</v>
      </c>
      <c r="I728" s="19">
        <v>583.02</v>
      </c>
      <c r="J728" t="s">
        <v>2700</v>
      </c>
      <c r="K728" s="24" t="s">
        <v>27</v>
      </c>
      <c r="L728" s="24" t="s">
        <v>50</v>
      </c>
      <c r="M728" t="s">
        <v>2701</v>
      </c>
      <c r="N728" s="17">
        <v>4</v>
      </c>
      <c r="O728" t="s">
        <v>37</v>
      </c>
      <c r="P728" s="24" t="s">
        <v>45</v>
      </c>
      <c r="Q728" s="19">
        <v>2332.08</v>
      </c>
    </row>
    <row r="729" spans="1:17">
      <c r="A729" t="s">
        <v>2702</v>
      </c>
      <c r="B729" s="23">
        <v>45564</v>
      </c>
      <c r="C729" s="23" t="str">
        <f t="shared" si="33"/>
        <v>Sep</v>
      </c>
      <c r="D729" s="23" t="str">
        <f t="shared" si="34"/>
        <v>2024</v>
      </c>
      <c r="E729" s="23" t="str">
        <f t="shared" si="35"/>
        <v>Q3</v>
      </c>
      <c r="F729" t="s">
        <v>2703</v>
      </c>
      <c r="G729" s="24" t="s">
        <v>41</v>
      </c>
      <c r="H729" s="17">
        <v>5</v>
      </c>
      <c r="I729" s="19">
        <v>95.75</v>
      </c>
      <c r="J729" t="s">
        <v>1660</v>
      </c>
      <c r="K729" s="24" t="s">
        <v>27</v>
      </c>
      <c r="L729" s="24" t="s">
        <v>19</v>
      </c>
      <c r="M729" t="s">
        <v>2704</v>
      </c>
      <c r="N729" s="17">
        <v>8</v>
      </c>
      <c r="O729" t="s">
        <v>21</v>
      </c>
      <c r="P729" s="24" t="s">
        <v>22</v>
      </c>
      <c r="Q729" s="19">
        <v>478.75</v>
      </c>
    </row>
    <row r="730" spans="1:17">
      <c r="A730" t="s">
        <v>2705</v>
      </c>
      <c r="B730" s="23">
        <v>45502</v>
      </c>
      <c r="C730" s="23" t="str">
        <f t="shared" si="33"/>
        <v>Jul</v>
      </c>
      <c r="D730" s="23" t="str">
        <f t="shared" si="34"/>
        <v>2024</v>
      </c>
      <c r="E730" s="23" t="str">
        <f t="shared" si="35"/>
        <v>Q3</v>
      </c>
      <c r="F730" t="s">
        <v>2706</v>
      </c>
      <c r="G730" s="24" t="s">
        <v>73</v>
      </c>
      <c r="H730" s="17">
        <v>4</v>
      </c>
      <c r="I730" s="19">
        <v>325.76</v>
      </c>
      <c r="J730" t="s">
        <v>2707</v>
      </c>
      <c r="K730" s="24" t="s">
        <v>60</v>
      </c>
      <c r="L730" s="24" t="s">
        <v>19</v>
      </c>
      <c r="M730" t="s">
        <v>2708</v>
      </c>
      <c r="N730" s="17">
        <v>8</v>
      </c>
      <c r="O730" t="s">
        <v>81</v>
      </c>
      <c r="P730" s="24" t="s">
        <v>38</v>
      </c>
      <c r="Q730" s="19">
        <v>1303.04</v>
      </c>
    </row>
    <row r="731" spans="1:17">
      <c r="A731" t="s">
        <v>2709</v>
      </c>
      <c r="B731" s="23">
        <v>45177</v>
      </c>
      <c r="C731" s="23" t="str">
        <f t="shared" si="33"/>
        <v>Sep</v>
      </c>
      <c r="D731" s="23" t="str">
        <f t="shared" si="34"/>
        <v>2023</v>
      </c>
      <c r="E731" s="23" t="str">
        <f t="shared" si="35"/>
        <v>Q3</v>
      </c>
      <c r="F731" t="s">
        <v>2710</v>
      </c>
      <c r="G731" s="24" t="s">
        <v>25</v>
      </c>
      <c r="H731" s="17">
        <v>4</v>
      </c>
      <c r="I731" s="19">
        <v>186.41</v>
      </c>
      <c r="J731" t="s">
        <v>663</v>
      </c>
      <c r="K731" s="24" t="s">
        <v>60</v>
      </c>
      <c r="L731" s="24" t="s">
        <v>89</v>
      </c>
      <c r="M731" t="s">
        <v>2711</v>
      </c>
      <c r="N731" s="17">
        <v>6</v>
      </c>
      <c r="O731" t="s">
        <v>21</v>
      </c>
      <c r="P731" s="24" t="s">
        <v>76</v>
      </c>
      <c r="Q731" s="19">
        <v>745.64</v>
      </c>
    </row>
    <row r="732" spans="1:17">
      <c r="A732" t="s">
        <v>2712</v>
      </c>
      <c r="B732" s="23">
        <v>45710</v>
      </c>
      <c r="C732" s="23" t="str">
        <f t="shared" si="33"/>
        <v>Feb</v>
      </c>
      <c r="D732" s="23" t="str">
        <f t="shared" si="34"/>
        <v>2025</v>
      </c>
      <c r="E732" s="23" t="str">
        <f t="shared" si="35"/>
        <v>Q1</v>
      </c>
      <c r="F732" t="s">
        <v>2713</v>
      </c>
      <c r="G732" s="24" t="s">
        <v>25</v>
      </c>
      <c r="H732" s="17">
        <v>1</v>
      </c>
      <c r="I732" s="19">
        <v>474.6</v>
      </c>
      <c r="J732" t="s">
        <v>972</v>
      </c>
      <c r="K732" s="24" t="s">
        <v>18</v>
      </c>
      <c r="L732" s="24" t="s">
        <v>50</v>
      </c>
      <c r="M732" t="s">
        <v>2714</v>
      </c>
      <c r="N732" s="17">
        <v>4</v>
      </c>
      <c r="O732" t="s">
        <v>21</v>
      </c>
      <c r="P732" s="24" t="s">
        <v>38</v>
      </c>
      <c r="Q732" s="19">
        <v>474.6</v>
      </c>
    </row>
    <row r="733" spans="1:17">
      <c r="A733" t="s">
        <v>2715</v>
      </c>
      <c r="B733" s="23">
        <v>45450</v>
      </c>
      <c r="C733" s="23" t="str">
        <f t="shared" si="33"/>
        <v>Jun</v>
      </c>
      <c r="D733" s="23" t="str">
        <f t="shared" si="34"/>
        <v>2024</v>
      </c>
      <c r="E733" s="23" t="str">
        <f t="shared" si="35"/>
        <v>Q2</v>
      </c>
      <c r="F733" t="s">
        <v>2716</v>
      </c>
      <c r="G733" s="24" t="s">
        <v>48</v>
      </c>
      <c r="H733" s="17">
        <v>5</v>
      </c>
      <c r="I733" s="19">
        <v>584.46</v>
      </c>
      <c r="J733" t="s">
        <v>2717</v>
      </c>
      <c r="K733" s="24" t="s">
        <v>34</v>
      </c>
      <c r="L733" s="24" t="s">
        <v>43</v>
      </c>
      <c r="M733" t="s">
        <v>2718</v>
      </c>
      <c r="N733" s="17">
        <v>8</v>
      </c>
      <c r="O733" t="s">
        <v>4295</v>
      </c>
      <c r="P733" s="24" t="s">
        <v>38</v>
      </c>
      <c r="Q733" s="19">
        <v>2922.3</v>
      </c>
    </row>
    <row r="734" spans="1:17">
      <c r="A734" t="s">
        <v>2719</v>
      </c>
      <c r="B734" s="23">
        <v>45723</v>
      </c>
      <c r="C734" s="23" t="str">
        <f t="shared" si="33"/>
        <v>Mar</v>
      </c>
      <c r="D734" s="23" t="str">
        <f t="shared" si="34"/>
        <v>2025</v>
      </c>
      <c r="E734" s="23" t="str">
        <f t="shared" si="35"/>
        <v>Q1</v>
      </c>
      <c r="F734" t="s">
        <v>2720</v>
      </c>
      <c r="G734" s="24" t="s">
        <v>58</v>
      </c>
      <c r="H734" s="17">
        <v>1</v>
      </c>
      <c r="I734" s="19">
        <v>132.05</v>
      </c>
      <c r="J734" t="s">
        <v>2572</v>
      </c>
      <c r="K734" s="24" t="s">
        <v>27</v>
      </c>
      <c r="L734" s="24" t="s">
        <v>50</v>
      </c>
      <c r="M734" t="s">
        <v>2721</v>
      </c>
      <c r="N734" s="17">
        <v>2</v>
      </c>
      <c r="O734" t="s">
        <v>4295</v>
      </c>
      <c r="P734" s="24" t="s">
        <v>76</v>
      </c>
      <c r="Q734" s="19">
        <v>132.05</v>
      </c>
    </row>
    <row r="735" spans="1:17">
      <c r="A735" t="s">
        <v>2722</v>
      </c>
      <c r="B735" s="23">
        <v>45264</v>
      </c>
      <c r="C735" s="23" t="str">
        <f t="shared" si="33"/>
        <v>Dec</v>
      </c>
      <c r="D735" s="23" t="str">
        <f t="shared" si="34"/>
        <v>2023</v>
      </c>
      <c r="E735" s="23" t="str">
        <f t="shared" si="35"/>
        <v>Q4</v>
      </c>
      <c r="F735" t="s">
        <v>2723</v>
      </c>
      <c r="G735" s="24" t="s">
        <v>32</v>
      </c>
      <c r="H735" s="17">
        <v>4</v>
      </c>
      <c r="I735" s="19">
        <v>494.84</v>
      </c>
      <c r="J735" t="s">
        <v>2538</v>
      </c>
      <c r="K735" s="24" t="s">
        <v>65</v>
      </c>
      <c r="L735" s="24" t="s">
        <v>43</v>
      </c>
      <c r="M735" t="s">
        <v>2724</v>
      </c>
      <c r="N735" s="17">
        <v>8</v>
      </c>
      <c r="O735" t="s">
        <v>21</v>
      </c>
      <c r="P735" s="24" t="s">
        <v>38</v>
      </c>
      <c r="Q735" s="19">
        <v>1979.36</v>
      </c>
    </row>
    <row r="736" spans="1:17">
      <c r="A736" t="s">
        <v>2725</v>
      </c>
      <c r="B736" s="23">
        <v>45314</v>
      </c>
      <c r="C736" s="23" t="str">
        <f t="shared" si="33"/>
        <v>Jan</v>
      </c>
      <c r="D736" s="23" t="str">
        <f t="shared" si="34"/>
        <v>2024</v>
      </c>
      <c r="E736" s="23" t="str">
        <f t="shared" si="35"/>
        <v>Q1</v>
      </c>
      <c r="F736" t="s">
        <v>2726</v>
      </c>
      <c r="G736" s="24" t="s">
        <v>48</v>
      </c>
      <c r="H736" s="17">
        <v>4</v>
      </c>
      <c r="I736" s="19">
        <v>224.61</v>
      </c>
      <c r="J736" t="s">
        <v>1147</v>
      </c>
      <c r="K736" s="24" t="s">
        <v>34</v>
      </c>
      <c r="L736" s="24" t="s">
        <v>43</v>
      </c>
      <c r="M736" t="s">
        <v>2727</v>
      </c>
      <c r="N736" s="17">
        <v>6</v>
      </c>
      <c r="O736" t="s">
        <v>81</v>
      </c>
      <c r="P736" s="24" t="s">
        <v>45</v>
      </c>
      <c r="Q736" s="19">
        <v>898.44</v>
      </c>
    </row>
    <row r="737" spans="1:17">
      <c r="A737" t="s">
        <v>2728</v>
      </c>
      <c r="B737" s="23">
        <v>45471</v>
      </c>
      <c r="C737" s="23" t="str">
        <f t="shared" si="33"/>
        <v>Jun</v>
      </c>
      <c r="D737" s="23" t="str">
        <f t="shared" si="34"/>
        <v>2024</v>
      </c>
      <c r="E737" s="23" t="str">
        <f t="shared" si="35"/>
        <v>Q2</v>
      </c>
      <c r="F737" t="s">
        <v>2729</v>
      </c>
      <c r="G737" s="24" t="s">
        <v>16</v>
      </c>
      <c r="H737" s="17">
        <v>4</v>
      </c>
      <c r="I737" s="19">
        <v>44.07</v>
      </c>
      <c r="J737" t="s">
        <v>1542</v>
      </c>
      <c r="K737" s="24" t="s">
        <v>18</v>
      </c>
      <c r="L737" s="24" t="s">
        <v>89</v>
      </c>
      <c r="M737" t="s">
        <v>2730</v>
      </c>
      <c r="N737" s="17">
        <v>6</v>
      </c>
      <c r="O737" t="s">
        <v>4295</v>
      </c>
      <c r="P737" s="24" t="s">
        <v>38</v>
      </c>
      <c r="Q737" s="19">
        <v>176.28</v>
      </c>
    </row>
    <row r="738" spans="1:17">
      <c r="A738" t="s">
        <v>2731</v>
      </c>
      <c r="B738" s="23">
        <v>45331</v>
      </c>
      <c r="C738" s="23" t="str">
        <f t="shared" si="33"/>
        <v>Feb</v>
      </c>
      <c r="D738" s="23" t="str">
        <f t="shared" si="34"/>
        <v>2024</v>
      </c>
      <c r="E738" s="23" t="str">
        <f t="shared" si="35"/>
        <v>Q1</v>
      </c>
      <c r="F738" t="s">
        <v>2732</v>
      </c>
      <c r="G738" s="24" t="s">
        <v>16</v>
      </c>
      <c r="H738" s="17">
        <v>5</v>
      </c>
      <c r="I738" s="19">
        <v>418.53</v>
      </c>
      <c r="J738" t="s">
        <v>1945</v>
      </c>
      <c r="K738" s="24" t="s">
        <v>34</v>
      </c>
      <c r="L738" s="24" t="s">
        <v>89</v>
      </c>
      <c r="M738" t="s">
        <v>2733</v>
      </c>
      <c r="N738" s="17">
        <v>6</v>
      </c>
      <c r="O738" t="s">
        <v>37</v>
      </c>
      <c r="P738" s="24" t="s">
        <v>76</v>
      </c>
      <c r="Q738" s="19">
        <v>2092.65</v>
      </c>
    </row>
    <row r="739" spans="1:17">
      <c r="A739" t="s">
        <v>2734</v>
      </c>
      <c r="B739" s="23">
        <v>45294</v>
      </c>
      <c r="C739" s="23" t="str">
        <f t="shared" si="33"/>
        <v>Jan</v>
      </c>
      <c r="D739" s="23" t="str">
        <f t="shared" si="34"/>
        <v>2024</v>
      </c>
      <c r="E739" s="23" t="str">
        <f t="shared" si="35"/>
        <v>Q1</v>
      </c>
      <c r="F739" t="s">
        <v>2735</v>
      </c>
      <c r="G739" s="24" t="s">
        <v>25</v>
      </c>
      <c r="H739" s="17">
        <v>4</v>
      </c>
      <c r="I739" s="19">
        <v>532.87</v>
      </c>
      <c r="J739" t="s">
        <v>2736</v>
      </c>
      <c r="K739" s="24" t="s">
        <v>65</v>
      </c>
      <c r="L739" s="24" t="s">
        <v>89</v>
      </c>
      <c r="M739" t="s">
        <v>2737</v>
      </c>
      <c r="N739" s="17">
        <v>9</v>
      </c>
      <c r="O739" t="s">
        <v>37</v>
      </c>
      <c r="P739" s="24" t="s">
        <v>22</v>
      </c>
      <c r="Q739" s="19">
        <v>2131.48</v>
      </c>
    </row>
    <row r="740" spans="1:17">
      <c r="A740" t="s">
        <v>2738</v>
      </c>
      <c r="B740" s="23">
        <v>45812</v>
      </c>
      <c r="C740" s="23" t="str">
        <f t="shared" si="33"/>
        <v>Jun</v>
      </c>
      <c r="D740" s="23" t="str">
        <f t="shared" si="34"/>
        <v>2025</v>
      </c>
      <c r="E740" s="23" t="str">
        <f t="shared" si="35"/>
        <v>Q2</v>
      </c>
      <c r="F740" t="s">
        <v>2739</v>
      </c>
      <c r="G740" s="24" t="s">
        <v>25</v>
      </c>
      <c r="H740" s="17">
        <v>2</v>
      </c>
      <c r="I740" s="19">
        <v>485.37</v>
      </c>
      <c r="J740" t="s">
        <v>2740</v>
      </c>
      <c r="K740" s="24" t="s">
        <v>34</v>
      </c>
      <c r="L740" s="24" t="s">
        <v>19</v>
      </c>
      <c r="M740" t="s">
        <v>2741</v>
      </c>
      <c r="N740" s="17">
        <v>5</v>
      </c>
      <c r="O740" t="s">
        <v>21</v>
      </c>
      <c r="P740" s="24" t="s">
        <v>38</v>
      </c>
      <c r="Q740" s="19">
        <v>970.74</v>
      </c>
    </row>
    <row r="741" spans="1:17">
      <c r="A741" t="s">
        <v>2742</v>
      </c>
      <c r="B741" s="23">
        <v>45456</v>
      </c>
      <c r="C741" s="23" t="str">
        <f t="shared" si="33"/>
        <v>Jun</v>
      </c>
      <c r="D741" s="23" t="str">
        <f t="shared" si="34"/>
        <v>2024</v>
      </c>
      <c r="E741" s="23" t="str">
        <f t="shared" si="35"/>
        <v>Q2</v>
      </c>
      <c r="F741" t="s">
        <v>2743</v>
      </c>
      <c r="G741" s="24" t="s">
        <v>25</v>
      </c>
      <c r="H741" s="17">
        <v>4</v>
      </c>
      <c r="I741" s="19">
        <v>386.73</v>
      </c>
      <c r="J741" t="s">
        <v>553</v>
      </c>
      <c r="K741" s="24" t="s">
        <v>65</v>
      </c>
      <c r="L741" s="24" t="s">
        <v>50</v>
      </c>
      <c r="M741" t="s">
        <v>2744</v>
      </c>
      <c r="N741" s="17">
        <v>4</v>
      </c>
      <c r="O741" t="s">
        <v>21</v>
      </c>
      <c r="P741" s="24" t="s">
        <v>45</v>
      </c>
      <c r="Q741" s="19">
        <v>1546.92</v>
      </c>
    </row>
    <row r="742" spans="1:17">
      <c r="A742" t="s">
        <v>2745</v>
      </c>
      <c r="B742" s="23">
        <v>45493</v>
      </c>
      <c r="C742" s="23" t="str">
        <f t="shared" si="33"/>
        <v>Jul</v>
      </c>
      <c r="D742" s="23" t="str">
        <f t="shared" si="34"/>
        <v>2024</v>
      </c>
      <c r="E742" s="23" t="str">
        <f t="shared" si="35"/>
        <v>Q3</v>
      </c>
      <c r="F742" t="s">
        <v>2746</v>
      </c>
      <c r="G742" s="24" t="s">
        <v>73</v>
      </c>
      <c r="H742" s="17">
        <v>2</v>
      </c>
      <c r="I742" s="19">
        <v>377.47</v>
      </c>
      <c r="J742" t="s">
        <v>1670</v>
      </c>
      <c r="K742" s="24" t="s">
        <v>65</v>
      </c>
      <c r="L742" s="24" t="s">
        <v>89</v>
      </c>
      <c r="M742" t="s">
        <v>2747</v>
      </c>
      <c r="N742" s="17">
        <v>7</v>
      </c>
      <c r="O742" t="s">
        <v>4295</v>
      </c>
      <c r="P742" s="24" t="s">
        <v>76</v>
      </c>
      <c r="Q742" s="19">
        <v>754.94</v>
      </c>
    </row>
    <row r="743" spans="1:17">
      <c r="A743" t="s">
        <v>2748</v>
      </c>
      <c r="B743" s="23">
        <v>45680</v>
      </c>
      <c r="C743" s="23" t="str">
        <f t="shared" si="33"/>
        <v>Jan</v>
      </c>
      <c r="D743" s="23" t="str">
        <f t="shared" si="34"/>
        <v>2025</v>
      </c>
      <c r="E743" s="23" t="str">
        <f t="shared" si="35"/>
        <v>Q1</v>
      </c>
      <c r="F743" t="s">
        <v>2749</v>
      </c>
      <c r="G743" s="24" t="s">
        <v>16</v>
      </c>
      <c r="H743" s="17">
        <v>5</v>
      </c>
      <c r="I743" s="19">
        <v>332.64</v>
      </c>
      <c r="J743" t="s">
        <v>2750</v>
      </c>
      <c r="K743" s="24" t="s">
        <v>60</v>
      </c>
      <c r="L743" s="24" t="s">
        <v>50</v>
      </c>
      <c r="M743" t="s">
        <v>2751</v>
      </c>
      <c r="N743" s="17">
        <v>10</v>
      </c>
      <c r="O743" t="s">
        <v>4295</v>
      </c>
      <c r="P743" s="24" t="s">
        <v>29</v>
      </c>
      <c r="Q743" s="19">
        <v>1663.2</v>
      </c>
    </row>
    <row r="744" spans="1:17">
      <c r="A744" t="s">
        <v>2752</v>
      </c>
      <c r="B744" s="23">
        <v>45626</v>
      </c>
      <c r="C744" s="23" t="str">
        <f t="shared" si="33"/>
        <v>Nov</v>
      </c>
      <c r="D744" s="23" t="str">
        <f t="shared" si="34"/>
        <v>2024</v>
      </c>
      <c r="E744" s="23" t="str">
        <f t="shared" si="35"/>
        <v>Q4</v>
      </c>
      <c r="F744" t="s">
        <v>2753</v>
      </c>
      <c r="G744" s="24" t="s">
        <v>58</v>
      </c>
      <c r="H744" s="17">
        <v>3</v>
      </c>
      <c r="I744" s="19">
        <v>699.93</v>
      </c>
      <c r="J744" t="s">
        <v>1198</v>
      </c>
      <c r="K744" s="24" t="s">
        <v>65</v>
      </c>
      <c r="L744" s="24" t="s">
        <v>43</v>
      </c>
      <c r="M744" t="s">
        <v>2754</v>
      </c>
      <c r="N744" s="17">
        <v>7</v>
      </c>
      <c r="O744" t="s">
        <v>21</v>
      </c>
      <c r="P744" s="24" t="s">
        <v>76</v>
      </c>
      <c r="Q744" s="19">
        <v>2099.79</v>
      </c>
    </row>
    <row r="745" spans="1:17">
      <c r="A745" t="s">
        <v>2755</v>
      </c>
      <c r="B745" s="23">
        <v>45565</v>
      </c>
      <c r="C745" s="23" t="str">
        <f t="shared" si="33"/>
        <v>Sep</v>
      </c>
      <c r="D745" s="23" t="str">
        <f t="shared" si="34"/>
        <v>2024</v>
      </c>
      <c r="E745" s="23" t="str">
        <f t="shared" si="35"/>
        <v>Q3</v>
      </c>
      <c r="F745" t="s">
        <v>2756</v>
      </c>
      <c r="G745" s="24" t="s">
        <v>16</v>
      </c>
      <c r="H745" s="17">
        <v>1</v>
      </c>
      <c r="I745" s="19">
        <v>576.35</v>
      </c>
      <c r="J745" t="s">
        <v>193</v>
      </c>
      <c r="K745" s="24" t="s">
        <v>60</v>
      </c>
      <c r="L745" s="24" t="s">
        <v>43</v>
      </c>
      <c r="M745" t="s">
        <v>2757</v>
      </c>
      <c r="N745" s="17">
        <v>1</v>
      </c>
      <c r="O745" t="s">
        <v>81</v>
      </c>
      <c r="P745" s="24" t="s">
        <v>22</v>
      </c>
      <c r="Q745" s="19">
        <v>576.35</v>
      </c>
    </row>
    <row r="746" spans="1:17">
      <c r="A746" t="s">
        <v>2758</v>
      </c>
      <c r="B746" s="23">
        <v>45455</v>
      </c>
      <c r="C746" s="23" t="str">
        <f t="shared" si="33"/>
        <v>Jun</v>
      </c>
      <c r="D746" s="23" t="str">
        <f t="shared" si="34"/>
        <v>2024</v>
      </c>
      <c r="E746" s="23" t="str">
        <f t="shared" si="35"/>
        <v>Q2</v>
      </c>
      <c r="F746" t="s">
        <v>2759</v>
      </c>
      <c r="G746" s="24" t="s">
        <v>32</v>
      </c>
      <c r="H746" s="17">
        <v>2</v>
      </c>
      <c r="I746" s="19">
        <v>461.37</v>
      </c>
      <c r="J746" t="s">
        <v>2760</v>
      </c>
      <c r="K746" s="24" t="s">
        <v>65</v>
      </c>
      <c r="L746" s="24" t="s">
        <v>50</v>
      </c>
      <c r="M746" t="s">
        <v>2761</v>
      </c>
      <c r="N746" s="17">
        <v>5</v>
      </c>
      <c r="O746" t="s">
        <v>21</v>
      </c>
      <c r="P746" s="24" t="s">
        <v>76</v>
      </c>
      <c r="Q746" s="19">
        <v>922.74</v>
      </c>
    </row>
    <row r="747" spans="1:17">
      <c r="A747" t="s">
        <v>2762</v>
      </c>
      <c r="B747" s="23">
        <v>44987</v>
      </c>
      <c r="C747" s="23" t="str">
        <f t="shared" si="33"/>
        <v>Mar</v>
      </c>
      <c r="D747" s="23" t="str">
        <f t="shared" si="34"/>
        <v>2023</v>
      </c>
      <c r="E747" s="23" t="str">
        <f t="shared" si="35"/>
        <v>Q1</v>
      </c>
      <c r="F747" t="s">
        <v>2763</v>
      </c>
      <c r="G747" s="24" t="s">
        <v>48</v>
      </c>
      <c r="H747" s="17">
        <v>4</v>
      </c>
      <c r="I747" s="19">
        <v>111.3</v>
      </c>
      <c r="J747" t="s">
        <v>2764</v>
      </c>
      <c r="K747" s="24" t="s">
        <v>18</v>
      </c>
      <c r="L747" s="24" t="s">
        <v>89</v>
      </c>
      <c r="M747" t="s">
        <v>2765</v>
      </c>
      <c r="N747" s="17">
        <v>7</v>
      </c>
      <c r="O747" t="s">
        <v>37</v>
      </c>
      <c r="P747" s="24" t="s">
        <v>38</v>
      </c>
      <c r="Q747" s="19">
        <v>445.2</v>
      </c>
    </row>
    <row r="748" spans="1:17">
      <c r="A748" t="s">
        <v>2766</v>
      </c>
      <c r="B748" s="23">
        <v>45712</v>
      </c>
      <c r="C748" s="23" t="str">
        <f t="shared" si="33"/>
        <v>Feb</v>
      </c>
      <c r="D748" s="23" t="str">
        <f t="shared" si="34"/>
        <v>2025</v>
      </c>
      <c r="E748" s="23" t="str">
        <f t="shared" si="35"/>
        <v>Q1</v>
      </c>
      <c r="F748" t="s">
        <v>2767</v>
      </c>
      <c r="G748" s="24" t="s">
        <v>73</v>
      </c>
      <c r="H748" s="17">
        <v>3</v>
      </c>
      <c r="I748" s="19">
        <v>661.89</v>
      </c>
      <c r="J748" t="s">
        <v>2768</v>
      </c>
      <c r="K748" s="24" t="s">
        <v>27</v>
      </c>
      <c r="L748" s="24" t="s">
        <v>35</v>
      </c>
      <c r="M748" t="s">
        <v>2769</v>
      </c>
      <c r="N748" s="17">
        <v>6</v>
      </c>
      <c r="O748" t="s">
        <v>81</v>
      </c>
      <c r="P748" s="24" t="s">
        <v>29</v>
      </c>
      <c r="Q748" s="19">
        <v>1985.67</v>
      </c>
    </row>
    <row r="749" spans="1:17">
      <c r="A749" t="s">
        <v>2770</v>
      </c>
      <c r="B749" s="23">
        <v>45728</v>
      </c>
      <c r="C749" s="23" t="str">
        <f t="shared" si="33"/>
        <v>Mar</v>
      </c>
      <c r="D749" s="23" t="str">
        <f t="shared" si="34"/>
        <v>2025</v>
      </c>
      <c r="E749" s="23" t="str">
        <f t="shared" si="35"/>
        <v>Q1</v>
      </c>
      <c r="F749" t="s">
        <v>2771</v>
      </c>
      <c r="G749" s="24" t="s">
        <v>32</v>
      </c>
      <c r="H749" s="17">
        <v>2</v>
      </c>
      <c r="I749" s="19">
        <v>259.58</v>
      </c>
      <c r="J749" t="s">
        <v>2772</v>
      </c>
      <c r="K749" s="24" t="s">
        <v>18</v>
      </c>
      <c r="L749" s="24" t="s">
        <v>50</v>
      </c>
      <c r="M749" t="s">
        <v>2773</v>
      </c>
      <c r="N749" s="17">
        <v>7</v>
      </c>
      <c r="O749" t="s">
        <v>37</v>
      </c>
      <c r="P749" s="24" t="s">
        <v>22</v>
      </c>
      <c r="Q749" s="19">
        <v>519.16</v>
      </c>
    </row>
    <row r="750" spans="1:17">
      <c r="A750" t="s">
        <v>2774</v>
      </c>
      <c r="B750" s="23">
        <v>45488</v>
      </c>
      <c r="C750" s="23" t="str">
        <f t="shared" si="33"/>
        <v>Jul</v>
      </c>
      <c r="D750" s="23" t="str">
        <f t="shared" si="34"/>
        <v>2024</v>
      </c>
      <c r="E750" s="23" t="str">
        <f t="shared" si="35"/>
        <v>Q3</v>
      </c>
      <c r="F750" t="s">
        <v>2775</v>
      </c>
      <c r="G750" s="24" t="s">
        <v>32</v>
      </c>
      <c r="H750" s="17">
        <v>3</v>
      </c>
      <c r="I750" s="19">
        <v>70.81</v>
      </c>
      <c r="J750" t="s">
        <v>1908</v>
      </c>
      <c r="K750" s="24" t="s">
        <v>34</v>
      </c>
      <c r="L750" s="24" t="s">
        <v>19</v>
      </c>
      <c r="M750" t="s">
        <v>2776</v>
      </c>
      <c r="N750" s="17">
        <v>8</v>
      </c>
      <c r="O750" t="s">
        <v>37</v>
      </c>
      <c r="P750" s="24" t="s">
        <v>29</v>
      </c>
      <c r="Q750" s="19">
        <v>212.43</v>
      </c>
    </row>
    <row r="751" spans="1:17">
      <c r="A751" t="s">
        <v>2777</v>
      </c>
      <c r="B751" s="23">
        <v>45760</v>
      </c>
      <c r="C751" s="23" t="str">
        <f t="shared" si="33"/>
        <v>Apr</v>
      </c>
      <c r="D751" s="23" t="str">
        <f t="shared" si="34"/>
        <v>2025</v>
      </c>
      <c r="E751" s="23" t="str">
        <f t="shared" si="35"/>
        <v>Q2</v>
      </c>
      <c r="F751" t="s">
        <v>2778</v>
      </c>
      <c r="G751" s="24" t="s">
        <v>58</v>
      </c>
      <c r="H751" s="17">
        <v>1</v>
      </c>
      <c r="I751" s="19">
        <v>518.39</v>
      </c>
      <c r="J751" t="s">
        <v>2779</v>
      </c>
      <c r="K751" s="24" t="s">
        <v>18</v>
      </c>
      <c r="L751" s="24" t="s">
        <v>89</v>
      </c>
      <c r="M751" t="s">
        <v>2780</v>
      </c>
      <c r="N751" s="17">
        <v>4</v>
      </c>
      <c r="O751" t="s">
        <v>37</v>
      </c>
      <c r="P751" s="24" t="s">
        <v>22</v>
      </c>
      <c r="Q751" s="19">
        <v>518.39</v>
      </c>
    </row>
    <row r="752" spans="1:17">
      <c r="A752" t="s">
        <v>2781</v>
      </c>
      <c r="B752" s="23">
        <v>44940</v>
      </c>
      <c r="C752" s="23" t="str">
        <f t="shared" si="33"/>
        <v>Jan</v>
      </c>
      <c r="D752" s="23" t="str">
        <f t="shared" si="34"/>
        <v>2023</v>
      </c>
      <c r="E752" s="23" t="str">
        <f t="shared" si="35"/>
        <v>Q1</v>
      </c>
      <c r="F752" t="s">
        <v>2782</v>
      </c>
      <c r="G752" s="24" t="s">
        <v>32</v>
      </c>
      <c r="H752" s="17">
        <v>4</v>
      </c>
      <c r="I752" s="19">
        <v>145.41</v>
      </c>
      <c r="J752" t="s">
        <v>2783</v>
      </c>
      <c r="K752" s="24" t="s">
        <v>34</v>
      </c>
      <c r="L752" s="24" t="s">
        <v>43</v>
      </c>
      <c r="M752" t="s">
        <v>2784</v>
      </c>
      <c r="N752" s="17">
        <v>7</v>
      </c>
      <c r="O752" t="s">
        <v>37</v>
      </c>
      <c r="P752" s="24" t="s">
        <v>38</v>
      </c>
      <c r="Q752" s="19">
        <v>581.64</v>
      </c>
    </row>
    <row r="753" spans="1:17">
      <c r="A753" t="s">
        <v>2785</v>
      </c>
      <c r="B753" s="23">
        <v>44950</v>
      </c>
      <c r="C753" s="23" t="str">
        <f t="shared" si="33"/>
        <v>Jan</v>
      </c>
      <c r="D753" s="23" t="str">
        <f t="shared" si="34"/>
        <v>2023</v>
      </c>
      <c r="E753" s="23" t="str">
        <f t="shared" si="35"/>
        <v>Q1</v>
      </c>
      <c r="F753" t="s">
        <v>2786</v>
      </c>
      <c r="G753" s="24" t="s">
        <v>32</v>
      </c>
      <c r="H753" s="17">
        <v>2</v>
      </c>
      <c r="I753" s="19">
        <v>599.86</v>
      </c>
      <c r="J753" t="s">
        <v>2787</v>
      </c>
      <c r="K753" s="24" t="s">
        <v>60</v>
      </c>
      <c r="L753" s="24" t="s">
        <v>89</v>
      </c>
      <c r="M753" t="s">
        <v>2788</v>
      </c>
      <c r="N753" s="17">
        <v>7</v>
      </c>
      <c r="O753" t="s">
        <v>37</v>
      </c>
      <c r="P753" s="24" t="s">
        <v>45</v>
      </c>
      <c r="Q753" s="19">
        <v>1199.72</v>
      </c>
    </row>
    <row r="754" spans="1:17">
      <c r="A754" t="s">
        <v>2789</v>
      </c>
      <c r="B754" s="23">
        <v>45568</v>
      </c>
      <c r="C754" s="23" t="str">
        <f t="shared" si="33"/>
        <v>Oct</v>
      </c>
      <c r="D754" s="23" t="str">
        <f t="shared" si="34"/>
        <v>2024</v>
      </c>
      <c r="E754" s="23" t="str">
        <f t="shared" si="35"/>
        <v>Q4</v>
      </c>
      <c r="F754" t="s">
        <v>2790</v>
      </c>
      <c r="G754" s="24" t="s">
        <v>25</v>
      </c>
      <c r="H754" s="17">
        <v>4</v>
      </c>
      <c r="I754" s="19">
        <v>429.37</v>
      </c>
      <c r="J754" t="s">
        <v>1113</v>
      </c>
      <c r="K754" s="24" t="s">
        <v>34</v>
      </c>
      <c r="L754" s="24" t="s">
        <v>50</v>
      </c>
      <c r="M754" t="s">
        <v>2791</v>
      </c>
      <c r="N754" s="17">
        <v>8</v>
      </c>
      <c r="O754" t="s">
        <v>37</v>
      </c>
      <c r="P754" s="24" t="s">
        <v>76</v>
      </c>
      <c r="Q754" s="19">
        <v>1717.48</v>
      </c>
    </row>
    <row r="755" spans="1:17">
      <c r="A755" t="s">
        <v>2792</v>
      </c>
      <c r="B755" s="23">
        <v>45406</v>
      </c>
      <c r="C755" s="23" t="str">
        <f t="shared" si="33"/>
        <v>Apr</v>
      </c>
      <c r="D755" s="23" t="str">
        <f t="shared" si="34"/>
        <v>2024</v>
      </c>
      <c r="E755" s="23" t="str">
        <f t="shared" si="35"/>
        <v>Q2</v>
      </c>
      <c r="F755" t="s">
        <v>2793</v>
      </c>
      <c r="G755" s="24" t="s">
        <v>25</v>
      </c>
      <c r="H755" s="17">
        <v>2</v>
      </c>
      <c r="I755" s="19">
        <v>241.49</v>
      </c>
      <c r="J755" t="s">
        <v>2794</v>
      </c>
      <c r="K755" s="24" t="s">
        <v>18</v>
      </c>
      <c r="L755" s="24" t="s">
        <v>43</v>
      </c>
      <c r="M755" t="s">
        <v>2795</v>
      </c>
      <c r="N755" s="17">
        <v>7</v>
      </c>
      <c r="O755" t="s">
        <v>37</v>
      </c>
      <c r="P755" s="24" t="s">
        <v>22</v>
      </c>
      <c r="Q755" s="19">
        <v>482.98</v>
      </c>
    </row>
    <row r="756" spans="1:17">
      <c r="A756" t="s">
        <v>2796</v>
      </c>
      <c r="B756" s="23">
        <v>45808</v>
      </c>
      <c r="C756" s="23" t="str">
        <f t="shared" si="33"/>
        <v>May</v>
      </c>
      <c r="D756" s="23" t="str">
        <f t="shared" si="34"/>
        <v>2025</v>
      </c>
      <c r="E756" s="23" t="str">
        <f t="shared" si="35"/>
        <v>Q2</v>
      </c>
      <c r="F756" t="s">
        <v>2797</v>
      </c>
      <c r="G756" s="24" t="s">
        <v>48</v>
      </c>
      <c r="H756" s="17">
        <v>2</v>
      </c>
      <c r="I756" s="19">
        <v>452.05</v>
      </c>
      <c r="J756" t="s">
        <v>2798</v>
      </c>
      <c r="K756" s="24" t="s">
        <v>34</v>
      </c>
      <c r="L756" s="24" t="s">
        <v>43</v>
      </c>
      <c r="M756" t="s">
        <v>2799</v>
      </c>
      <c r="N756" s="17">
        <v>3</v>
      </c>
      <c r="O756" t="s">
        <v>81</v>
      </c>
      <c r="P756" s="24" t="s">
        <v>38</v>
      </c>
      <c r="Q756" s="19">
        <v>904.1</v>
      </c>
    </row>
    <row r="757" spans="1:17">
      <c r="A757" t="s">
        <v>2800</v>
      </c>
      <c r="B757" s="23">
        <v>45090</v>
      </c>
      <c r="C757" s="23" t="str">
        <f t="shared" si="33"/>
        <v>Jun</v>
      </c>
      <c r="D757" s="23" t="str">
        <f t="shared" si="34"/>
        <v>2023</v>
      </c>
      <c r="E757" s="23" t="str">
        <f t="shared" si="35"/>
        <v>Q2</v>
      </c>
      <c r="F757" t="s">
        <v>2801</v>
      </c>
      <c r="G757" s="24" t="s">
        <v>73</v>
      </c>
      <c r="H757" s="17">
        <v>3</v>
      </c>
      <c r="I757" s="19">
        <v>336.71</v>
      </c>
      <c r="J757" t="s">
        <v>2802</v>
      </c>
      <c r="K757" s="24" t="s">
        <v>34</v>
      </c>
      <c r="L757" s="24" t="s">
        <v>89</v>
      </c>
      <c r="M757" t="s">
        <v>2803</v>
      </c>
      <c r="N757" s="17">
        <v>4</v>
      </c>
      <c r="O757" t="s">
        <v>4295</v>
      </c>
      <c r="P757" s="24" t="s">
        <v>38</v>
      </c>
      <c r="Q757" s="19">
        <v>1010.13</v>
      </c>
    </row>
    <row r="758" spans="1:17">
      <c r="A758" t="s">
        <v>2804</v>
      </c>
      <c r="B758" s="23">
        <v>45470</v>
      </c>
      <c r="C758" s="23" t="str">
        <f t="shared" si="33"/>
        <v>Jun</v>
      </c>
      <c r="D758" s="23" t="str">
        <f t="shared" si="34"/>
        <v>2024</v>
      </c>
      <c r="E758" s="23" t="str">
        <f t="shared" si="35"/>
        <v>Q2</v>
      </c>
      <c r="F758" t="s">
        <v>2805</v>
      </c>
      <c r="G758" s="24" t="s">
        <v>25</v>
      </c>
      <c r="H758" s="17">
        <v>1</v>
      </c>
      <c r="I758" s="19">
        <v>283.69</v>
      </c>
      <c r="J758" t="s">
        <v>269</v>
      </c>
      <c r="K758" s="24" t="s">
        <v>60</v>
      </c>
      <c r="L758" s="24" t="s">
        <v>19</v>
      </c>
      <c r="M758" t="s">
        <v>2806</v>
      </c>
      <c r="N758" s="17">
        <v>6</v>
      </c>
      <c r="O758" t="s">
        <v>4295</v>
      </c>
      <c r="P758" s="24" t="s">
        <v>76</v>
      </c>
      <c r="Q758" s="19">
        <v>283.69</v>
      </c>
    </row>
    <row r="759" spans="1:17">
      <c r="A759" t="s">
        <v>2807</v>
      </c>
      <c r="B759" s="23">
        <v>45344</v>
      </c>
      <c r="C759" s="23" t="str">
        <f t="shared" si="33"/>
        <v>Feb</v>
      </c>
      <c r="D759" s="23" t="str">
        <f t="shared" si="34"/>
        <v>2024</v>
      </c>
      <c r="E759" s="23" t="str">
        <f t="shared" si="35"/>
        <v>Q1</v>
      </c>
      <c r="F759" t="s">
        <v>2808</v>
      </c>
      <c r="G759" s="24" t="s">
        <v>73</v>
      </c>
      <c r="H759" s="17">
        <v>1</v>
      </c>
      <c r="I759" s="19">
        <v>157.72</v>
      </c>
      <c r="J759" t="s">
        <v>779</v>
      </c>
      <c r="K759" s="24" t="s">
        <v>18</v>
      </c>
      <c r="L759" s="24" t="s">
        <v>50</v>
      </c>
      <c r="M759" t="s">
        <v>2809</v>
      </c>
      <c r="N759" s="17">
        <v>2</v>
      </c>
      <c r="O759" t="s">
        <v>37</v>
      </c>
      <c r="P759" s="24" t="s">
        <v>76</v>
      </c>
      <c r="Q759" s="19">
        <v>157.72</v>
      </c>
    </row>
    <row r="760" spans="1:17">
      <c r="A760" t="s">
        <v>2810</v>
      </c>
      <c r="B760" s="23">
        <v>45011</v>
      </c>
      <c r="C760" s="23" t="str">
        <f t="shared" si="33"/>
        <v>Mar</v>
      </c>
      <c r="D760" s="23" t="str">
        <f t="shared" si="34"/>
        <v>2023</v>
      </c>
      <c r="E760" s="23" t="str">
        <f t="shared" si="35"/>
        <v>Q1</v>
      </c>
      <c r="F760" t="s">
        <v>2811</v>
      </c>
      <c r="G760" s="24" t="s">
        <v>32</v>
      </c>
      <c r="H760" s="17">
        <v>3</v>
      </c>
      <c r="I760" s="19">
        <v>624.84</v>
      </c>
      <c r="J760" t="s">
        <v>335</v>
      </c>
      <c r="K760" s="24" t="s">
        <v>34</v>
      </c>
      <c r="L760" s="24" t="s">
        <v>35</v>
      </c>
      <c r="M760" t="s">
        <v>2812</v>
      </c>
      <c r="N760" s="17">
        <v>8</v>
      </c>
      <c r="O760" t="s">
        <v>81</v>
      </c>
      <c r="P760" s="24" t="s">
        <v>45</v>
      </c>
      <c r="Q760" s="19">
        <v>1874.52</v>
      </c>
    </row>
    <row r="761" spans="1:17">
      <c r="A761" t="s">
        <v>2813</v>
      </c>
      <c r="B761" s="23">
        <v>45131</v>
      </c>
      <c r="C761" s="23" t="str">
        <f t="shared" si="33"/>
        <v>Jul</v>
      </c>
      <c r="D761" s="23" t="str">
        <f t="shared" si="34"/>
        <v>2023</v>
      </c>
      <c r="E761" s="23" t="str">
        <f t="shared" si="35"/>
        <v>Q3</v>
      </c>
      <c r="F761" t="s">
        <v>2814</v>
      </c>
      <c r="G761" s="24" t="s">
        <v>73</v>
      </c>
      <c r="H761" s="17">
        <v>3</v>
      </c>
      <c r="I761" s="19">
        <v>308.01</v>
      </c>
      <c r="J761" t="s">
        <v>2815</v>
      </c>
      <c r="K761" s="24" t="s">
        <v>65</v>
      </c>
      <c r="L761" s="24" t="s">
        <v>89</v>
      </c>
      <c r="M761" t="s">
        <v>2816</v>
      </c>
      <c r="N761" s="17">
        <v>3</v>
      </c>
      <c r="O761" t="s">
        <v>37</v>
      </c>
      <c r="P761" s="24" t="s">
        <v>45</v>
      </c>
      <c r="Q761" s="19">
        <v>924.03</v>
      </c>
    </row>
    <row r="762" spans="1:17">
      <c r="A762" t="s">
        <v>2817</v>
      </c>
      <c r="B762" s="23">
        <v>45706</v>
      </c>
      <c r="C762" s="23" t="str">
        <f t="shared" si="33"/>
        <v>Feb</v>
      </c>
      <c r="D762" s="23" t="str">
        <f t="shared" si="34"/>
        <v>2025</v>
      </c>
      <c r="E762" s="23" t="str">
        <f t="shared" si="35"/>
        <v>Q1</v>
      </c>
      <c r="F762" t="s">
        <v>2818</v>
      </c>
      <c r="G762" s="24" t="s">
        <v>73</v>
      </c>
      <c r="H762" s="17">
        <v>1</v>
      </c>
      <c r="I762" s="19">
        <v>39.56</v>
      </c>
      <c r="J762" t="s">
        <v>735</v>
      </c>
      <c r="K762" s="24" t="s">
        <v>18</v>
      </c>
      <c r="L762" s="24" t="s">
        <v>35</v>
      </c>
      <c r="M762" t="s">
        <v>2819</v>
      </c>
      <c r="N762" s="17">
        <v>5</v>
      </c>
      <c r="O762" t="s">
        <v>4295</v>
      </c>
      <c r="P762" s="24" t="s">
        <v>76</v>
      </c>
      <c r="Q762" s="19">
        <v>39.56</v>
      </c>
    </row>
    <row r="763" spans="1:17">
      <c r="A763" t="s">
        <v>2820</v>
      </c>
      <c r="B763" s="23">
        <v>45079</v>
      </c>
      <c r="C763" s="23" t="str">
        <f t="shared" si="33"/>
        <v>Jun</v>
      </c>
      <c r="D763" s="23" t="str">
        <f t="shared" si="34"/>
        <v>2023</v>
      </c>
      <c r="E763" s="23" t="str">
        <f t="shared" si="35"/>
        <v>Q2</v>
      </c>
      <c r="F763" t="s">
        <v>2821</v>
      </c>
      <c r="G763" s="24" t="s">
        <v>73</v>
      </c>
      <c r="H763" s="17">
        <v>4</v>
      </c>
      <c r="I763" s="19">
        <v>37.76</v>
      </c>
      <c r="J763" t="s">
        <v>2822</v>
      </c>
      <c r="K763" s="24" t="s">
        <v>18</v>
      </c>
      <c r="L763" s="24" t="s">
        <v>50</v>
      </c>
      <c r="M763" t="s">
        <v>2823</v>
      </c>
      <c r="N763" s="17">
        <v>7</v>
      </c>
      <c r="O763" t="s">
        <v>4295</v>
      </c>
      <c r="P763" s="24" t="s">
        <v>76</v>
      </c>
      <c r="Q763" s="19">
        <v>151.04</v>
      </c>
    </row>
    <row r="764" spans="1:17">
      <c r="A764" t="s">
        <v>2824</v>
      </c>
      <c r="B764" s="23">
        <v>45552</v>
      </c>
      <c r="C764" s="23" t="str">
        <f t="shared" si="33"/>
        <v>Sep</v>
      </c>
      <c r="D764" s="23" t="str">
        <f t="shared" si="34"/>
        <v>2024</v>
      </c>
      <c r="E764" s="23" t="str">
        <f t="shared" si="35"/>
        <v>Q3</v>
      </c>
      <c r="F764" t="s">
        <v>2825</v>
      </c>
      <c r="G764" s="24" t="s">
        <v>25</v>
      </c>
      <c r="H764" s="17">
        <v>3</v>
      </c>
      <c r="I764" s="19">
        <v>76.96</v>
      </c>
      <c r="J764" t="s">
        <v>395</v>
      </c>
      <c r="K764" s="24" t="s">
        <v>65</v>
      </c>
      <c r="L764" s="24" t="s">
        <v>43</v>
      </c>
      <c r="M764" t="s">
        <v>2826</v>
      </c>
      <c r="N764" s="17">
        <v>8</v>
      </c>
      <c r="O764" t="s">
        <v>37</v>
      </c>
      <c r="P764" s="24" t="s">
        <v>38</v>
      </c>
      <c r="Q764" s="19">
        <v>230.88</v>
      </c>
    </row>
    <row r="765" spans="1:17">
      <c r="A765" t="s">
        <v>2827</v>
      </c>
      <c r="B765" s="23">
        <v>45022</v>
      </c>
      <c r="C765" s="23" t="str">
        <f t="shared" si="33"/>
        <v>Apr</v>
      </c>
      <c r="D765" s="23" t="str">
        <f t="shared" si="34"/>
        <v>2023</v>
      </c>
      <c r="E765" s="23" t="str">
        <f t="shared" si="35"/>
        <v>Q2</v>
      </c>
      <c r="F765" t="s">
        <v>2828</v>
      </c>
      <c r="G765" s="24" t="s">
        <v>58</v>
      </c>
      <c r="H765" s="17">
        <v>1</v>
      </c>
      <c r="I765" s="19">
        <v>569.96</v>
      </c>
      <c r="J765" t="s">
        <v>426</v>
      </c>
      <c r="K765" s="24" t="s">
        <v>27</v>
      </c>
      <c r="L765" s="24" t="s">
        <v>50</v>
      </c>
      <c r="M765" t="s">
        <v>2829</v>
      </c>
      <c r="N765" s="17">
        <v>4</v>
      </c>
      <c r="O765" t="s">
        <v>37</v>
      </c>
      <c r="P765" s="24" t="s">
        <v>38</v>
      </c>
      <c r="Q765" s="19">
        <v>569.96</v>
      </c>
    </row>
    <row r="766" spans="1:17">
      <c r="A766" t="s">
        <v>2830</v>
      </c>
      <c r="B766" s="23">
        <v>45361</v>
      </c>
      <c r="C766" s="23" t="str">
        <f t="shared" si="33"/>
        <v>Mar</v>
      </c>
      <c r="D766" s="23" t="str">
        <f t="shared" si="34"/>
        <v>2024</v>
      </c>
      <c r="E766" s="23" t="str">
        <f t="shared" si="35"/>
        <v>Q1</v>
      </c>
      <c r="F766" t="s">
        <v>2831</v>
      </c>
      <c r="G766" s="24" t="s">
        <v>58</v>
      </c>
      <c r="H766" s="17">
        <v>5</v>
      </c>
      <c r="I766" s="19">
        <v>627.43</v>
      </c>
      <c r="J766" t="s">
        <v>715</v>
      </c>
      <c r="K766" s="24" t="s">
        <v>34</v>
      </c>
      <c r="L766" s="24" t="s">
        <v>35</v>
      </c>
      <c r="M766" t="s">
        <v>2832</v>
      </c>
      <c r="N766" s="17">
        <v>10</v>
      </c>
      <c r="O766" t="s">
        <v>37</v>
      </c>
      <c r="P766" s="24" t="s">
        <v>38</v>
      </c>
      <c r="Q766" s="19">
        <v>3137.15</v>
      </c>
    </row>
    <row r="767" spans="1:17">
      <c r="A767" t="s">
        <v>2833</v>
      </c>
      <c r="B767" s="23">
        <v>45205</v>
      </c>
      <c r="C767" s="23" t="str">
        <f t="shared" si="33"/>
        <v>Oct</v>
      </c>
      <c r="D767" s="23" t="str">
        <f t="shared" si="34"/>
        <v>2023</v>
      </c>
      <c r="E767" s="23" t="str">
        <f t="shared" si="35"/>
        <v>Q4</v>
      </c>
      <c r="F767" t="s">
        <v>2834</v>
      </c>
      <c r="G767" s="24" t="s">
        <v>58</v>
      </c>
      <c r="H767" s="17">
        <v>2</v>
      </c>
      <c r="I767" s="19">
        <v>534.91</v>
      </c>
      <c r="J767" t="s">
        <v>2661</v>
      </c>
      <c r="K767" s="24" t="s">
        <v>18</v>
      </c>
      <c r="L767" s="24" t="s">
        <v>43</v>
      </c>
      <c r="M767" t="s">
        <v>2835</v>
      </c>
      <c r="N767" s="17">
        <v>5</v>
      </c>
      <c r="O767" t="s">
        <v>21</v>
      </c>
      <c r="P767" s="24" t="s">
        <v>76</v>
      </c>
      <c r="Q767" s="19">
        <v>1069.82</v>
      </c>
    </row>
    <row r="768" spans="1:17">
      <c r="A768" t="s">
        <v>2836</v>
      </c>
      <c r="B768" s="23">
        <v>44948</v>
      </c>
      <c r="C768" s="23" t="str">
        <f t="shared" si="33"/>
        <v>Jan</v>
      </c>
      <c r="D768" s="23" t="str">
        <f t="shared" si="34"/>
        <v>2023</v>
      </c>
      <c r="E768" s="23" t="str">
        <f t="shared" si="35"/>
        <v>Q1</v>
      </c>
      <c r="F768" t="s">
        <v>2837</v>
      </c>
      <c r="G768" s="24" t="s">
        <v>48</v>
      </c>
      <c r="H768" s="17">
        <v>2</v>
      </c>
      <c r="I768" s="19">
        <v>278.88</v>
      </c>
      <c r="J768" t="s">
        <v>1388</v>
      </c>
      <c r="K768" s="24" t="s">
        <v>18</v>
      </c>
      <c r="L768" s="24" t="s">
        <v>89</v>
      </c>
      <c r="M768" t="s">
        <v>2838</v>
      </c>
      <c r="N768" s="17">
        <v>3</v>
      </c>
      <c r="O768" t="s">
        <v>37</v>
      </c>
      <c r="P768" s="24" t="s">
        <v>29</v>
      </c>
      <c r="Q768" s="19">
        <v>557.76</v>
      </c>
    </row>
    <row r="769" spans="1:17">
      <c r="A769" t="s">
        <v>2839</v>
      </c>
      <c r="B769" s="23">
        <v>45765</v>
      </c>
      <c r="C769" s="23" t="str">
        <f t="shared" si="33"/>
        <v>Apr</v>
      </c>
      <c r="D769" s="23" t="str">
        <f t="shared" si="34"/>
        <v>2025</v>
      </c>
      <c r="E769" s="23" t="str">
        <f t="shared" si="35"/>
        <v>Q2</v>
      </c>
      <c r="F769" t="s">
        <v>2840</v>
      </c>
      <c r="G769" s="24" t="s">
        <v>32</v>
      </c>
      <c r="H769" s="17">
        <v>2</v>
      </c>
      <c r="I769" s="19">
        <v>323.22</v>
      </c>
      <c r="J769" t="s">
        <v>2841</v>
      </c>
      <c r="K769" s="24" t="s">
        <v>34</v>
      </c>
      <c r="L769" s="24" t="s">
        <v>50</v>
      </c>
      <c r="M769" t="s">
        <v>2842</v>
      </c>
      <c r="N769" s="17">
        <v>7</v>
      </c>
      <c r="O769" t="s">
        <v>4295</v>
      </c>
      <c r="P769" s="24" t="s">
        <v>22</v>
      </c>
      <c r="Q769" s="19">
        <v>646.44</v>
      </c>
    </row>
    <row r="770" spans="1:17">
      <c r="A770" t="s">
        <v>2843</v>
      </c>
      <c r="B770" s="23">
        <v>45173</v>
      </c>
      <c r="C770" s="23" t="str">
        <f t="shared" ref="C770:C833" si="36">TEXT(B770,"MMM")</f>
        <v>Sep</v>
      </c>
      <c r="D770" s="23" t="str">
        <f t="shared" ref="D770:D833" si="37">TEXT(B770,"YYYY")</f>
        <v>2023</v>
      </c>
      <c r="E770" s="23" t="str">
        <f t="shared" ref="E770:E833" si="38">"Q"&amp;ROUNDUP(MONTH(B770)/3,0)</f>
        <v>Q3</v>
      </c>
      <c r="F770" t="s">
        <v>2844</v>
      </c>
      <c r="G770" s="24" t="s">
        <v>32</v>
      </c>
      <c r="H770" s="17">
        <v>5</v>
      </c>
      <c r="I770" s="19">
        <v>653.46</v>
      </c>
      <c r="J770" t="s">
        <v>2845</v>
      </c>
      <c r="K770" s="24" t="s">
        <v>65</v>
      </c>
      <c r="L770" s="24" t="s">
        <v>35</v>
      </c>
      <c r="M770" t="s">
        <v>2846</v>
      </c>
      <c r="N770" s="17">
        <v>9</v>
      </c>
      <c r="O770" t="s">
        <v>81</v>
      </c>
      <c r="P770" s="24" t="s">
        <v>38</v>
      </c>
      <c r="Q770" s="19">
        <v>3267.3</v>
      </c>
    </row>
    <row r="771" spans="1:17">
      <c r="A771" t="s">
        <v>2847</v>
      </c>
      <c r="B771" s="23">
        <v>45113</v>
      </c>
      <c r="C771" s="23" t="str">
        <f t="shared" si="36"/>
        <v>Jul</v>
      </c>
      <c r="D771" s="23" t="str">
        <f t="shared" si="37"/>
        <v>2023</v>
      </c>
      <c r="E771" s="23" t="str">
        <f t="shared" si="38"/>
        <v>Q3</v>
      </c>
      <c r="F771" t="s">
        <v>2848</v>
      </c>
      <c r="G771" s="24" t="s">
        <v>48</v>
      </c>
      <c r="H771" s="17">
        <v>4</v>
      </c>
      <c r="I771" s="19">
        <v>678.55</v>
      </c>
      <c r="J771" t="s">
        <v>153</v>
      </c>
      <c r="K771" s="24" t="s">
        <v>65</v>
      </c>
      <c r="L771" s="24" t="s">
        <v>50</v>
      </c>
      <c r="M771" t="s">
        <v>2849</v>
      </c>
      <c r="N771" s="17">
        <v>5</v>
      </c>
      <c r="O771" t="s">
        <v>4295</v>
      </c>
      <c r="P771" s="24" t="s">
        <v>38</v>
      </c>
      <c r="Q771" s="19">
        <v>2714.2</v>
      </c>
    </row>
    <row r="772" spans="1:17">
      <c r="A772" t="s">
        <v>2850</v>
      </c>
      <c r="B772" s="23">
        <v>45333</v>
      </c>
      <c r="C772" s="23" t="str">
        <f t="shared" si="36"/>
        <v>Feb</v>
      </c>
      <c r="D772" s="23" t="str">
        <f t="shared" si="37"/>
        <v>2024</v>
      </c>
      <c r="E772" s="23" t="str">
        <f t="shared" si="38"/>
        <v>Q1</v>
      </c>
      <c r="F772" t="s">
        <v>2851</v>
      </c>
      <c r="G772" s="24" t="s">
        <v>73</v>
      </c>
      <c r="H772" s="17">
        <v>1</v>
      </c>
      <c r="I772" s="19">
        <v>314.38</v>
      </c>
      <c r="J772" t="s">
        <v>1723</v>
      </c>
      <c r="K772" s="24" t="s">
        <v>27</v>
      </c>
      <c r="L772" s="24" t="s">
        <v>43</v>
      </c>
      <c r="M772" t="s">
        <v>2852</v>
      </c>
      <c r="N772" s="17">
        <v>6</v>
      </c>
      <c r="O772" t="s">
        <v>4295</v>
      </c>
      <c r="P772" s="24" t="s">
        <v>76</v>
      </c>
      <c r="Q772" s="19">
        <v>314.38</v>
      </c>
    </row>
    <row r="773" spans="1:17">
      <c r="A773" t="s">
        <v>2853</v>
      </c>
      <c r="B773" s="23">
        <v>45455</v>
      </c>
      <c r="C773" s="23" t="str">
        <f t="shared" si="36"/>
        <v>Jun</v>
      </c>
      <c r="D773" s="23" t="str">
        <f t="shared" si="37"/>
        <v>2024</v>
      </c>
      <c r="E773" s="23" t="str">
        <f t="shared" si="38"/>
        <v>Q2</v>
      </c>
      <c r="F773" t="s">
        <v>2854</v>
      </c>
      <c r="G773" s="24" t="s">
        <v>25</v>
      </c>
      <c r="H773" s="17">
        <v>3</v>
      </c>
      <c r="I773" s="19">
        <v>692.44</v>
      </c>
      <c r="J773" t="s">
        <v>1501</v>
      </c>
      <c r="K773" s="24" t="s">
        <v>18</v>
      </c>
      <c r="L773" s="24" t="s">
        <v>35</v>
      </c>
      <c r="M773" t="s">
        <v>2855</v>
      </c>
      <c r="N773" s="17">
        <v>8</v>
      </c>
      <c r="O773" t="s">
        <v>37</v>
      </c>
      <c r="P773" s="24" t="s">
        <v>76</v>
      </c>
      <c r="Q773" s="19">
        <v>2077.32</v>
      </c>
    </row>
    <row r="774" spans="1:17">
      <c r="A774" t="s">
        <v>2856</v>
      </c>
      <c r="B774" s="23">
        <v>45501</v>
      </c>
      <c r="C774" s="23" t="str">
        <f t="shared" si="36"/>
        <v>Jul</v>
      </c>
      <c r="D774" s="23" t="str">
        <f t="shared" si="37"/>
        <v>2024</v>
      </c>
      <c r="E774" s="23" t="str">
        <f t="shared" si="38"/>
        <v>Q3</v>
      </c>
      <c r="F774" t="s">
        <v>2857</v>
      </c>
      <c r="G774" s="24" t="s">
        <v>16</v>
      </c>
      <c r="H774" s="17">
        <v>1</v>
      </c>
      <c r="I774" s="19">
        <v>604.87</v>
      </c>
      <c r="J774" t="s">
        <v>2858</v>
      </c>
      <c r="K774" s="24" t="s">
        <v>27</v>
      </c>
      <c r="L774" s="24" t="s">
        <v>50</v>
      </c>
      <c r="M774" t="s">
        <v>2859</v>
      </c>
      <c r="N774" s="17">
        <v>4</v>
      </c>
      <c r="O774" t="s">
        <v>4295</v>
      </c>
      <c r="P774" s="24" t="s">
        <v>22</v>
      </c>
      <c r="Q774" s="19">
        <v>604.87</v>
      </c>
    </row>
    <row r="775" spans="1:17">
      <c r="A775" t="s">
        <v>2860</v>
      </c>
      <c r="B775" s="23">
        <v>45836</v>
      </c>
      <c r="C775" s="23" t="str">
        <f t="shared" si="36"/>
        <v>Jun</v>
      </c>
      <c r="D775" s="23" t="str">
        <f t="shared" si="37"/>
        <v>2025</v>
      </c>
      <c r="E775" s="23" t="str">
        <f t="shared" si="38"/>
        <v>Q2</v>
      </c>
      <c r="F775" t="s">
        <v>2861</v>
      </c>
      <c r="G775" s="24" t="s">
        <v>25</v>
      </c>
      <c r="H775" s="17">
        <v>2</v>
      </c>
      <c r="I775" s="19">
        <v>512.33</v>
      </c>
      <c r="J775" t="s">
        <v>2862</v>
      </c>
      <c r="K775" s="24" t="s">
        <v>65</v>
      </c>
      <c r="L775" s="24" t="s">
        <v>35</v>
      </c>
      <c r="M775" t="s">
        <v>2863</v>
      </c>
      <c r="N775" s="17">
        <v>7</v>
      </c>
      <c r="O775" t="s">
        <v>4295</v>
      </c>
      <c r="P775" s="24" t="s">
        <v>45</v>
      </c>
      <c r="Q775" s="19">
        <v>1024.66</v>
      </c>
    </row>
    <row r="776" spans="1:17">
      <c r="A776" t="s">
        <v>2864</v>
      </c>
      <c r="B776" s="23">
        <v>45762</v>
      </c>
      <c r="C776" s="23" t="str">
        <f t="shared" si="36"/>
        <v>Apr</v>
      </c>
      <c r="D776" s="23" t="str">
        <f t="shared" si="37"/>
        <v>2025</v>
      </c>
      <c r="E776" s="23" t="str">
        <f t="shared" si="38"/>
        <v>Q2</v>
      </c>
      <c r="F776" t="s">
        <v>2865</v>
      </c>
      <c r="G776" s="24" t="s">
        <v>41</v>
      </c>
      <c r="H776" s="17">
        <v>3</v>
      </c>
      <c r="I776" s="19">
        <v>20.54</v>
      </c>
      <c r="J776" t="s">
        <v>2866</v>
      </c>
      <c r="K776" s="24" t="s">
        <v>34</v>
      </c>
      <c r="L776" s="24" t="s">
        <v>35</v>
      </c>
      <c r="M776" t="s">
        <v>2867</v>
      </c>
      <c r="N776" s="17">
        <v>3</v>
      </c>
      <c r="O776" t="s">
        <v>37</v>
      </c>
      <c r="P776" s="24" t="s">
        <v>22</v>
      </c>
      <c r="Q776" s="19">
        <v>61.62</v>
      </c>
    </row>
    <row r="777" spans="1:17">
      <c r="A777" t="s">
        <v>2868</v>
      </c>
      <c r="B777" s="23">
        <v>44989</v>
      </c>
      <c r="C777" s="23" t="str">
        <f t="shared" si="36"/>
        <v>Mar</v>
      </c>
      <c r="D777" s="23" t="str">
        <f t="shared" si="37"/>
        <v>2023</v>
      </c>
      <c r="E777" s="23" t="str">
        <f t="shared" si="38"/>
        <v>Q1</v>
      </c>
      <c r="F777" t="s">
        <v>2869</v>
      </c>
      <c r="G777" s="24" t="s">
        <v>25</v>
      </c>
      <c r="H777" s="17">
        <v>2</v>
      </c>
      <c r="I777" s="19">
        <v>625.22</v>
      </c>
      <c r="J777" t="s">
        <v>125</v>
      </c>
      <c r="K777" s="24" t="s">
        <v>27</v>
      </c>
      <c r="L777" s="24" t="s">
        <v>35</v>
      </c>
      <c r="M777" t="s">
        <v>2870</v>
      </c>
      <c r="N777" s="17">
        <v>5</v>
      </c>
      <c r="O777" t="s">
        <v>4295</v>
      </c>
      <c r="P777" s="24" t="s">
        <v>76</v>
      </c>
      <c r="Q777" s="19">
        <v>1250.44</v>
      </c>
    </row>
    <row r="778" spans="1:17">
      <c r="A778" t="s">
        <v>2871</v>
      </c>
      <c r="B778" s="23">
        <v>45159</v>
      </c>
      <c r="C778" s="23" t="str">
        <f t="shared" si="36"/>
        <v>Aug</v>
      </c>
      <c r="D778" s="23" t="str">
        <f t="shared" si="37"/>
        <v>2023</v>
      </c>
      <c r="E778" s="23" t="str">
        <f t="shared" si="38"/>
        <v>Q3</v>
      </c>
      <c r="F778" t="s">
        <v>2872</v>
      </c>
      <c r="G778" s="24" t="s">
        <v>32</v>
      </c>
      <c r="H778" s="17">
        <v>1</v>
      </c>
      <c r="I778" s="19">
        <v>21.19</v>
      </c>
      <c r="J778" t="s">
        <v>2873</v>
      </c>
      <c r="K778" s="24" t="s">
        <v>65</v>
      </c>
      <c r="L778" s="24" t="s">
        <v>43</v>
      </c>
      <c r="M778" t="s">
        <v>2874</v>
      </c>
      <c r="N778" s="17">
        <v>5</v>
      </c>
      <c r="O778" t="s">
        <v>81</v>
      </c>
      <c r="P778" s="24" t="s">
        <v>76</v>
      </c>
      <c r="Q778" s="19">
        <v>21.19</v>
      </c>
    </row>
    <row r="779" spans="1:17">
      <c r="A779" t="s">
        <v>2875</v>
      </c>
      <c r="B779" s="23">
        <v>45737</v>
      </c>
      <c r="C779" s="23" t="str">
        <f t="shared" si="36"/>
        <v>Mar</v>
      </c>
      <c r="D779" s="23" t="str">
        <f t="shared" si="37"/>
        <v>2025</v>
      </c>
      <c r="E779" s="23" t="str">
        <f t="shared" si="38"/>
        <v>Q1</v>
      </c>
      <c r="F779" t="s">
        <v>2876</v>
      </c>
      <c r="G779" s="24" t="s">
        <v>41</v>
      </c>
      <c r="H779" s="17">
        <v>5</v>
      </c>
      <c r="I779" s="19">
        <v>64.49</v>
      </c>
      <c r="J779" t="s">
        <v>129</v>
      </c>
      <c r="K779" s="24" t="s">
        <v>27</v>
      </c>
      <c r="L779" s="24" t="s">
        <v>35</v>
      </c>
      <c r="M779" t="s">
        <v>2877</v>
      </c>
      <c r="N779" s="17">
        <v>7</v>
      </c>
      <c r="O779" t="s">
        <v>4295</v>
      </c>
      <c r="P779" s="24" t="s">
        <v>45</v>
      </c>
      <c r="Q779" s="19">
        <v>322.45</v>
      </c>
    </row>
    <row r="780" spans="1:17">
      <c r="A780" t="s">
        <v>2878</v>
      </c>
      <c r="B780" s="23">
        <v>45044</v>
      </c>
      <c r="C780" s="23" t="str">
        <f t="shared" si="36"/>
        <v>Apr</v>
      </c>
      <c r="D780" s="23" t="str">
        <f t="shared" si="37"/>
        <v>2023</v>
      </c>
      <c r="E780" s="23" t="str">
        <f t="shared" si="38"/>
        <v>Q2</v>
      </c>
      <c r="F780" t="s">
        <v>2879</v>
      </c>
      <c r="G780" s="24" t="s">
        <v>58</v>
      </c>
      <c r="H780" s="17">
        <v>4</v>
      </c>
      <c r="I780" s="19">
        <v>246.85</v>
      </c>
      <c r="J780" t="s">
        <v>2880</v>
      </c>
      <c r="K780" s="24" t="s">
        <v>34</v>
      </c>
      <c r="L780" s="24" t="s">
        <v>19</v>
      </c>
      <c r="M780" t="s">
        <v>2881</v>
      </c>
      <c r="N780" s="17">
        <v>8</v>
      </c>
      <c r="O780" t="s">
        <v>81</v>
      </c>
      <c r="P780" s="24" t="s">
        <v>76</v>
      </c>
      <c r="Q780" s="19">
        <v>987.4</v>
      </c>
    </row>
    <row r="781" spans="1:17">
      <c r="A781" t="s">
        <v>2882</v>
      </c>
      <c r="B781" s="23">
        <v>45261</v>
      </c>
      <c r="C781" s="23" t="str">
        <f t="shared" si="36"/>
        <v>Dec</v>
      </c>
      <c r="D781" s="23" t="str">
        <f t="shared" si="37"/>
        <v>2023</v>
      </c>
      <c r="E781" s="23" t="str">
        <f t="shared" si="38"/>
        <v>Q4</v>
      </c>
      <c r="F781" t="s">
        <v>2883</v>
      </c>
      <c r="G781" s="24" t="s">
        <v>25</v>
      </c>
      <c r="H781" s="17">
        <v>3</v>
      </c>
      <c r="I781" s="19">
        <v>588.74</v>
      </c>
      <c r="J781" t="s">
        <v>2884</v>
      </c>
      <c r="K781" s="24" t="s">
        <v>18</v>
      </c>
      <c r="L781" s="24" t="s">
        <v>89</v>
      </c>
      <c r="M781" t="s">
        <v>2885</v>
      </c>
      <c r="N781" s="17">
        <v>8</v>
      </c>
      <c r="O781" t="s">
        <v>37</v>
      </c>
      <c r="P781" s="24" t="s">
        <v>38</v>
      </c>
      <c r="Q781" s="19">
        <v>1766.22</v>
      </c>
    </row>
    <row r="782" spans="1:17">
      <c r="A782" t="s">
        <v>2886</v>
      </c>
      <c r="B782" s="23">
        <v>45382</v>
      </c>
      <c r="C782" s="23" t="str">
        <f t="shared" si="36"/>
        <v>Mar</v>
      </c>
      <c r="D782" s="23" t="str">
        <f t="shared" si="37"/>
        <v>2024</v>
      </c>
      <c r="E782" s="23" t="str">
        <f t="shared" si="38"/>
        <v>Q1</v>
      </c>
      <c r="F782" t="s">
        <v>2887</v>
      </c>
      <c r="G782" s="24" t="s">
        <v>58</v>
      </c>
      <c r="H782" s="17">
        <v>4</v>
      </c>
      <c r="I782" s="19">
        <v>184.48</v>
      </c>
      <c r="J782" t="s">
        <v>1712</v>
      </c>
      <c r="K782" s="24" t="s">
        <v>27</v>
      </c>
      <c r="L782" s="24" t="s">
        <v>35</v>
      </c>
      <c r="M782" t="s">
        <v>2888</v>
      </c>
      <c r="N782" s="17">
        <v>4</v>
      </c>
      <c r="O782" t="s">
        <v>81</v>
      </c>
      <c r="P782" s="24" t="s">
        <v>76</v>
      </c>
      <c r="Q782" s="19">
        <v>737.92</v>
      </c>
    </row>
    <row r="783" spans="1:17">
      <c r="A783" t="s">
        <v>2889</v>
      </c>
      <c r="B783" s="23">
        <v>45301</v>
      </c>
      <c r="C783" s="23" t="str">
        <f t="shared" si="36"/>
        <v>Jan</v>
      </c>
      <c r="D783" s="23" t="str">
        <f t="shared" si="37"/>
        <v>2024</v>
      </c>
      <c r="E783" s="23" t="str">
        <f t="shared" si="38"/>
        <v>Q1</v>
      </c>
      <c r="F783" t="s">
        <v>2890</v>
      </c>
      <c r="G783" s="24" t="s">
        <v>25</v>
      </c>
      <c r="H783" s="17">
        <v>5</v>
      </c>
      <c r="I783" s="19">
        <v>524.26</v>
      </c>
      <c r="J783" t="s">
        <v>54</v>
      </c>
      <c r="K783" s="24" t="s">
        <v>60</v>
      </c>
      <c r="L783" s="24" t="s">
        <v>50</v>
      </c>
      <c r="M783" t="s">
        <v>2891</v>
      </c>
      <c r="N783" s="17">
        <v>5</v>
      </c>
      <c r="O783" t="s">
        <v>37</v>
      </c>
      <c r="P783" s="24" t="s">
        <v>29</v>
      </c>
      <c r="Q783" s="19">
        <v>2621.3</v>
      </c>
    </row>
    <row r="784" spans="1:17">
      <c r="A784" t="s">
        <v>2892</v>
      </c>
      <c r="B784" s="23">
        <v>45515</v>
      </c>
      <c r="C784" s="23" t="str">
        <f t="shared" si="36"/>
        <v>Aug</v>
      </c>
      <c r="D784" s="23" t="str">
        <f t="shared" si="37"/>
        <v>2024</v>
      </c>
      <c r="E784" s="23" t="str">
        <f t="shared" si="38"/>
        <v>Q3</v>
      </c>
      <c r="F784" t="s">
        <v>2893</v>
      </c>
      <c r="G784" s="24" t="s">
        <v>16</v>
      </c>
      <c r="H784" s="17">
        <v>2</v>
      </c>
      <c r="I784" s="19">
        <v>493.63</v>
      </c>
      <c r="J784" t="s">
        <v>2153</v>
      </c>
      <c r="K784" s="24" t="s">
        <v>27</v>
      </c>
      <c r="L784" s="24" t="s">
        <v>43</v>
      </c>
      <c r="M784" t="s">
        <v>2894</v>
      </c>
      <c r="N784" s="17">
        <v>6</v>
      </c>
      <c r="O784" t="s">
        <v>21</v>
      </c>
      <c r="P784" s="24" t="s">
        <v>29</v>
      </c>
      <c r="Q784" s="19">
        <v>987.26</v>
      </c>
    </row>
    <row r="785" spans="1:17">
      <c r="A785" t="s">
        <v>2895</v>
      </c>
      <c r="B785" s="23">
        <v>45803</v>
      </c>
      <c r="C785" s="23" t="str">
        <f t="shared" si="36"/>
        <v>May</v>
      </c>
      <c r="D785" s="23" t="str">
        <f t="shared" si="37"/>
        <v>2025</v>
      </c>
      <c r="E785" s="23" t="str">
        <f t="shared" si="38"/>
        <v>Q2</v>
      </c>
      <c r="F785" t="s">
        <v>2896</v>
      </c>
      <c r="G785" s="24" t="s">
        <v>48</v>
      </c>
      <c r="H785" s="17">
        <v>1</v>
      </c>
      <c r="I785" s="19">
        <v>438.34</v>
      </c>
      <c r="J785" t="s">
        <v>2661</v>
      </c>
      <c r="K785" s="24" t="s">
        <v>60</v>
      </c>
      <c r="L785" s="24" t="s">
        <v>43</v>
      </c>
      <c r="M785" t="s">
        <v>2897</v>
      </c>
      <c r="N785" s="17">
        <v>5</v>
      </c>
      <c r="O785" t="s">
        <v>37</v>
      </c>
      <c r="P785" s="24" t="s">
        <v>45</v>
      </c>
      <c r="Q785" s="19">
        <v>438.34</v>
      </c>
    </row>
    <row r="786" spans="1:17">
      <c r="A786" t="s">
        <v>2898</v>
      </c>
      <c r="B786" s="23">
        <v>45793</v>
      </c>
      <c r="C786" s="23" t="str">
        <f t="shared" si="36"/>
        <v>May</v>
      </c>
      <c r="D786" s="23" t="str">
        <f t="shared" si="37"/>
        <v>2025</v>
      </c>
      <c r="E786" s="23" t="str">
        <f t="shared" si="38"/>
        <v>Q2</v>
      </c>
      <c r="F786" t="s">
        <v>2899</v>
      </c>
      <c r="G786" s="24" t="s">
        <v>58</v>
      </c>
      <c r="H786" s="17">
        <v>1</v>
      </c>
      <c r="I786" s="19">
        <v>325.81</v>
      </c>
      <c r="J786" t="s">
        <v>246</v>
      </c>
      <c r="K786" s="24" t="s">
        <v>34</v>
      </c>
      <c r="L786" s="24" t="s">
        <v>89</v>
      </c>
      <c r="M786" t="s">
        <v>2900</v>
      </c>
      <c r="N786" s="17">
        <v>1</v>
      </c>
      <c r="O786" t="s">
        <v>81</v>
      </c>
      <c r="P786" s="24" t="s">
        <v>29</v>
      </c>
      <c r="Q786" s="19">
        <v>325.81</v>
      </c>
    </row>
    <row r="787" spans="1:17">
      <c r="A787" t="s">
        <v>2901</v>
      </c>
      <c r="B787" s="23">
        <v>45136</v>
      </c>
      <c r="C787" s="23" t="str">
        <f t="shared" si="36"/>
        <v>Jul</v>
      </c>
      <c r="D787" s="23" t="str">
        <f t="shared" si="37"/>
        <v>2023</v>
      </c>
      <c r="E787" s="23" t="str">
        <f t="shared" si="38"/>
        <v>Q3</v>
      </c>
      <c r="F787" t="s">
        <v>2902</v>
      </c>
      <c r="G787" s="24" t="s">
        <v>41</v>
      </c>
      <c r="H787" s="17">
        <v>1</v>
      </c>
      <c r="I787" s="19">
        <v>176.1</v>
      </c>
      <c r="J787" t="s">
        <v>2903</v>
      </c>
      <c r="K787" s="24" t="s">
        <v>34</v>
      </c>
      <c r="L787" s="24" t="s">
        <v>89</v>
      </c>
      <c r="M787" t="s">
        <v>2904</v>
      </c>
      <c r="N787" s="17">
        <v>1</v>
      </c>
      <c r="O787" t="s">
        <v>21</v>
      </c>
      <c r="P787" s="24" t="s">
        <v>22</v>
      </c>
      <c r="Q787" s="19">
        <v>176.1</v>
      </c>
    </row>
    <row r="788" spans="1:17">
      <c r="A788" t="s">
        <v>2905</v>
      </c>
      <c r="B788" s="23">
        <v>45161</v>
      </c>
      <c r="C788" s="23" t="str">
        <f t="shared" si="36"/>
        <v>Aug</v>
      </c>
      <c r="D788" s="23" t="str">
        <f t="shared" si="37"/>
        <v>2023</v>
      </c>
      <c r="E788" s="23" t="str">
        <f t="shared" si="38"/>
        <v>Q3</v>
      </c>
      <c r="F788" t="s">
        <v>2906</v>
      </c>
      <c r="G788" s="24" t="s">
        <v>41</v>
      </c>
      <c r="H788" s="17">
        <v>5</v>
      </c>
      <c r="I788" s="19">
        <v>45.31</v>
      </c>
      <c r="J788" t="s">
        <v>2907</v>
      </c>
      <c r="K788" s="24" t="s">
        <v>27</v>
      </c>
      <c r="L788" s="24" t="s">
        <v>35</v>
      </c>
      <c r="M788" t="s">
        <v>2908</v>
      </c>
      <c r="N788" s="17">
        <v>8</v>
      </c>
      <c r="O788" t="s">
        <v>4295</v>
      </c>
      <c r="P788" s="24" t="s">
        <v>29</v>
      </c>
      <c r="Q788" s="19">
        <v>226.55</v>
      </c>
    </row>
    <row r="789" spans="1:17">
      <c r="A789" t="s">
        <v>2909</v>
      </c>
      <c r="B789" s="23">
        <v>45368</v>
      </c>
      <c r="C789" s="23" t="str">
        <f t="shared" si="36"/>
        <v>Mar</v>
      </c>
      <c r="D789" s="23" t="str">
        <f t="shared" si="37"/>
        <v>2024</v>
      </c>
      <c r="E789" s="23" t="str">
        <f t="shared" si="38"/>
        <v>Q1</v>
      </c>
      <c r="F789" t="s">
        <v>2910</v>
      </c>
      <c r="G789" s="24" t="s">
        <v>73</v>
      </c>
      <c r="H789" s="17">
        <v>4</v>
      </c>
      <c r="I789" s="19">
        <v>221.96</v>
      </c>
      <c r="J789" t="s">
        <v>2911</v>
      </c>
      <c r="K789" s="24" t="s">
        <v>65</v>
      </c>
      <c r="L789" s="24" t="s">
        <v>50</v>
      </c>
      <c r="M789" t="s">
        <v>2912</v>
      </c>
      <c r="N789" s="17">
        <v>7</v>
      </c>
      <c r="O789" t="s">
        <v>4295</v>
      </c>
      <c r="P789" s="24" t="s">
        <v>76</v>
      </c>
      <c r="Q789" s="19">
        <v>887.84</v>
      </c>
    </row>
    <row r="790" spans="1:17">
      <c r="A790" t="s">
        <v>2913</v>
      </c>
      <c r="B790" s="23">
        <v>45232</v>
      </c>
      <c r="C790" s="23" t="str">
        <f t="shared" si="36"/>
        <v>Nov</v>
      </c>
      <c r="D790" s="23" t="str">
        <f t="shared" si="37"/>
        <v>2023</v>
      </c>
      <c r="E790" s="23" t="str">
        <f t="shared" si="38"/>
        <v>Q4</v>
      </c>
      <c r="F790" t="s">
        <v>2914</v>
      </c>
      <c r="G790" s="24" t="s">
        <v>41</v>
      </c>
      <c r="H790" s="17">
        <v>2</v>
      </c>
      <c r="I790" s="19">
        <v>601.43</v>
      </c>
      <c r="J790" t="s">
        <v>2915</v>
      </c>
      <c r="K790" s="24" t="s">
        <v>27</v>
      </c>
      <c r="L790" s="24" t="s">
        <v>89</v>
      </c>
      <c r="M790" t="s">
        <v>2916</v>
      </c>
      <c r="N790" s="17">
        <v>5</v>
      </c>
      <c r="O790" t="s">
        <v>37</v>
      </c>
      <c r="P790" s="24" t="s">
        <v>22</v>
      </c>
      <c r="Q790" s="19">
        <v>1202.86</v>
      </c>
    </row>
    <row r="791" spans="1:17">
      <c r="A791" t="s">
        <v>2917</v>
      </c>
      <c r="B791" s="23">
        <v>45155</v>
      </c>
      <c r="C791" s="23" t="str">
        <f t="shared" si="36"/>
        <v>Aug</v>
      </c>
      <c r="D791" s="23" t="str">
        <f t="shared" si="37"/>
        <v>2023</v>
      </c>
      <c r="E791" s="23" t="str">
        <f t="shared" si="38"/>
        <v>Q3</v>
      </c>
      <c r="F791" t="s">
        <v>2918</v>
      </c>
      <c r="G791" s="24" t="s">
        <v>32</v>
      </c>
      <c r="H791" s="17">
        <v>5</v>
      </c>
      <c r="I791" s="19">
        <v>691.28</v>
      </c>
      <c r="J791" t="s">
        <v>2919</v>
      </c>
      <c r="K791" s="24" t="s">
        <v>27</v>
      </c>
      <c r="L791" s="24" t="s">
        <v>50</v>
      </c>
      <c r="M791" t="s">
        <v>2920</v>
      </c>
      <c r="N791" s="17">
        <v>10</v>
      </c>
      <c r="O791" t="s">
        <v>21</v>
      </c>
      <c r="P791" s="24" t="s">
        <v>38</v>
      </c>
      <c r="Q791" s="19">
        <v>3456.4</v>
      </c>
    </row>
    <row r="792" spans="1:17">
      <c r="A792" t="s">
        <v>2921</v>
      </c>
      <c r="B792" s="23">
        <v>45549</v>
      </c>
      <c r="C792" s="23" t="str">
        <f t="shared" si="36"/>
        <v>Sep</v>
      </c>
      <c r="D792" s="23" t="str">
        <f t="shared" si="37"/>
        <v>2024</v>
      </c>
      <c r="E792" s="23" t="str">
        <f t="shared" si="38"/>
        <v>Q3</v>
      </c>
      <c r="F792" t="s">
        <v>2922</v>
      </c>
      <c r="G792" s="24" t="s">
        <v>58</v>
      </c>
      <c r="H792" s="17">
        <v>4</v>
      </c>
      <c r="I792" s="19">
        <v>417.89</v>
      </c>
      <c r="J792" t="s">
        <v>2923</v>
      </c>
      <c r="K792" s="24" t="s">
        <v>60</v>
      </c>
      <c r="L792" s="24" t="s">
        <v>89</v>
      </c>
      <c r="M792" t="s">
        <v>2924</v>
      </c>
      <c r="N792" s="17">
        <v>4</v>
      </c>
      <c r="O792" t="s">
        <v>4295</v>
      </c>
      <c r="P792" s="24" t="s">
        <v>76</v>
      </c>
      <c r="Q792" s="19">
        <v>1671.56</v>
      </c>
    </row>
    <row r="793" spans="1:17">
      <c r="A793" t="s">
        <v>2925</v>
      </c>
      <c r="B793" s="23">
        <v>45304</v>
      </c>
      <c r="C793" s="23" t="str">
        <f t="shared" si="36"/>
        <v>Jan</v>
      </c>
      <c r="D793" s="23" t="str">
        <f t="shared" si="37"/>
        <v>2024</v>
      </c>
      <c r="E793" s="23" t="str">
        <f t="shared" si="38"/>
        <v>Q1</v>
      </c>
      <c r="F793" t="s">
        <v>2926</v>
      </c>
      <c r="G793" s="24" t="s">
        <v>41</v>
      </c>
      <c r="H793" s="17">
        <v>4</v>
      </c>
      <c r="I793" s="19">
        <v>409.28</v>
      </c>
      <c r="J793" t="s">
        <v>137</v>
      </c>
      <c r="K793" s="24" t="s">
        <v>65</v>
      </c>
      <c r="L793" s="24" t="s">
        <v>89</v>
      </c>
      <c r="M793" t="s">
        <v>2927</v>
      </c>
      <c r="N793" s="17">
        <v>8</v>
      </c>
      <c r="O793" t="s">
        <v>4295</v>
      </c>
      <c r="P793" s="24" t="s">
        <v>38</v>
      </c>
      <c r="Q793" s="19">
        <v>1637.12</v>
      </c>
    </row>
    <row r="794" spans="1:17">
      <c r="A794" t="s">
        <v>2928</v>
      </c>
      <c r="B794" s="23">
        <v>45093</v>
      </c>
      <c r="C794" s="23" t="str">
        <f t="shared" si="36"/>
        <v>Jun</v>
      </c>
      <c r="D794" s="23" t="str">
        <f t="shared" si="37"/>
        <v>2023</v>
      </c>
      <c r="E794" s="23" t="str">
        <f t="shared" si="38"/>
        <v>Q2</v>
      </c>
      <c r="F794" t="s">
        <v>2929</v>
      </c>
      <c r="G794" s="24" t="s">
        <v>73</v>
      </c>
      <c r="H794" s="17">
        <v>2</v>
      </c>
      <c r="I794" s="19">
        <v>356.35</v>
      </c>
      <c r="J794" t="s">
        <v>2930</v>
      </c>
      <c r="K794" s="24" t="s">
        <v>18</v>
      </c>
      <c r="L794" s="24" t="s">
        <v>43</v>
      </c>
      <c r="M794" t="s">
        <v>2931</v>
      </c>
      <c r="N794" s="17">
        <v>6</v>
      </c>
      <c r="O794" t="s">
        <v>81</v>
      </c>
      <c r="P794" s="24" t="s">
        <v>45</v>
      </c>
      <c r="Q794" s="19">
        <v>712.7</v>
      </c>
    </row>
    <row r="795" spans="1:17">
      <c r="A795" t="s">
        <v>2932</v>
      </c>
      <c r="B795" s="23">
        <v>45397</v>
      </c>
      <c r="C795" s="23" t="str">
        <f t="shared" si="36"/>
        <v>Apr</v>
      </c>
      <c r="D795" s="23" t="str">
        <f t="shared" si="37"/>
        <v>2024</v>
      </c>
      <c r="E795" s="23" t="str">
        <f t="shared" si="38"/>
        <v>Q2</v>
      </c>
      <c r="F795" t="s">
        <v>2933</v>
      </c>
      <c r="G795" s="24" t="s">
        <v>41</v>
      </c>
      <c r="H795" s="17">
        <v>5</v>
      </c>
      <c r="I795" s="19">
        <v>170.22</v>
      </c>
      <c r="J795" t="s">
        <v>1639</v>
      </c>
      <c r="K795" s="24" t="s">
        <v>18</v>
      </c>
      <c r="L795" s="24" t="s">
        <v>50</v>
      </c>
      <c r="M795" t="s">
        <v>2934</v>
      </c>
      <c r="N795" s="17">
        <v>8</v>
      </c>
      <c r="O795" t="s">
        <v>4295</v>
      </c>
      <c r="P795" s="24" t="s">
        <v>29</v>
      </c>
      <c r="Q795" s="19">
        <v>851.1</v>
      </c>
    </row>
    <row r="796" spans="1:17">
      <c r="A796" t="s">
        <v>2935</v>
      </c>
      <c r="B796" s="23">
        <v>44994</v>
      </c>
      <c r="C796" s="23" t="str">
        <f t="shared" si="36"/>
        <v>Mar</v>
      </c>
      <c r="D796" s="23" t="str">
        <f t="shared" si="37"/>
        <v>2023</v>
      </c>
      <c r="E796" s="23" t="str">
        <f t="shared" si="38"/>
        <v>Q1</v>
      </c>
      <c r="F796" t="s">
        <v>2936</v>
      </c>
      <c r="G796" s="24" t="s">
        <v>48</v>
      </c>
      <c r="H796" s="17">
        <v>4</v>
      </c>
      <c r="I796" s="19">
        <v>384.85</v>
      </c>
      <c r="J796" t="s">
        <v>2937</v>
      </c>
      <c r="K796" s="24" t="s">
        <v>27</v>
      </c>
      <c r="L796" s="24" t="s">
        <v>50</v>
      </c>
      <c r="M796" t="s">
        <v>2938</v>
      </c>
      <c r="N796" s="17">
        <v>9</v>
      </c>
      <c r="O796" t="s">
        <v>37</v>
      </c>
      <c r="P796" s="24" t="s">
        <v>22</v>
      </c>
      <c r="Q796" s="19">
        <v>1539.4</v>
      </c>
    </row>
    <row r="797" spans="1:17">
      <c r="A797" t="s">
        <v>2939</v>
      </c>
      <c r="B797" s="23">
        <v>45616</v>
      </c>
      <c r="C797" s="23" t="str">
        <f t="shared" si="36"/>
        <v>Nov</v>
      </c>
      <c r="D797" s="23" t="str">
        <f t="shared" si="37"/>
        <v>2024</v>
      </c>
      <c r="E797" s="23" t="str">
        <f t="shared" si="38"/>
        <v>Q4</v>
      </c>
      <c r="F797" t="s">
        <v>2940</v>
      </c>
      <c r="G797" s="24" t="s">
        <v>58</v>
      </c>
      <c r="H797" s="17">
        <v>4</v>
      </c>
      <c r="I797" s="19">
        <v>115.77</v>
      </c>
      <c r="J797" t="s">
        <v>2941</v>
      </c>
      <c r="K797" s="24" t="s">
        <v>27</v>
      </c>
      <c r="L797" s="24" t="s">
        <v>89</v>
      </c>
      <c r="M797" t="s">
        <v>2942</v>
      </c>
      <c r="N797" s="17">
        <v>7</v>
      </c>
      <c r="O797" t="s">
        <v>21</v>
      </c>
      <c r="P797" s="24" t="s">
        <v>22</v>
      </c>
      <c r="Q797" s="19">
        <v>463.08</v>
      </c>
    </row>
    <row r="798" spans="1:17">
      <c r="A798" t="s">
        <v>2943</v>
      </c>
      <c r="B798" s="23">
        <v>45776</v>
      </c>
      <c r="C798" s="23" t="str">
        <f t="shared" si="36"/>
        <v>Apr</v>
      </c>
      <c r="D798" s="23" t="str">
        <f t="shared" si="37"/>
        <v>2025</v>
      </c>
      <c r="E798" s="23" t="str">
        <f t="shared" si="38"/>
        <v>Q2</v>
      </c>
      <c r="F798" t="s">
        <v>2944</v>
      </c>
      <c r="G798" s="24" t="s">
        <v>25</v>
      </c>
      <c r="H798" s="17">
        <v>3</v>
      </c>
      <c r="I798" s="19">
        <v>579.55</v>
      </c>
      <c r="J798" t="s">
        <v>884</v>
      </c>
      <c r="K798" s="24" t="s">
        <v>60</v>
      </c>
      <c r="L798" s="24" t="s">
        <v>43</v>
      </c>
      <c r="M798" t="s">
        <v>2945</v>
      </c>
      <c r="N798" s="17">
        <v>8</v>
      </c>
      <c r="O798" t="s">
        <v>81</v>
      </c>
      <c r="P798" s="24" t="s">
        <v>45</v>
      </c>
      <c r="Q798" s="19">
        <v>1738.65</v>
      </c>
    </row>
    <row r="799" spans="1:17">
      <c r="A799" t="s">
        <v>2946</v>
      </c>
      <c r="B799" s="23">
        <v>44984</v>
      </c>
      <c r="C799" s="23" t="str">
        <f t="shared" si="36"/>
        <v>Feb</v>
      </c>
      <c r="D799" s="23" t="str">
        <f t="shared" si="37"/>
        <v>2023</v>
      </c>
      <c r="E799" s="23" t="str">
        <f t="shared" si="38"/>
        <v>Q1</v>
      </c>
      <c r="F799" t="s">
        <v>2947</v>
      </c>
      <c r="G799" s="24" t="s">
        <v>58</v>
      </c>
      <c r="H799" s="17">
        <v>2</v>
      </c>
      <c r="I799" s="19">
        <v>438.76</v>
      </c>
      <c r="J799" t="s">
        <v>2948</v>
      </c>
      <c r="K799" s="24" t="s">
        <v>18</v>
      </c>
      <c r="L799" s="24" t="s">
        <v>43</v>
      </c>
      <c r="M799" t="s">
        <v>2949</v>
      </c>
      <c r="N799" s="17">
        <v>2</v>
      </c>
      <c r="O799" t="s">
        <v>4295</v>
      </c>
      <c r="P799" s="24" t="s">
        <v>45</v>
      </c>
      <c r="Q799" s="19">
        <v>877.52</v>
      </c>
    </row>
    <row r="800" spans="1:17">
      <c r="A800" t="s">
        <v>2950</v>
      </c>
      <c r="B800" s="23">
        <v>45796</v>
      </c>
      <c r="C800" s="23" t="str">
        <f t="shared" si="36"/>
        <v>May</v>
      </c>
      <c r="D800" s="23" t="str">
        <f t="shared" si="37"/>
        <v>2025</v>
      </c>
      <c r="E800" s="23" t="str">
        <f t="shared" si="38"/>
        <v>Q2</v>
      </c>
      <c r="F800" t="s">
        <v>2951</v>
      </c>
      <c r="G800" s="24" t="s">
        <v>25</v>
      </c>
      <c r="H800" s="17">
        <v>5</v>
      </c>
      <c r="I800" s="19">
        <v>488.35</v>
      </c>
      <c r="J800" t="s">
        <v>1233</v>
      </c>
      <c r="K800" s="24" t="s">
        <v>18</v>
      </c>
      <c r="L800" s="24" t="s">
        <v>43</v>
      </c>
      <c r="M800" t="s">
        <v>2952</v>
      </c>
      <c r="N800" s="17">
        <v>9</v>
      </c>
      <c r="O800" t="s">
        <v>37</v>
      </c>
      <c r="P800" s="24" t="s">
        <v>38</v>
      </c>
      <c r="Q800" s="19">
        <v>2441.75</v>
      </c>
    </row>
    <row r="801" spans="1:17">
      <c r="A801" t="s">
        <v>2953</v>
      </c>
      <c r="B801" s="23">
        <v>45032</v>
      </c>
      <c r="C801" s="23" t="str">
        <f t="shared" si="36"/>
        <v>Apr</v>
      </c>
      <c r="D801" s="23" t="str">
        <f t="shared" si="37"/>
        <v>2023</v>
      </c>
      <c r="E801" s="23" t="str">
        <f t="shared" si="38"/>
        <v>Q2</v>
      </c>
      <c r="F801" t="s">
        <v>2954</v>
      </c>
      <c r="G801" s="24" t="s">
        <v>58</v>
      </c>
      <c r="H801" s="17">
        <v>4</v>
      </c>
      <c r="I801" s="19">
        <v>328.56</v>
      </c>
      <c r="J801" t="s">
        <v>1070</v>
      </c>
      <c r="K801" s="24" t="s">
        <v>18</v>
      </c>
      <c r="L801" s="24" t="s">
        <v>43</v>
      </c>
      <c r="M801" t="s">
        <v>2955</v>
      </c>
      <c r="N801" s="17">
        <v>4</v>
      </c>
      <c r="O801" t="s">
        <v>37</v>
      </c>
      <c r="P801" s="24" t="s">
        <v>38</v>
      </c>
      <c r="Q801" s="19">
        <v>1314.24</v>
      </c>
    </row>
    <row r="802" spans="1:17">
      <c r="A802" t="s">
        <v>2956</v>
      </c>
      <c r="B802" s="23">
        <v>45744</v>
      </c>
      <c r="C802" s="23" t="str">
        <f t="shared" si="36"/>
        <v>Mar</v>
      </c>
      <c r="D802" s="23" t="str">
        <f t="shared" si="37"/>
        <v>2025</v>
      </c>
      <c r="E802" s="23" t="str">
        <f t="shared" si="38"/>
        <v>Q1</v>
      </c>
      <c r="F802" t="s">
        <v>2957</v>
      </c>
      <c r="G802" s="24" t="s">
        <v>32</v>
      </c>
      <c r="H802" s="17">
        <v>1</v>
      </c>
      <c r="I802" s="19">
        <v>68.39</v>
      </c>
      <c r="J802" t="s">
        <v>2958</v>
      </c>
      <c r="K802" s="24" t="s">
        <v>27</v>
      </c>
      <c r="L802" s="24" t="s">
        <v>43</v>
      </c>
      <c r="M802" t="s">
        <v>2959</v>
      </c>
      <c r="N802" s="17">
        <v>3</v>
      </c>
      <c r="O802" t="s">
        <v>81</v>
      </c>
      <c r="P802" s="24" t="s">
        <v>45</v>
      </c>
      <c r="Q802" s="19">
        <v>68.39</v>
      </c>
    </row>
    <row r="803" spans="1:17">
      <c r="A803" t="s">
        <v>2960</v>
      </c>
      <c r="B803" s="23">
        <v>45049</v>
      </c>
      <c r="C803" s="23" t="str">
        <f t="shared" si="36"/>
        <v>May</v>
      </c>
      <c r="D803" s="23" t="str">
        <f t="shared" si="37"/>
        <v>2023</v>
      </c>
      <c r="E803" s="23" t="str">
        <f t="shared" si="38"/>
        <v>Q2</v>
      </c>
      <c r="F803" t="s">
        <v>148</v>
      </c>
      <c r="G803" s="24" t="s">
        <v>48</v>
      </c>
      <c r="H803" s="17">
        <v>4</v>
      </c>
      <c r="I803" s="19">
        <v>595.62</v>
      </c>
      <c r="J803" t="s">
        <v>2961</v>
      </c>
      <c r="K803" s="24" t="s">
        <v>18</v>
      </c>
      <c r="L803" s="24" t="s">
        <v>89</v>
      </c>
      <c r="M803" t="s">
        <v>2962</v>
      </c>
      <c r="N803" s="17">
        <v>8</v>
      </c>
      <c r="O803" t="s">
        <v>37</v>
      </c>
      <c r="P803" s="24" t="s">
        <v>45</v>
      </c>
      <c r="Q803" s="19">
        <v>2382.48</v>
      </c>
    </row>
    <row r="804" spans="1:17">
      <c r="A804" t="s">
        <v>2963</v>
      </c>
      <c r="B804" s="23">
        <v>45339</v>
      </c>
      <c r="C804" s="23" t="str">
        <f t="shared" si="36"/>
        <v>Feb</v>
      </c>
      <c r="D804" s="23" t="str">
        <f t="shared" si="37"/>
        <v>2024</v>
      </c>
      <c r="E804" s="23" t="str">
        <f t="shared" si="38"/>
        <v>Q1</v>
      </c>
      <c r="F804" t="s">
        <v>2964</v>
      </c>
      <c r="G804" s="24" t="s">
        <v>41</v>
      </c>
      <c r="H804" s="17">
        <v>5</v>
      </c>
      <c r="I804" s="19">
        <v>644.64</v>
      </c>
      <c r="J804" t="s">
        <v>2965</v>
      </c>
      <c r="K804" s="24" t="s">
        <v>60</v>
      </c>
      <c r="L804" s="24" t="s">
        <v>35</v>
      </c>
      <c r="M804" t="s">
        <v>2966</v>
      </c>
      <c r="N804" s="17">
        <v>6</v>
      </c>
      <c r="O804" t="s">
        <v>37</v>
      </c>
      <c r="P804" s="24" t="s">
        <v>38</v>
      </c>
      <c r="Q804" s="19">
        <v>3223.2</v>
      </c>
    </row>
    <row r="805" spans="1:17">
      <c r="A805" t="s">
        <v>2967</v>
      </c>
      <c r="B805" s="23">
        <v>45158</v>
      </c>
      <c r="C805" s="23" t="str">
        <f t="shared" si="36"/>
        <v>Aug</v>
      </c>
      <c r="D805" s="23" t="str">
        <f t="shared" si="37"/>
        <v>2023</v>
      </c>
      <c r="E805" s="23" t="str">
        <f t="shared" si="38"/>
        <v>Q3</v>
      </c>
      <c r="F805" t="s">
        <v>2968</v>
      </c>
      <c r="G805" s="24" t="s">
        <v>16</v>
      </c>
      <c r="H805" s="17">
        <v>5</v>
      </c>
      <c r="I805" s="19">
        <v>397.81</v>
      </c>
      <c r="J805" t="s">
        <v>223</v>
      </c>
      <c r="K805" s="24" t="s">
        <v>18</v>
      </c>
      <c r="L805" s="24" t="s">
        <v>43</v>
      </c>
      <c r="M805" t="s">
        <v>2969</v>
      </c>
      <c r="N805" s="17">
        <v>5</v>
      </c>
      <c r="O805" t="s">
        <v>21</v>
      </c>
      <c r="P805" s="24" t="s">
        <v>29</v>
      </c>
      <c r="Q805" s="19">
        <v>1989.05</v>
      </c>
    </row>
    <row r="806" spans="1:17">
      <c r="A806" t="s">
        <v>2970</v>
      </c>
      <c r="B806" s="23">
        <v>45292</v>
      </c>
      <c r="C806" s="23" t="str">
        <f t="shared" si="36"/>
        <v>Jan</v>
      </c>
      <c r="D806" s="23" t="str">
        <f t="shared" si="37"/>
        <v>2024</v>
      </c>
      <c r="E806" s="23" t="str">
        <f t="shared" si="38"/>
        <v>Q1</v>
      </c>
      <c r="F806" t="s">
        <v>2971</v>
      </c>
      <c r="G806" s="24" t="s">
        <v>41</v>
      </c>
      <c r="H806" s="17">
        <v>3</v>
      </c>
      <c r="I806" s="19">
        <v>236.5</v>
      </c>
      <c r="J806" t="s">
        <v>2972</v>
      </c>
      <c r="K806" s="24" t="s">
        <v>27</v>
      </c>
      <c r="L806" s="24" t="s">
        <v>50</v>
      </c>
      <c r="M806" t="s">
        <v>2973</v>
      </c>
      <c r="N806" s="17">
        <v>8</v>
      </c>
      <c r="O806" t="s">
        <v>37</v>
      </c>
      <c r="P806" s="24" t="s">
        <v>38</v>
      </c>
      <c r="Q806" s="19">
        <v>709.5</v>
      </c>
    </row>
    <row r="807" spans="1:17">
      <c r="A807" t="s">
        <v>2974</v>
      </c>
      <c r="B807" s="23">
        <v>45580</v>
      </c>
      <c r="C807" s="23" t="str">
        <f t="shared" si="36"/>
        <v>Oct</v>
      </c>
      <c r="D807" s="23" t="str">
        <f t="shared" si="37"/>
        <v>2024</v>
      </c>
      <c r="E807" s="23" t="str">
        <f t="shared" si="38"/>
        <v>Q4</v>
      </c>
      <c r="F807" t="s">
        <v>2975</v>
      </c>
      <c r="G807" s="24" t="s">
        <v>58</v>
      </c>
      <c r="H807" s="17">
        <v>5</v>
      </c>
      <c r="I807" s="19">
        <v>472.01</v>
      </c>
      <c r="J807" t="s">
        <v>2976</v>
      </c>
      <c r="K807" s="24" t="s">
        <v>60</v>
      </c>
      <c r="L807" s="24" t="s">
        <v>35</v>
      </c>
      <c r="M807" t="s">
        <v>2977</v>
      </c>
      <c r="N807" s="17">
        <v>10</v>
      </c>
      <c r="O807" t="s">
        <v>21</v>
      </c>
      <c r="P807" s="24" t="s">
        <v>38</v>
      </c>
      <c r="Q807" s="19">
        <v>2360.05</v>
      </c>
    </row>
    <row r="808" spans="1:17">
      <c r="A808" t="s">
        <v>2978</v>
      </c>
      <c r="B808" s="23">
        <v>45170</v>
      </c>
      <c r="C808" s="23" t="str">
        <f t="shared" si="36"/>
        <v>Sep</v>
      </c>
      <c r="D808" s="23" t="str">
        <f t="shared" si="37"/>
        <v>2023</v>
      </c>
      <c r="E808" s="23" t="str">
        <f t="shared" si="38"/>
        <v>Q3</v>
      </c>
      <c r="F808" t="s">
        <v>2979</v>
      </c>
      <c r="G808" s="24" t="s">
        <v>41</v>
      </c>
      <c r="H808" s="17">
        <v>5</v>
      </c>
      <c r="I808" s="19">
        <v>253.75</v>
      </c>
      <c r="J808" t="s">
        <v>1121</v>
      </c>
      <c r="K808" s="24" t="s">
        <v>27</v>
      </c>
      <c r="L808" s="24" t="s">
        <v>89</v>
      </c>
      <c r="M808" t="s">
        <v>2980</v>
      </c>
      <c r="N808" s="17">
        <v>9</v>
      </c>
      <c r="O808" t="s">
        <v>81</v>
      </c>
      <c r="P808" s="24" t="s">
        <v>22</v>
      </c>
      <c r="Q808" s="19">
        <v>1268.75</v>
      </c>
    </row>
    <row r="809" spans="1:17">
      <c r="A809" t="s">
        <v>2981</v>
      </c>
      <c r="B809" s="23">
        <v>45606</v>
      </c>
      <c r="C809" s="23" t="str">
        <f t="shared" si="36"/>
        <v>Nov</v>
      </c>
      <c r="D809" s="23" t="str">
        <f t="shared" si="37"/>
        <v>2024</v>
      </c>
      <c r="E809" s="23" t="str">
        <f t="shared" si="38"/>
        <v>Q4</v>
      </c>
      <c r="F809" t="s">
        <v>2982</v>
      </c>
      <c r="G809" s="24" t="s">
        <v>16</v>
      </c>
      <c r="H809" s="17">
        <v>3</v>
      </c>
      <c r="I809" s="19">
        <v>676.21</v>
      </c>
      <c r="J809" t="s">
        <v>2983</v>
      </c>
      <c r="K809" s="24" t="s">
        <v>27</v>
      </c>
      <c r="L809" s="24" t="s">
        <v>50</v>
      </c>
      <c r="M809" t="s">
        <v>2984</v>
      </c>
      <c r="N809" s="17">
        <v>5</v>
      </c>
      <c r="O809" t="s">
        <v>21</v>
      </c>
      <c r="P809" s="24" t="s">
        <v>76</v>
      </c>
      <c r="Q809" s="19">
        <v>2028.63</v>
      </c>
    </row>
    <row r="810" spans="1:17">
      <c r="A810" t="s">
        <v>2985</v>
      </c>
      <c r="B810" s="23">
        <v>45335</v>
      </c>
      <c r="C810" s="23" t="str">
        <f t="shared" si="36"/>
        <v>Feb</v>
      </c>
      <c r="D810" s="23" t="str">
        <f t="shared" si="37"/>
        <v>2024</v>
      </c>
      <c r="E810" s="23" t="str">
        <f t="shared" si="38"/>
        <v>Q1</v>
      </c>
      <c r="F810" t="s">
        <v>2986</v>
      </c>
      <c r="G810" s="24" t="s">
        <v>73</v>
      </c>
      <c r="H810" s="17">
        <v>3</v>
      </c>
      <c r="I810" s="19">
        <v>134.05</v>
      </c>
      <c r="J810" t="s">
        <v>2987</v>
      </c>
      <c r="K810" s="24" t="s">
        <v>34</v>
      </c>
      <c r="L810" s="24" t="s">
        <v>19</v>
      </c>
      <c r="M810" t="s">
        <v>2988</v>
      </c>
      <c r="N810" s="17">
        <v>3</v>
      </c>
      <c r="O810" t="s">
        <v>4295</v>
      </c>
      <c r="P810" s="24" t="s">
        <v>76</v>
      </c>
      <c r="Q810" s="19">
        <v>402.15</v>
      </c>
    </row>
    <row r="811" spans="1:17">
      <c r="A811" t="s">
        <v>2989</v>
      </c>
      <c r="B811" s="23">
        <v>45391</v>
      </c>
      <c r="C811" s="23" t="str">
        <f t="shared" si="36"/>
        <v>Apr</v>
      </c>
      <c r="D811" s="23" t="str">
        <f t="shared" si="37"/>
        <v>2024</v>
      </c>
      <c r="E811" s="23" t="str">
        <f t="shared" si="38"/>
        <v>Q2</v>
      </c>
      <c r="F811" t="s">
        <v>2990</v>
      </c>
      <c r="G811" s="24" t="s">
        <v>73</v>
      </c>
      <c r="H811" s="17">
        <v>5</v>
      </c>
      <c r="I811" s="19">
        <v>217.43</v>
      </c>
      <c r="J811" t="s">
        <v>293</v>
      </c>
      <c r="K811" s="24" t="s">
        <v>18</v>
      </c>
      <c r="L811" s="24" t="s">
        <v>19</v>
      </c>
      <c r="M811" t="s">
        <v>2991</v>
      </c>
      <c r="N811" s="17">
        <v>10</v>
      </c>
      <c r="O811" t="s">
        <v>21</v>
      </c>
      <c r="P811" s="24" t="s">
        <v>22</v>
      </c>
      <c r="Q811" s="19">
        <v>1087.15</v>
      </c>
    </row>
    <row r="812" spans="1:17">
      <c r="A812" t="s">
        <v>2992</v>
      </c>
      <c r="B812" s="23">
        <v>45077</v>
      </c>
      <c r="C812" s="23" t="str">
        <f t="shared" si="36"/>
        <v>May</v>
      </c>
      <c r="D812" s="23" t="str">
        <f t="shared" si="37"/>
        <v>2023</v>
      </c>
      <c r="E812" s="23" t="str">
        <f t="shared" si="38"/>
        <v>Q2</v>
      </c>
      <c r="F812" t="s">
        <v>2993</v>
      </c>
      <c r="G812" s="24" t="s">
        <v>32</v>
      </c>
      <c r="H812" s="17">
        <v>1</v>
      </c>
      <c r="I812" s="19">
        <v>553.56</v>
      </c>
      <c r="J812" t="s">
        <v>2994</v>
      </c>
      <c r="K812" s="24" t="s">
        <v>34</v>
      </c>
      <c r="L812" s="24" t="s">
        <v>35</v>
      </c>
      <c r="M812" t="s">
        <v>2995</v>
      </c>
      <c r="N812" s="17">
        <v>5</v>
      </c>
      <c r="O812" t="s">
        <v>4295</v>
      </c>
      <c r="P812" s="24" t="s">
        <v>29</v>
      </c>
      <c r="Q812" s="19">
        <v>553.56</v>
      </c>
    </row>
    <row r="813" spans="1:17">
      <c r="A813" t="s">
        <v>2996</v>
      </c>
      <c r="B813" s="23">
        <v>45235</v>
      </c>
      <c r="C813" s="23" t="str">
        <f t="shared" si="36"/>
        <v>Nov</v>
      </c>
      <c r="D813" s="23" t="str">
        <f t="shared" si="37"/>
        <v>2023</v>
      </c>
      <c r="E813" s="23" t="str">
        <f t="shared" si="38"/>
        <v>Q4</v>
      </c>
      <c r="F813" t="s">
        <v>2997</v>
      </c>
      <c r="G813" s="24" t="s">
        <v>58</v>
      </c>
      <c r="H813" s="17">
        <v>2</v>
      </c>
      <c r="I813" s="19">
        <v>28.55</v>
      </c>
      <c r="J813" t="s">
        <v>2794</v>
      </c>
      <c r="K813" s="24" t="s">
        <v>60</v>
      </c>
      <c r="L813" s="24" t="s">
        <v>19</v>
      </c>
      <c r="M813" t="s">
        <v>2998</v>
      </c>
      <c r="N813" s="17">
        <v>7</v>
      </c>
      <c r="O813" t="s">
        <v>21</v>
      </c>
      <c r="P813" s="24" t="s">
        <v>38</v>
      </c>
      <c r="Q813" s="19">
        <v>57.1</v>
      </c>
    </row>
    <row r="814" spans="1:17">
      <c r="A814" t="s">
        <v>2999</v>
      </c>
      <c r="B814" s="23">
        <v>45317</v>
      </c>
      <c r="C814" s="23" t="str">
        <f t="shared" si="36"/>
        <v>Jan</v>
      </c>
      <c r="D814" s="23" t="str">
        <f t="shared" si="37"/>
        <v>2024</v>
      </c>
      <c r="E814" s="23" t="str">
        <f t="shared" si="38"/>
        <v>Q1</v>
      </c>
      <c r="F814" t="s">
        <v>3000</v>
      </c>
      <c r="G814" s="24" t="s">
        <v>25</v>
      </c>
      <c r="H814" s="17">
        <v>2</v>
      </c>
      <c r="I814" s="19">
        <v>255.26</v>
      </c>
      <c r="J814" t="s">
        <v>1070</v>
      </c>
      <c r="K814" s="24" t="s">
        <v>34</v>
      </c>
      <c r="L814" s="24" t="s">
        <v>35</v>
      </c>
      <c r="M814" t="s">
        <v>3001</v>
      </c>
      <c r="N814" s="17">
        <v>6</v>
      </c>
      <c r="O814" t="s">
        <v>37</v>
      </c>
      <c r="P814" s="24" t="s">
        <v>76</v>
      </c>
      <c r="Q814" s="19">
        <v>510.52</v>
      </c>
    </row>
    <row r="815" spans="1:17">
      <c r="A815" t="s">
        <v>3002</v>
      </c>
      <c r="B815" s="23">
        <v>45731</v>
      </c>
      <c r="C815" s="23" t="str">
        <f t="shared" si="36"/>
        <v>Mar</v>
      </c>
      <c r="D815" s="23" t="str">
        <f t="shared" si="37"/>
        <v>2025</v>
      </c>
      <c r="E815" s="23" t="str">
        <f t="shared" si="38"/>
        <v>Q1</v>
      </c>
      <c r="F815" t="s">
        <v>3003</v>
      </c>
      <c r="G815" s="24" t="s">
        <v>58</v>
      </c>
      <c r="H815" s="17">
        <v>5</v>
      </c>
      <c r="I815" s="19">
        <v>292.54</v>
      </c>
      <c r="J815" t="s">
        <v>1117</v>
      </c>
      <c r="K815" s="24" t="s">
        <v>18</v>
      </c>
      <c r="L815" s="24" t="s">
        <v>35</v>
      </c>
      <c r="M815" t="s">
        <v>3004</v>
      </c>
      <c r="N815" s="17">
        <v>8</v>
      </c>
      <c r="O815" t="s">
        <v>37</v>
      </c>
      <c r="P815" s="24" t="s">
        <v>38</v>
      </c>
      <c r="Q815" s="19">
        <v>1462.7</v>
      </c>
    </row>
    <row r="816" spans="1:17">
      <c r="A816" t="s">
        <v>3005</v>
      </c>
      <c r="B816" s="23">
        <v>45637</v>
      </c>
      <c r="C816" s="23" t="str">
        <f t="shared" si="36"/>
        <v>Dec</v>
      </c>
      <c r="D816" s="23" t="str">
        <f t="shared" si="37"/>
        <v>2024</v>
      </c>
      <c r="E816" s="23" t="str">
        <f t="shared" si="38"/>
        <v>Q4</v>
      </c>
      <c r="F816" t="s">
        <v>3006</v>
      </c>
      <c r="G816" s="24" t="s">
        <v>41</v>
      </c>
      <c r="H816" s="17">
        <v>4</v>
      </c>
      <c r="I816" s="19">
        <v>147.51</v>
      </c>
      <c r="J816" t="s">
        <v>3007</v>
      </c>
      <c r="K816" s="24" t="s">
        <v>18</v>
      </c>
      <c r="L816" s="24" t="s">
        <v>89</v>
      </c>
      <c r="M816" t="s">
        <v>3008</v>
      </c>
      <c r="N816" s="17">
        <v>4</v>
      </c>
      <c r="O816" t="s">
        <v>81</v>
      </c>
      <c r="P816" s="24" t="s">
        <v>22</v>
      </c>
      <c r="Q816" s="19">
        <v>590.04</v>
      </c>
    </row>
    <row r="817" spans="1:17">
      <c r="A817" t="s">
        <v>3009</v>
      </c>
      <c r="B817" s="23">
        <v>45508</v>
      </c>
      <c r="C817" s="23" t="str">
        <f t="shared" si="36"/>
        <v>Aug</v>
      </c>
      <c r="D817" s="23" t="str">
        <f t="shared" si="37"/>
        <v>2024</v>
      </c>
      <c r="E817" s="23" t="str">
        <f t="shared" si="38"/>
        <v>Q3</v>
      </c>
      <c r="F817" t="s">
        <v>3010</v>
      </c>
      <c r="G817" s="24" t="s">
        <v>48</v>
      </c>
      <c r="H817" s="17">
        <v>3</v>
      </c>
      <c r="I817" s="19">
        <v>569.84</v>
      </c>
      <c r="J817" t="s">
        <v>3011</v>
      </c>
      <c r="K817" s="24" t="s">
        <v>60</v>
      </c>
      <c r="L817" s="24" t="s">
        <v>35</v>
      </c>
      <c r="M817" t="s">
        <v>3012</v>
      </c>
      <c r="N817" s="17">
        <v>8</v>
      </c>
      <c r="O817" t="s">
        <v>81</v>
      </c>
      <c r="P817" s="24" t="s">
        <v>22</v>
      </c>
      <c r="Q817" s="19">
        <v>1709.52</v>
      </c>
    </row>
    <row r="818" spans="1:17">
      <c r="A818" t="s">
        <v>3013</v>
      </c>
      <c r="B818" s="23">
        <v>45343</v>
      </c>
      <c r="C818" s="23" t="str">
        <f t="shared" si="36"/>
        <v>Feb</v>
      </c>
      <c r="D818" s="23" t="str">
        <f t="shared" si="37"/>
        <v>2024</v>
      </c>
      <c r="E818" s="23" t="str">
        <f t="shared" si="38"/>
        <v>Q1</v>
      </c>
      <c r="F818" t="s">
        <v>3014</v>
      </c>
      <c r="G818" s="24" t="s">
        <v>32</v>
      </c>
      <c r="H818" s="17">
        <v>5</v>
      </c>
      <c r="I818" s="19">
        <v>574.79</v>
      </c>
      <c r="J818" t="s">
        <v>892</v>
      </c>
      <c r="K818" s="24" t="s">
        <v>34</v>
      </c>
      <c r="L818" s="24" t="s">
        <v>89</v>
      </c>
      <c r="M818" t="s">
        <v>3015</v>
      </c>
      <c r="N818" s="17">
        <v>8</v>
      </c>
      <c r="O818" t="s">
        <v>81</v>
      </c>
      <c r="P818" s="24" t="s">
        <v>29</v>
      </c>
      <c r="Q818" s="19">
        <v>2873.95</v>
      </c>
    </row>
    <row r="819" spans="1:17">
      <c r="A819" t="s">
        <v>3016</v>
      </c>
      <c r="B819" s="23">
        <v>45204</v>
      </c>
      <c r="C819" s="23" t="str">
        <f t="shared" si="36"/>
        <v>Oct</v>
      </c>
      <c r="D819" s="23" t="str">
        <f t="shared" si="37"/>
        <v>2023</v>
      </c>
      <c r="E819" s="23" t="str">
        <f t="shared" si="38"/>
        <v>Q4</v>
      </c>
      <c r="F819" t="s">
        <v>3017</v>
      </c>
      <c r="G819" s="24" t="s">
        <v>41</v>
      </c>
      <c r="H819" s="17">
        <v>4</v>
      </c>
      <c r="I819" s="19">
        <v>598.19</v>
      </c>
      <c r="J819" t="s">
        <v>3018</v>
      </c>
      <c r="K819" s="24" t="s">
        <v>34</v>
      </c>
      <c r="L819" s="24" t="s">
        <v>50</v>
      </c>
      <c r="M819" t="s">
        <v>3019</v>
      </c>
      <c r="N819" s="17">
        <v>7</v>
      </c>
      <c r="O819" t="s">
        <v>81</v>
      </c>
      <c r="P819" s="24" t="s">
        <v>38</v>
      </c>
      <c r="Q819" s="19">
        <v>2392.76</v>
      </c>
    </row>
    <row r="820" spans="1:17">
      <c r="A820" t="s">
        <v>3020</v>
      </c>
      <c r="B820" s="23">
        <v>44987</v>
      </c>
      <c r="C820" s="23" t="str">
        <f t="shared" si="36"/>
        <v>Mar</v>
      </c>
      <c r="D820" s="23" t="str">
        <f t="shared" si="37"/>
        <v>2023</v>
      </c>
      <c r="E820" s="23" t="str">
        <f t="shared" si="38"/>
        <v>Q1</v>
      </c>
      <c r="F820" t="s">
        <v>3021</v>
      </c>
      <c r="G820" s="24" t="s">
        <v>25</v>
      </c>
      <c r="H820" s="17">
        <v>4</v>
      </c>
      <c r="I820" s="19">
        <v>390.84</v>
      </c>
      <c r="J820" t="s">
        <v>2519</v>
      </c>
      <c r="K820" s="24" t="s">
        <v>34</v>
      </c>
      <c r="L820" s="24" t="s">
        <v>35</v>
      </c>
      <c r="M820" t="s">
        <v>3022</v>
      </c>
      <c r="N820" s="17">
        <v>9</v>
      </c>
      <c r="O820" t="s">
        <v>81</v>
      </c>
      <c r="P820" s="24" t="s">
        <v>29</v>
      </c>
      <c r="Q820" s="19">
        <v>1563.36</v>
      </c>
    </row>
    <row r="821" spans="1:17">
      <c r="A821" t="s">
        <v>3023</v>
      </c>
      <c r="B821" s="23">
        <v>45563</v>
      </c>
      <c r="C821" s="23" t="str">
        <f t="shared" si="36"/>
        <v>Sep</v>
      </c>
      <c r="D821" s="23" t="str">
        <f t="shared" si="37"/>
        <v>2024</v>
      </c>
      <c r="E821" s="23" t="str">
        <f t="shared" si="38"/>
        <v>Q3</v>
      </c>
      <c r="F821" t="s">
        <v>3024</v>
      </c>
      <c r="G821" s="24" t="s">
        <v>25</v>
      </c>
      <c r="H821" s="17">
        <v>2</v>
      </c>
      <c r="I821" s="19">
        <v>398.45</v>
      </c>
      <c r="J821" t="s">
        <v>3025</v>
      </c>
      <c r="K821" s="24" t="s">
        <v>18</v>
      </c>
      <c r="L821" s="24" t="s">
        <v>35</v>
      </c>
      <c r="M821" t="s">
        <v>3026</v>
      </c>
      <c r="N821" s="17">
        <v>7</v>
      </c>
      <c r="O821" t="s">
        <v>21</v>
      </c>
      <c r="P821" s="24" t="s">
        <v>76</v>
      </c>
      <c r="Q821" s="19">
        <v>796.9</v>
      </c>
    </row>
    <row r="822" spans="1:17">
      <c r="A822" t="s">
        <v>3027</v>
      </c>
      <c r="B822" s="23">
        <v>45073</v>
      </c>
      <c r="C822" s="23" t="str">
        <f t="shared" si="36"/>
        <v>May</v>
      </c>
      <c r="D822" s="23" t="str">
        <f t="shared" si="37"/>
        <v>2023</v>
      </c>
      <c r="E822" s="23" t="str">
        <f t="shared" si="38"/>
        <v>Q2</v>
      </c>
      <c r="F822" t="s">
        <v>3028</v>
      </c>
      <c r="G822" s="24" t="s">
        <v>25</v>
      </c>
      <c r="H822" s="17">
        <v>5</v>
      </c>
      <c r="I822" s="19">
        <v>623.81</v>
      </c>
      <c r="J822" t="s">
        <v>1396</v>
      </c>
      <c r="K822" s="24" t="s">
        <v>65</v>
      </c>
      <c r="L822" s="24" t="s">
        <v>43</v>
      </c>
      <c r="M822" t="s">
        <v>3029</v>
      </c>
      <c r="N822" s="17">
        <v>6</v>
      </c>
      <c r="O822" t="s">
        <v>37</v>
      </c>
      <c r="P822" s="24" t="s">
        <v>38</v>
      </c>
      <c r="Q822" s="19">
        <v>3119.05</v>
      </c>
    </row>
    <row r="823" spans="1:17">
      <c r="A823" t="s">
        <v>3030</v>
      </c>
      <c r="B823" s="23">
        <v>45640</v>
      </c>
      <c r="C823" s="23" t="str">
        <f t="shared" si="36"/>
        <v>Dec</v>
      </c>
      <c r="D823" s="23" t="str">
        <f t="shared" si="37"/>
        <v>2024</v>
      </c>
      <c r="E823" s="23" t="str">
        <f t="shared" si="38"/>
        <v>Q4</v>
      </c>
      <c r="F823" t="s">
        <v>3031</v>
      </c>
      <c r="G823" s="24" t="s">
        <v>58</v>
      </c>
      <c r="H823" s="17">
        <v>4</v>
      </c>
      <c r="I823" s="19">
        <v>174.49</v>
      </c>
      <c r="J823" t="s">
        <v>1364</v>
      </c>
      <c r="K823" s="24" t="s">
        <v>34</v>
      </c>
      <c r="L823" s="24" t="s">
        <v>50</v>
      </c>
      <c r="M823" t="s">
        <v>3032</v>
      </c>
      <c r="N823" s="17">
        <v>5</v>
      </c>
      <c r="O823" t="s">
        <v>21</v>
      </c>
      <c r="P823" s="24" t="s">
        <v>45</v>
      </c>
      <c r="Q823" s="19">
        <v>697.96</v>
      </c>
    </row>
    <row r="824" spans="1:17">
      <c r="A824" t="s">
        <v>3033</v>
      </c>
      <c r="B824" s="23">
        <v>45731</v>
      </c>
      <c r="C824" s="23" t="str">
        <f t="shared" si="36"/>
        <v>Mar</v>
      </c>
      <c r="D824" s="23" t="str">
        <f t="shared" si="37"/>
        <v>2025</v>
      </c>
      <c r="E824" s="23" t="str">
        <f t="shared" si="38"/>
        <v>Q1</v>
      </c>
      <c r="F824" t="s">
        <v>3034</v>
      </c>
      <c r="G824" s="24" t="s">
        <v>25</v>
      </c>
      <c r="H824" s="17">
        <v>1</v>
      </c>
      <c r="I824" s="19">
        <v>479.56</v>
      </c>
      <c r="J824" t="s">
        <v>320</v>
      </c>
      <c r="K824" s="24" t="s">
        <v>60</v>
      </c>
      <c r="L824" s="24" t="s">
        <v>43</v>
      </c>
      <c r="M824" t="s">
        <v>3035</v>
      </c>
      <c r="N824" s="17">
        <v>1</v>
      </c>
      <c r="O824" t="s">
        <v>21</v>
      </c>
      <c r="P824" s="24" t="s">
        <v>76</v>
      </c>
      <c r="Q824" s="19">
        <v>479.56</v>
      </c>
    </row>
    <row r="825" spans="1:17">
      <c r="A825" t="s">
        <v>3036</v>
      </c>
      <c r="B825" s="23">
        <v>45572</v>
      </c>
      <c r="C825" s="23" t="str">
        <f t="shared" si="36"/>
        <v>Oct</v>
      </c>
      <c r="D825" s="23" t="str">
        <f t="shared" si="37"/>
        <v>2024</v>
      </c>
      <c r="E825" s="23" t="str">
        <f t="shared" si="38"/>
        <v>Q4</v>
      </c>
      <c r="F825" t="s">
        <v>3037</v>
      </c>
      <c r="G825" s="24" t="s">
        <v>58</v>
      </c>
      <c r="H825" s="17">
        <v>4</v>
      </c>
      <c r="I825" s="19">
        <v>653.13</v>
      </c>
      <c r="J825" t="s">
        <v>3038</v>
      </c>
      <c r="K825" s="24" t="s">
        <v>34</v>
      </c>
      <c r="L825" s="24" t="s">
        <v>19</v>
      </c>
      <c r="M825" t="s">
        <v>3039</v>
      </c>
      <c r="N825" s="17">
        <v>8</v>
      </c>
      <c r="O825" t="s">
        <v>81</v>
      </c>
      <c r="P825" s="24" t="s">
        <v>22</v>
      </c>
      <c r="Q825" s="19">
        <v>2612.52</v>
      </c>
    </row>
    <row r="826" spans="1:17">
      <c r="A826" t="s">
        <v>3040</v>
      </c>
      <c r="B826" s="23">
        <v>45167</v>
      </c>
      <c r="C826" s="23" t="str">
        <f t="shared" si="36"/>
        <v>Aug</v>
      </c>
      <c r="D826" s="23" t="str">
        <f t="shared" si="37"/>
        <v>2023</v>
      </c>
      <c r="E826" s="23" t="str">
        <f t="shared" si="38"/>
        <v>Q3</v>
      </c>
      <c r="F826" t="s">
        <v>3041</v>
      </c>
      <c r="G826" s="24" t="s">
        <v>16</v>
      </c>
      <c r="H826" s="17">
        <v>3</v>
      </c>
      <c r="I826" s="19">
        <v>481.1</v>
      </c>
      <c r="J826" t="s">
        <v>3042</v>
      </c>
      <c r="K826" s="24" t="s">
        <v>34</v>
      </c>
      <c r="L826" s="24" t="s">
        <v>43</v>
      </c>
      <c r="M826" t="s">
        <v>3043</v>
      </c>
      <c r="N826" s="17">
        <v>3</v>
      </c>
      <c r="O826" t="s">
        <v>37</v>
      </c>
      <c r="P826" s="24" t="s">
        <v>45</v>
      </c>
      <c r="Q826" s="19">
        <v>1443.3</v>
      </c>
    </row>
    <row r="827" spans="1:17">
      <c r="A827" t="s">
        <v>3044</v>
      </c>
      <c r="B827" s="23">
        <v>45742</v>
      </c>
      <c r="C827" s="23" t="str">
        <f t="shared" si="36"/>
        <v>Mar</v>
      </c>
      <c r="D827" s="23" t="str">
        <f t="shared" si="37"/>
        <v>2025</v>
      </c>
      <c r="E827" s="23" t="str">
        <f t="shared" si="38"/>
        <v>Q1</v>
      </c>
      <c r="F827" t="s">
        <v>3045</v>
      </c>
      <c r="G827" s="24" t="s">
        <v>73</v>
      </c>
      <c r="H827" s="17">
        <v>5</v>
      </c>
      <c r="I827" s="19">
        <v>271.69</v>
      </c>
      <c r="J827" t="s">
        <v>3046</v>
      </c>
      <c r="K827" s="24" t="s">
        <v>27</v>
      </c>
      <c r="L827" s="24" t="s">
        <v>43</v>
      </c>
      <c r="M827" t="s">
        <v>3047</v>
      </c>
      <c r="N827" s="17">
        <v>7</v>
      </c>
      <c r="O827" t="s">
        <v>37</v>
      </c>
      <c r="P827" s="24" t="s">
        <v>22</v>
      </c>
      <c r="Q827" s="19">
        <v>1358.45</v>
      </c>
    </row>
    <row r="828" spans="1:17">
      <c r="A828" t="s">
        <v>3048</v>
      </c>
      <c r="B828" s="23">
        <v>45724</v>
      </c>
      <c r="C828" s="23" t="str">
        <f t="shared" si="36"/>
        <v>Mar</v>
      </c>
      <c r="D828" s="23" t="str">
        <f t="shared" si="37"/>
        <v>2025</v>
      </c>
      <c r="E828" s="23" t="str">
        <f t="shared" si="38"/>
        <v>Q1</v>
      </c>
      <c r="F828" t="s">
        <v>3049</v>
      </c>
      <c r="G828" s="24" t="s">
        <v>48</v>
      </c>
      <c r="H828" s="17">
        <v>3</v>
      </c>
      <c r="I828" s="19">
        <v>463.81</v>
      </c>
      <c r="J828" t="s">
        <v>735</v>
      </c>
      <c r="K828" s="24" t="s">
        <v>27</v>
      </c>
      <c r="L828" s="24" t="s">
        <v>43</v>
      </c>
      <c r="M828" t="s">
        <v>3050</v>
      </c>
      <c r="N828" s="17">
        <v>8</v>
      </c>
      <c r="O828" t="s">
        <v>81</v>
      </c>
      <c r="P828" s="24" t="s">
        <v>38</v>
      </c>
      <c r="Q828" s="19">
        <v>1391.43</v>
      </c>
    </row>
    <row r="829" spans="1:17">
      <c r="A829" t="s">
        <v>3051</v>
      </c>
      <c r="B829" s="23">
        <v>45071</v>
      </c>
      <c r="C829" s="23" t="str">
        <f t="shared" si="36"/>
        <v>May</v>
      </c>
      <c r="D829" s="23" t="str">
        <f t="shared" si="37"/>
        <v>2023</v>
      </c>
      <c r="E829" s="23" t="str">
        <f t="shared" si="38"/>
        <v>Q2</v>
      </c>
      <c r="F829" t="s">
        <v>3052</v>
      </c>
      <c r="G829" s="24" t="s">
        <v>32</v>
      </c>
      <c r="H829" s="17">
        <v>2</v>
      </c>
      <c r="I829" s="19">
        <v>639.88</v>
      </c>
      <c r="J829" t="s">
        <v>873</v>
      </c>
      <c r="K829" s="24" t="s">
        <v>65</v>
      </c>
      <c r="L829" s="24" t="s">
        <v>50</v>
      </c>
      <c r="M829" t="s">
        <v>3053</v>
      </c>
      <c r="N829" s="17">
        <v>5</v>
      </c>
      <c r="O829" t="s">
        <v>81</v>
      </c>
      <c r="P829" s="24" t="s">
        <v>22</v>
      </c>
      <c r="Q829" s="19">
        <v>1279.76</v>
      </c>
    </row>
    <row r="830" spans="1:17">
      <c r="A830" t="s">
        <v>3054</v>
      </c>
      <c r="B830" s="23">
        <v>45497</v>
      </c>
      <c r="C830" s="23" t="str">
        <f t="shared" si="36"/>
        <v>Jul</v>
      </c>
      <c r="D830" s="23" t="str">
        <f t="shared" si="37"/>
        <v>2024</v>
      </c>
      <c r="E830" s="23" t="str">
        <f t="shared" si="38"/>
        <v>Q3</v>
      </c>
      <c r="F830" t="s">
        <v>3055</v>
      </c>
      <c r="G830" s="24" t="s">
        <v>41</v>
      </c>
      <c r="H830" s="17">
        <v>4</v>
      </c>
      <c r="I830" s="19">
        <v>404.58</v>
      </c>
      <c r="J830" t="s">
        <v>3056</v>
      </c>
      <c r="K830" s="24" t="s">
        <v>65</v>
      </c>
      <c r="L830" s="24" t="s">
        <v>19</v>
      </c>
      <c r="M830" t="s">
        <v>3057</v>
      </c>
      <c r="N830" s="17">
        <v>5</v>
      </c>
      <c r="O830" t="s">
        <v>37</v>
      </c>
      <c r="P830" s="24" t="s">
        <v>22</v>
      </c>
      <c r="Q830" s="19">
        <v>1618.32</v>
      </c>
    </row>
    <row r="831" spans="1:17">
      <c r="A831" t="s">
        <v>3058</v>
      </c>
      <c r="B831" s="23">
        <v>44962</v>
      </c>
      <c r="C831" s="23" t="str">
        <f t="shared" si="36"/>
        <v>Feb</v>
      </c>
      <c r="D831" s="23" t="str">
        <f t="shared" si="37"/>
        <v>2023</v>
      </c>
      <c r="E831" s="23" t="str">
        <f t="shared" si="38"/>
        <v>Q1</v>
      </c>
      <c r="F831" t="s">
        <v>3059</v>
      </c>
      <c r="G831" s="24" t="s">
        <v>16</v>
      </c>
      <c r="H831" s="17">
        <v>1</v>
      </c>
      <c r="I831" s="19">
        <v>76.93</v>
      </c>
      <c r="J831" t="s">
        <v>3060</v>
      </c>
      <c r="K831" s="24" t="s">
        <v>18</v>
      </c>
      <c r="L831" s="24" t="s">
        <v>50</v>
      </c>
      <c r="M831" t="s">
        <v>3061</v>
      </c>
      <c r="N831" s="17">
        <v>6</v>
      </c>
      <c r="O831" t="s">
        <v>81</v>
      </c>
      <c r="P831" s="24" t="s">
        <v>22</v>
      </c>
      <c r="Q831" s="19">
        <v>76.93</v>
      </c>
    </row>
    <row r="832" spans="1:17">
      <c r="A832" t="s">
        <v>3062</v>
      </c>
      <c r="B832" s="23">
        <v>45637</v>
      </c>
      <c r="C832" s="23" t="str">
        <f t="shared" si="36"/>
        <v>Dec</v>
      </c>
      <c r="D832" s="23" t="str">
        <f t="shared" si="37"/>
        <v>2024</v>
      </c>
      <c r="E832" s="23" t="str">
        <f t="shared" si="38"/>
        <v>Q4</v>
      </c>
      <c r="F832" t="s">
        <v>3063</v>
      </c>
      <c r="G832" s="24" t="s">
        <v>32</v>
      </c>
      <c r="H832" s="17">
        <v>4</v>
      </c>
      <c r="I832" s="19">
        <v>190.64</v>
      </c>
      <c r="J832" t="s">
        <v>3064</v>
      </c>
      <c r="K832" s="24" t="s">
        <v>65</v>
      </c>
      <c r="L832" s="24" t="s">
        <v>50</v>
      </c>
      <c r="M832" t="s">
        <v>3065</v>
      </c>
      <c r="N832" s="17">
        <v>5</v>
      </c>
      <c r="O832" t="s">
        <v>21</v>
      </c>
      <c r="P832" s="24" t="s">
        <v>38</v>
      </c>
      <c r="Q832" s="19">
        <v>762.56</v>
      </c>
    </row>
    <row r="833" spans="1:17">
      <c r="A833" t="s">
        <v>3066</v>
      </c>
      <c r="B833" s="23">
        <v>45278</v>
      </c>
      <c r="C833" s="23" t="str">
        <f t="shared" si="36"/>
        <v>Dec</v>
      </c>
      <c r="D833" s="23" t="str">
        <f t="shared" si="37"/>
        <v>2023</v>
      </c>
      <c r="E833" s="23" t="str">
        <f t="shared" si="38"/>
        <v>Q4</v>
      </c>
      <c r="F833" t="s">
        <v>3067</v>
      </c>
      <c r="G833" s="24" t="s">
        <v>48</v>
      </c>
      <c r="H833" s="17">
        <v>2</v>
      </c>
      <c r="I833" s="19">
        <v>88.73</v>
      </c>
      <c r="J833" t="s">
        <v>2371</v>
      </c>
      <c r="K833" s="24" t="s">
        <v>27</v>
      </c>
      <c r="L833" s="24" t="s">
        <v>89</v>
      </c>
      <c r="M833" t="s">
        <v>3068</v>
      </c>
      <c r="N833" s="17">
        <v>5</v>
      </c>
      <c r="O833" t="s">
        <v>4295</v>
      </c>
      <c r="P833" s="24" t="s">
        <v>76</v>
      </c>
      <c r="Q833" s="19">
        <v>177.46</v>
      </c>
    </row>
    <row r="834" spans="1:17">
      <c r="A834" t="s">
        <v>3069</v>
      </c>
      <c r="B834" s="23">
        <v>45363</v>
      </c>
      <c r="C834" s="23" t="str">
        <f t="shared" ref="C834:C897" si="39">TEXT(B834,"MMM")</f>
        <v>Mar</v>
      </c>
      <c r="D834" s="23" t="str">
        <f t="shared" ref="D834:D897" si="40">TEXT(B834,"YYYY")</f>
        <v>2024</v>
      </c>
      <c r="E834" s="23" t="str">
        <f t="shared" ref="E834:E897" si="41">"Q"&amp;ROUNDUP(MONTH(B834)/3,0)</f>
        <v>Q1</v>
      </c>
      <c r="F834" t="s">
        <v>3070</v>
      </c>
      <c r="G834" s="24" t="s">
        <v>41</v>
      </c>
      <c r="H834" s="17">
        <v>5</v>
      </c>
      <c r="I834" s="19">
        <v>485.71</v>
      </c>
      <c r="J834" t="s">
        <v>93</v>
      </c>
      <c r="K834" s="24" t="s">
        <v>27</v>
      </c>
      <c r="L834" s="24" t="s">
        <v>89</v>
      </c>
      <c r="M834" t="s">
        <v>3071</v>
      </c>
      <c r="N834" s="17">
        <v>10</v>
      </c>
      <c r="O834" t="s">
        <v>21</v>
      </c>
      <c r="P834" s="24" t="s">
        <v>29</v>
      </c>
      <c r="Q834" s="19">
        <v>2428.55</v>
      </c>
    </row>
    <row r="835" spans="1:17">
      <c r="A835" t="s">
        <v>3072</v>
      </c>
      <c r="B835" s="23">
        <v>45730</v>
      </c>
      <c r="C835" s="23" t="str">
        <f t="shared" si="39"/>
        <v>Mar</v>
      </c>
      <c r="D835" s="23" t="str">
        <f t="shared" si="40"/>
        <v>2025</v>
      </c>
      <c r="E835" s="23" t="str">
        <f t="shared" si="41"/>
        <v>Q1</v>
      </c>
      <c r="F835" t="s">
        <v>3073</v>
      </c>
      <c r="G835" s="24" t="s">
        <v>25</v>
      </c>
      <c r="H835" s="17">
        <v>5</v>
      </c>
      <c r="I835" s="19">
        <v>78.29</v>
      </c>
      <c r="J835" t="s">
        <v>3074</v>
      </c>
      <c r="K835" s="24" t="s">
        <v>34</v>
      </c>
      <c r="L835" s="24" t="s">
        <v>19</v>
      </c>
      <c r="M835" t="s">
        <v>3075</v>
      </c>
      <c r="N835" s="17">
        <v>5</v>
      </c>
      <c r="O835" t="s">
        <v>81</v>
      </c>
      <c r="P835" s="24" t="s">
        <v>29</v>
      </c>
      <c r="Q835" s="19">
        <v>391.45</v>
      </c>
    </row>
    <row r="836" spans="1:17">
      <c r="A836" t="s">
        <v>3076</v>
      </c>
      <c r="B836" s="23">
        <v>45393</v>
      </c>
      <c r="C836" s="23" t="str">
        <f t="shared" si="39"/>
        <v>Apr</v>
      </c>
      <c r="D836" s="23" t="str">
        <f t="shared" si="40"/>
        <v>2024</v>
      </c>
      <c r="E836" s="23" t="str">
        <f t="shared" si="41"/>
        <v>Q2</v>
      </c>
      <c r="F836" t="s">
        <v>3077</v>
      </c>
      <c r="G836" s="24" t="s">
        <v>48</v>
      </c>
      <c r="H836" s="17">
        <v>5</v>
      </c>
      <c r="I836" s="19">
        <v>22.14</v>
      </c>
      <c r="J836" t="s">
        <v>964</v>
      </c>
      <c r="K836" s="24" t="s">
        <v>65</v>
      </c>
      <c r="L836" s="24" t="s">
        <v>43</v>
      </c>
      <c r="M836" t="s">
        <v>3078</v>
      </c>
      <c r="N836" s="17">
        <v>10</v>
      </c>
      <c r="O836" t="s">
        <v>4295</v>
      </c>
      <c r="P836" s="24" t="s">
        <v>22</v>
      </c>
      <c r="Q836" s="19">
        <v>110.7</v>
      </c>
    </row>
    <row r="837" spans="1:17">
      <c r="A837" t="s">
        <v>3079</v>
      </c>
      <c r="B837" s="23">
        <v>45377</v>
      </c>
      <c r="C837" s="23" t="str">
        <f t="shared" si="39"/>
        <v>Mar</v>
      </c>
      <c r="D837" s="23" t="str">
        <f t="shared" si="40"/>
        <v>2024</v>
      </c>
      <c r="E837" s="23" t="str">
        <f t="shared" si="41"/>
        <v>Q1</v>
      </c>
      <c r="F837" t="s">
        <v>3080</v>
      </c>
      <c r="G837" s="24" t="s">
        <v>73</v>
      </c>
      <c r="H837" s="17">
        <v>1</v>
      </c>
      <c r="I837" s="19">
        <v>679.65</v>
      </c>
      <c r="J837" t="s">
        <v>3081</v>
      </c>
      <c r="K837" s="24" t="s">
        <v>18</v>
      </c>
      <c r="L837" s="24" t="s">
        <v>19</v>
      </c>
      <c r="M837" t="s">
        <v>3082</v>
      </c>
      <c r="N837" s="17">
        <v>6</v>
      </c>
      <c r="O837" t="s">
        <v>37</v>
      </c>
      <c r="P837" s="24" t="s">
        <v>76</v>
      </c>
      <c r="Q837" s="19">
        <v>679.65</v>
      </c>
    </row>
    <row r="838" spans="1:17">
      <c r="A838" t="s">
        <v>3083</v>
      </c>
      <c r="B838" s="23">
        <v>44959</v>
      </c>
      <c r="C838" s="23" t="str">
        <f t="shared" si="39"/>
        <v>Feb</v>
      </c>
      <c r="D838" s="23" t="str">
        <f t="shared" si="40"/>
        <v>2023</v>
      </c>
      <c r="E838" s="23" t="str">
        <f t="shared" si="41"/>
        <v>Q1</v>
      </c>
      <c r="F838" t="s">
        <v>3084</v>
      </c>
      <c r="G838" s="24" t="s">
        <v>25</v>
      </c>
      <c r="H838" s="17">
        <v>1</v>
      </c>
      <c r="I838" s="19">
        <v>178.44</v>
      </c>
      <c r="J838" t="s">
        <v>2446</v>
      </c>
      <c r="K838" s="24" t="s">
        <v>34</v>
      </c>
      <c r="L838" s="24" t="s">
        <v>35</v>
      </c>
      <c r="M838" t="s">
        <v>3085</v>
      </c>
      <c r="N838" s="17">
        <v>2</v>
      </c>
      <c r="O838" t="s">
        <v>37</v>
      </c>
      <c r="P838" s="24" t="s">
        <v>76</v>
      </c>
      <c r="Q838" s="19">
        <v>178.44</v>
      </c>
    </row>
    <row r="839" spans="1:17">
      <c r="A839" t="s">
        <v>3086</v>
      </c>
      <c r="B839" s="23">
        <v>45822</v>
      </c>
      <c r="C839" s="23" t="str">
        <f t="shared" si="39"/>
        <v>Jun</v>
      </c>
      <c r="D839" s="23" t="str">
        <f t="shared" si="40"/>
        <v>2025</v>
      </c>
      <c r="E839" s="23" t="str">
        <f t="shared" si="41"/>
        <v>Q2</v>
      </c>
      <c r="F839" t="s">
        <v>3087</v>
      </c>
      <c r="G839" s="24" t="s">
        <v>41</v>
      </c>
      <c r="H839" s="17">
        <v>5</v>
      </c>
      <c r="I839" s="19">
        <v>655.55</v>
      </c>
      <c r="J839" t="s">
        <v>2290</v>
      </c>
      <c r="K839" s="24" t="s">
        <v>27</v>
      </c>
      <c r="L839" s="24" t="s">
        <v>50</v>
      </c>
      <c r="M839" t="s">
        <v>3088</v>
      </c>
      <c r="N839" s="17">
        <v>5</v>
      </c>
      <c r="O839" t="s">
        <v>4295</v>
      </c>
      <c r="P839" s="24" t="s">
        <v>38</v>
      </c>
      <c r="Q839" s="19">
        <v>3277.75</v>
      </c>
    </row>
    <row r="840" spans="1:17">
      <c r="A840" t="s">
        <v>3089</v>
      </c>
      <c r="B840" s="23">
        <v>45393</v>
      </c>
      <c r="C840" s="23" t="str">
        <f t="shared" si="39"/>
        <v>Apr</v>
      </c>
      <c r="D840" s="23" t="str">
        <f t="shared" si="40"/>
        <v>2024</v>
      </c>
      <c r="E840" s="23" t="str">
        <f t="shared" si="41"/>
        <v>Q2</v>
      </c>
      <c r="F840" t="s">
        <v>3090</v>
      </c>
      <c r="G840" s="24" t="s">
        <v>73</v>
      </c>
      <c r="H840" s="17">
        <v>4</v>
      </c>
      <c r="I840" s="19">
        <v>577.08</v>
      </c>
      <c r="J840" t="s">
        <v>316</v>
      </c>
      <c r="K840" s="24" t="s">
        <v>27</v>
      </c>
      <c r="L840" s="24" t="s">
        <v>89</v>
      </c>
      <c r="M840" t="s">
        <v>3091</v>
      </c>
      <c r="N840" s="17">
        <v>8</v>
      </c>
      <c r="O840" t="s">
        <v>4295</v>
      </c>
      <c r="P840" s="24" t="s">
        <v>45</v>
      </c>
      <c r="Q840" s="19">
        <v>2308.32</v>
      </c>
    </row>
    <row r="841" spans="1:17">
      <c r="A841" t="s">
        <v>3092</v>
      </c>
      <c r="B841" s="23">
        <v>45162</v>
      </c>
      <c r="C841" s="23" t="str">
        <f t="shared" si="39"/>
        <v>Aug</v>
      </c>
      <c r="D841" s="23" t="str">
        <f t="shared" si="40"/>
        <v>2023</v>
      </c>
      <c r="E841" s="23" t="str">
        <f t="shared" si="41"/>
        <v>Q3</v>
      </c>
      <c r="F841" t="s">
        <v>3093</v>
      </c>
      <c r="G841" s="24" t="s">
        <v>41</v>
      </c>
      <c r="H841" s="17">
        <v>3</v>
      </c>
      <c r="I841" s="19">
        <v>197.97</v>
      </c>
      <c r="J841" t="s">
        <v>2768</v>
      </c>
      <c r="K841" s="24" t="s">
        <v>27</v>
      </c>
      <c r="L841" s="24" t="s">
        <v>35</v>
      </c>
      <c r="M841" t="s">
        <v>3094</v>
      </c>
      <c r="N841" s="17">
        <v>5</v>
      </c>
      <c r="O841" t="s">
        <v>4295</v>
      </c>
      <c r="P841" s="24" t="s">
        <v>76</v>
      </c>
      <c r="Q841" s="19">
        <v>593.91</v>
      </c>
    </row>
    <row r="842" spans="1:17">
      <c r="A842" t="s">
        <v>3095</v>
      </c>
      <c r="B842" s="23">
        <v>45305</v>
      </c>
      <c r="C842" s="23" t="str">
        <f t="shared" si="39"/>
        <v>Jan</v>
      </c>
      <c r="D842" s="23" t="str">
        <f t="shared" si="40"/>
        <v>2024</v>
      </c>
      <c r="E842" s="23" t="str">
        <f t="shared" si="41"/>
        <v>Q1</v>
      </c>
      <c r="F842" t="s">
        <v>3096</v>
      </c>
      <c r="G842" s="24" t="s">
        <v>41</v>
      </c>
      <c r="H842" s="17">
        <v>3</v>
      </c>
      <c r="I842" s="19">
        <v>411.95</v>
      </c>
      <c r="J842" t="s">
        <v>1815</v>
      </c>
      <c r="K842" s="24" t="s">
        <v>34</v>
      </c>
      <c r="L842" s="24" t="s">
        <v>50</v>
      </c>
      <c r="M842" t="s">
        <v>3097</v>
      </c>
      <c r="N842" s="17">
        <v>7</v>
      </c>
      <c r="O842" t="s">
        <v>37</v>
      </c>
      <c r="P842" s="24" t="s">
        <v>29</v>
      </c>
      <c r="Q842" s="19">
        <v>1235.85</v>
      </c>
    </row>
    <row r="843" spans="1:17">
      <c r="A843" t="s">
        <v>3098</v>
      </c>
      <c r="B843" s="23">
        <v>45554</v>
      </c>
      <c r="C843" s="23" t="str">
        <f t="shared" si="39"/>
        <v>Sep</v>
      </c>
      <c r="D843" s="23" t="str">
        <f t="shared" si="40"/>
        <v>2024</v>
      </c>
      <c r="E843" s="23" t="str">
        <f t="shared" si="41"/>
        <v>Q3</v>
      </c>
      <c r="F843" t="s">
        <v>3099</v>
      </c>
      <c r="G843" s="24" t="s">
        <v>48</v>
      </c>
      <c r="H843" s="17">
        <v>2</v>
      </c>
      <c r="I843" s="19">
        <v>443.22</v>
      </c>
      <c r="J843" t="s">
        <v>3100</v>
      </c>
      <c r="K843" s="24" t="s">
        <v>34</v>
      </c>
      <c r="L843" s="24" t="s">
        <v>50</v>
      </c>
      <c r="M843" t="s">
        <v>3101</v>
      </c>
      <c r="N843" s="17">
        <v>5</v>
      </c>
      <c r="O843" t="s">
        <v>4295</v>
      </c>
      <c r="P843" s="24" t="s">
        <v>45</v>
      </c>
      <c r="Q843" s="19">
        <v>886.44</v>
      </c>
    </row>
    <row r="844" spans="1:17">
      <c r="A844" t="s">
        <v>3102</v>
      </c>
      <c r="B844" s="23">
        <v>45784</v>
      </c>
      <c r="C844" s="23" t="str">
        <f t="shared" si="39"/>
        <v>May</v>
      </c>
      <c r="D844" s="23" t="str">
        <f t="shared" si="40"/>
        <v>2025</v>
      </c>
      <c r="E844" s="23" t="str">
        <f t="shared" si="41"/>
        <v>Q2</v>
      </c>
      <c r="F844" t="s">
        <v>3103</v>
      </c>
      <c r="G844" s="24" t="s">
        <v>58</v>
      </c>
      <c r="H844" s="17">
        <v>3</v>
      </c>
      <c r="I844" s="19">
        <v>364.14</v>
      </c>
      <c r="J844" t="s">
        <v>2579</v>
      </c>
      <c r="K844" s="24" t="s">
        <v>27</v>
      </c>
      <c r="L844" s="24" t="s">
        <v>89</v>
      </c>
      <c r="M844" t="s">
        <v>3104</v>
      </c>
      <c r="N844" s="17">
        <v>7</v>
      </c>
      <c r="O844" t="s">
        <v>81</v>
      </c>
      <c r="P844" s="24" t="s">
        <v>29</v>
      </c>
      <c r="Q844" s="19">
        <v>1092.42</v>
      </c>
    </row>
    <row r="845" spans="1:17">
      <c r="A845" t="s">
        <v>3105</v>
      </c>
      <c r="B845" s="23">
        <v>45790</v>
      </c>
      <c r="C845" s="23" t="str">
        <f t="shared" si="39"/>
        <v>May</v>
      </c>
      <c r="D845" s="23" t="str">
        <f t="shared" si="40"/>
        <v>2025</v>
      </c>
      <c r="E845" s="23" t="str">
        <f t="shared" si="41"/>
        <v>Q2</v>
      </c>
      <c r="F845" t="s">
        <v>3106</v>
      </c>
      <c r="G845" s="24" t="s">
        <v>73</v>
      </c>
      <c r="H845" s="17">
        <v>3</v>
      </c>
      <c r="I845" s="19">
        <v>430.06</v>
      </c>
      <c r="J845" t="s">
        <v>3107</v>
      </c>
      <c r="K845" s="24" t="s">
        <v>60</v>
      </c>
      <c r="L845" s="24" t="s">
        <v>35</v>
      </c>
      <c r="M845" t="s">
        <v>3108</v>
      </c>
      <c r="N845" s="17">
        <v>8</v>
      </c>
      <c r="O845" t="s">
        <v>37</v>
      </c>
      <c r="P845" s="24" t="s">
        <v>22</v>
      </c>
      <c r="Q845" s="19">
        <v>1290.18</v>
      </c>
    </row>
    <row r="846" spans="1:17">
      <c r="A846" t="s">
        <v>3109</v>
      </c>
      <c r="B846" s="23">
        <v>45630</v>
      </c>
      <c r="C846" s="23" t="str">
        <f t="shared" si="39"/>
        <v>Dec</v>
      </c>
      <c r="D846" s="23" t="str">
        <f t="shared" si="40"/>
        <v>2024</v>
      </c>
      <c r="E846" s="23" t="str">
        <f t="shared" si="41"/>
        <v>Q4</v>
      </c>
      <c r="F846" t="s">
        <v>3110</v>
      </c>
      <c r="G846" s="24" t="s">
        <v>41</v>
      </c>
      <c r="H846" s="17">
        <v>1</v>
      </c>
      <c r="I846" s="19">
        <v>320.92</v>
      </c>
      <c r="J846" t="s">
        <v>3111</v>
      </c>
      <c r="K846" s="24" t="s">
        <v>27</v>
      </c>
      <c r="L846" s="24" t="s">
        <v>43</v>
      </c>
      <c r="M846" t="s">
        <v>3112</v>
      </c>
      <c r="N846" s="17">
        <v>5</v>
      </c>
      <c r="O846" t="s">
        <v>37</v>
      </c>
      <c r="P846" s="24" t="s">
        <v>45</v>
      </c>
      <c r="Q846" s="19">
        <v>320.92</v>
      </c>
    </row>
    <row r="847" spans="1:17">
      <c r="A847" t="s">
        <v>3113</v>
      </c>
      <c r="B847" s="23">
        <v>45207</v>
      </c>
      <c r="C847" s="23" t="str">
        <f t="shared" si="39"/>
        <v>Oct</v>
      </c>
      <c r="D847" s="23" t="str">
        <f t="shared" si="40"/>
        <v>2023</v>
      </c>
      <c r="E847" s="23" t="str">
        <f t="shared" si="41"/>
        <v>Q4</v>
      </c>
      <c r="F847" t="s">
        <v>3114</v>
      </c>
      <c r="G847" s="24" t="s">
        <v>25</v>
      </c>
      <c r="H847" s="17">
        <v>3</v>
      </c>
      <c r="I847" s="19">
        <v>107.36</v>
      </c>
      <c r="J847" t="s">
        <v>3115</v>
      </c>
      <c r="K847" s="24" t="s">
        <v>60</v>
      </c>
      <c r="L847" s="24" t="s">
        <v>50</v>
      </c>
      <c r="M847" t="s">
        <v>3116</v>
      </c>
      <c r="N847" s="17">
        <v>5</v>
      </c>
      <c r="O847" t="s">
        <v>37</v>
      </c>
      <c r="P847" s="24" t="s">
        <v>76</v>
      </c>
      <c r="Q847" s="19">
        <v>322.08</v>
      </c>
    </row>
    <row r="848" spans="1:17">
      <c r="A848" t="s">
        <v>3117</v>
      </c>
      <c r="B848" s="23">
        <v>45477</v>
      </c>
      <c r="C848" s="23" t="str">
        <f t="shared" si="39"/>
        <v>Jul</v>
      </c>
      <c r="D848" s="23" t="str">
        <f t="shared" si="40"/>
        <v>2024</v>
      </c>
      <c r="E848" s="23" t="str">
        <f t="shared" si="41"/>
        <v>Q3</v>
      </c>
      <c r="F848" t="s">
        <v>3118</v>
      </c>
      <c r="G848" s="24" t="s">
        <v>73</v>
      </c>
      <c r="H848" s="17">
        <v>2</v>
      </c>
      <c r="I848" s="19">
        <v>359.86</v>
      </c>
      <c r="J848" t="s">
        <v>3119</v>
      </c>
      <c r="K848" s="24" t="s">
        <v>18</v>
      </c>
      <c r="L848" s="24" t="s">
        <v>35</v>
      </c>
      <c r="M848" t="s">
        <v>3120</v>
      </c>
      <c r="N848" s="17">
        <v>4</v>
      </c>
      <c r="O848" t="s">
        <v>4295</v>
      </c>
      <c r="P848" s="24" t="s">
        <v>29</v>
      </c>
      <c r="Q848" s="19">
        <v>719.72</v>
      </c>
    </row>
    <row r="849" spans="1:17">
      <c r="A849" t="s">
        <v>3121</v>
      </c>
      <c r="B849" s="23">
        <v>45614</v>
      </c>
      <c r="C849" s="23" t="str">
        <f t="shared" si="39"/>
        <v>Nov</v>
      </c>
      <c r="D849" s="23" t="str">
        <f t="shared" si="40"/>
        <v>2024</v>
      </c>
      <c r="E849" s="23" t="str">
        <f t="shared" si="41"/>
        <v>Q4</v>
      </c>
      <c r="F849" t="s">
        <v>3122</v>
      </c>
      <c r="G849" s="24" t="s">
        <v>48</v>
      </c>
      <c r="H849" s="17">
        <v>4</v>
      </c>
      <c r="I849" s="19">
        <v>434.23</v>
      </c>
      <c r="J849" t="s">
        <v>1161</v>
      </c>
      <c r="K849" s="24" t="s">
        <v>27</v>
      </c>
      <c r="L849" s="24" t="s">
        <v>19</v>
      </c>
      <c r="M849" t="s">
        <v>3123</v>
      </c>
      <c r="N849" s="17">
        <v>8</v>
      </c>
      <c r="O849" t="s">
        <v>37</v>
      </c>
      <c r="P849" s="24" t="s">
        <v>38</v>
      </c>
      <c r="Q849" s="19">
        <v>1736.92</v>
      </c>
    </row>
    <row r="850" spans="1:17">
      <c r="A850" t="s">
        <v>3124</v>
      </c>
      <c r="B850" s="23">
        <v>44927</v>
      </c>
      <c r="C850" s="23" t="str">
        <f t="shared" si="39"/>
        <v>Jan</v>
      </c>
      <c r="D850" s="23" t="str">
        <f t="shared" si="40"/>
        <v>2023</v>
      </c>
      <c r="E850" s="23" t="str">
        <f t="shared" si="41"/>
        <v>Q1</v>
      </c>
      <c r="F850" t="s">
        <v>3125</v>
      </c>
      <c r="G850" s="24" t="s">
        <v>41</v>
      </c>
      <c r="H850" s="17">
        <v>2</v>
      </c>
      <c r="I850" s="19">
        <v>645.85</v>
      </c>
      <c r="J850" t="s">
        <v>277</v>
      </c>
      <c r="K850" s="24" t="s">
        <v>27</v>
      </c>
      <c r="L850" s="24" t="s">
        <v>19</v>
      </c>
      <c r="M850" t="s">
        <v>3126</v>
      </c>
      <c r="N850" s="17">
        <v>5</v>
      </c>
      <c r="O850" t="s">
        <v>4295</v>
      </c>
      <c r="P850" s="24" t="s">
        <v>29</v>
      </c>
      <c r="Q850" s="19">
        <v>1291.7</v>
      </c>
    </row>
    <row r="851" spans="1:17">
      <c r="A851" t="s">
        <v>3127</v>
      </c>
      <c r="B851" s="23">
        <v>45817</v>
      </c>
      <c r="C851" s="23" t="str">
        <f t="shared" si="39"/>
        <v>Jun</v>
      </c>
      <c r="D851" s="23" t="str">
        <f t="shared" si="40"/>
        <v>2025</v>
      </c>
      <c r="E851" s="23" t="str">
        <f t="shared" si="41"/>
        <v>Q2</v>
      </c>
      <c r="F851" t="s">
        <v>3128</v>
      </c>
      <c r="G851" s="24" t="s">
        <v>48</v>
      </c>
      <c r="H851" s="17">
        <v>4</v>
      </c>
      <c r="I851" s="19">
        <v>214.35</v>
      </c>
      <c r="J851" t="s">
        <v>3042</v>
      </c>
      <c r="K851" s="24" t="s">
        <v>18</v>
      </c>
      <c r="L851" s="24" t="s">
        <v>35</v>
      </c>
      <c r="M851" t="s">
        <v>3129</v>
      </c>
      <c r="N851" s="17">
        <v>7</v>
      </c>
      <c r="O851" t="s">
        <v>81</v>
      </c>
      <c r="P851" s="24" t="s">
        <v>29</v>
      </c>
      <c r="Q851" s="19">
        <v>857.4</v>
      </c>
    </row>
    <row r="852" spans="1:17">
      <c r="A852" t="s">
        <v>3130</v>
      </c>
      <c r="B852" s="23">
        <v>45774</v>
      </c>
      <c r="C852" s="23" t="str">
        <f t="shared" si="39"/>
        <v>Apr</v>
      </c>
      <c r="D852" s="23" t="str">
        <f t="shared" si="40"/>
        <v>2025</v>
      </c>
      <c r="E852" s="23" t="str">
        <f t="shared" si="41"/>
        <v>Q2</v>
      </c>
      <c r="F852" t="s">
        <v>3131</v>
      </c>
      <c r="G852" s="24" t="s">
        <v>16</v>
      </c>
      <c r="H852" s="17">
        <v>3</v>
      </c>
      <c r="I852" s="19">
        <v>638.5</v>
      </c>
      <c r="J852" t="s">
        <v>2684</v>
      </c>
      <c r="K852" s="24" t="s">
        <v>18</v>
      </c>
      <c r="L852" s="24" t="s">
        <v>35</v>
      </c>
      <c r="M852" t="s">
        <v>3132</v>
      </c>
      <c r="N852" s="17">
        <v>4</v>
      </c>
      <c r="O852" t="s">
        <v>37</v>
      </c>
      <c r="P852" s="24" t="s">
        <v>22</v>
      </c>
      <c r="Q852" s="19">
        <v>1915.5</v>
      </c>
    </row>
    <row r="853" spans="1:17">
      <c r="A853" t="s">
        <v>3133</v>
      </c>
      <c r="B853" s="23">
        <v>45272</v>
      </c>
      <c r="C853" s="23" t="str">
        <f t="shared" si="39"/>
        <v>Dec</v>
      </c>
      <c r="D853" s="23" t="str">
        <f t="shared" si="40"/>
        <v>2023</v>
      </c>
      <c r="E853" s="23" t="str">
        <f t="shared" si="41"/>
        <v>Q4</v>
      </c>
      <c r="F853" t="s">
        <v>3134</v>
      </c>
      <c r="G853" s="24" t="s">
        <v>58</v>
      </c>
      <c r="H853" s="17">
        <v>1</v>
      </c>
      <c r="I853" s="19">
        <v>365.57</v>
      </c>
      <c r="J853" t="s">
        <v>347</v>
      </c>
      <c r="K853" s="24" t="s">
        <v>27</v>
      </c>
      <c r="L853" s="24" t="s">
        <v>35</v>
      </c>
      <c r="M853" t="s">
        <v>3135</v>
      </c>
      <c r="N853" s="17">
        <v>5</v>
      </c>
      <c r="O853" t="s">
        <v>21</v>
      </c>
      <c r="P853" s="24" t="s">
        <v>38</v>
      </c>
      <c r="Q853" s="19">
        <v>365.57</v>
      </c>
    </row>
    <row r="854" spans="1:17">
      <c r="A854" t="s">
        <v>3136</v>
      </c>
      <c r="B854" s="23">
        <v>45589</v>
      </c>
      <c r="C854" s="23" t="str">
        <f t="shared" si="39"/>
        <v>Oct</v>
      </c>
      <c r="D854" s="23" t="str">
        <f t="shared" si="40"/>
        <v>2024</v>
      </c>
      <c r="E854" s="23" t="str">
        <f t="shared" si="41"/>
        <v>Q4</v>
      </c>
      <c r="F854" t="s">
        <v>3137</v>
      </c>
      <c r="G854" s="24" t="s">
        <v>73</v>
      </c>
      <c r="H854" s="17">
        <v>3</v>
      </c>
      <c r="I854" s="19">
        <v>568.05</v>
      </c>
      <c r="J854" t="s">
        <v>3138</v>
      </c>
      <c r="K854" s="24" t="s">
        <v>60</v>
      </c>
      <c r="L854" s="24" t="s">
        <v>89</v>
      </c>
      <c r="M854" t="s">
        <v>3139</v>
      </c>
      <c r="N854" s="17">
        <v>6</v>
      </c>
      <c r="O854" t="s">
        <v>21</v>
      </c>
      <c r="P854" s="24" t="s">
        <v>76</v>
      </c>
      <c r="Q854" s="19">
        <v>1704.15</v>
      </c>
    </row>
    <row r="855" spans="1:17">
      <c r="A855" t="s">
        <v>3140</v>
      </c>
      <c r="B855" s="23">
        <v>45215</v>
      </c>
      <c r="C855" s="23" t="str">
        <f t="shared" si="39"/>
        <v>Oct</v>
      </c>
      <c r="D855" s="23" t="str">
        <f t="shared" si="40"/>
        <v>2023</v>
      </c>
      <c r="E855" s="23" t="str">
        <f t="shared" si="41"/>
        <v>Q4</v>
      </c>
      <c r="F855" t="s">
        <v>3141</v>
      </c>
      <c r="G855" s="24" t="s">
        <v>48</v>
      </c>
      <c r="H855" s="17">
        <v>3</v>
      </c>
      <c r="I855" s="19">
        <v>490.01</v>
      </c>
      <c r="J855" t="s">
        <v>1194</v>
      </c>
      <c r="K855" s="24" t="s">
        <v>65</v>
      </c>
      <c r="L855" s="24" t="s">
        <v>43</v>
      </c>
      <c r="M855" t="s">
        <v>3142</v>
      </c>
      <c r="N855" s="17">
        <v>4</v>
      </c>
      <c r="O855" t="s">
        <v>21</v>
      </c>
      <c r="P855" s="24" t="s">
        <v>45</v>
      </c>
      <c r="Q855" s="19">
        <v>1470.03</v>
      </c>
    </row>
    <row r="856" spans="1:17">
      <c r="A856" t="s">
        <v>3143</v>
      </c>
      <c r="B856" s="23">
        <v>45821</v>
      </c>
      <c r="C856" s="23" t="str">
        <f t="shared" si="39"/>
        <v>Jun</v>
      </c>
      <c r="D856" s="23" t="str">
        <f t="shared" si="40"/>
        <v>2025</v>
      </c>
      <c r="E856" s="23" t="str">
        <f t="shared" si="41"/>
        <v>Q2</v>
      </c>
      <c r="F856" t="s">
        <v>3144</v>
      </c>
      <c r="G856" s="24" t="s">
        <v>58</v>
      </c>
      <c r="H856" s="17">
        <v>3</v>
      </c>
      <c r="I856" s="19">
        <v>372.6</v>
      </c>
      <c r="J856" t="s">
        <v>1731</v>
      </c>
      <c r="K856" s="24" t="s">
        <v>34</v>
      </c>
      <c r="L856" s="24" t="s">
        <v>50</v>
      </c>
      <c r="M856" t="s">
        <v>3145</v>
      </c>
      <c r="N856" s="17">
        <v>7</v>
      </c>
      <c r="O856" t="s">
        <v>81</v>
      </c>
      <c r="P856" s="24" t="s">
        <v>29</v>
      </c>
      <c r="Q856" s="19">
        <v>1117.8</v>
      </c>
    </row>
    <row r="857" spans="1:17">
      <c r="A857" t="s">
        <v>3146</v>
      </c>
      <c r="B857" s="23">
        <v>45071</v>
      </c>
      <c r="C857" s="23" t="str">
        <f t="shared" si="39"/>
        <v>May</v>
      </c>
      <c r="D857" s="23" t="str">
        <f t="shared" si="40"/>
        <v>2023</v>
      </c>
      <c r="E857" s="23" t="str">
        <f t="shared" si="41"/>
        <v>Q2</v>
      </c>
      <c r="F857" t="s">
        <v>3147</v>
      </c>
      <c r="G857" s="24" t="s">
        <v>16</v>
      </c>
      <c r="H857" s="17">
        <v>5</v>
      </c>
      <c r="I857" s="19">
        <v>240.61</v>
      </c>
      <c r="J857" t="s">
        <v>996</v>
      </c>
      <c r="K857" s="24" t="s">
        <v>34</v>
      </c>
      <c r="L857" s="24" t="s">
        <v>19</v>
      </c>
      <c r="M857" t="s">
        <v>3148</v>
      </c>
      <c r="N857" s="17">
        <v>10</v>
      </c>
      <c r="O857" t="s">
        <v>37</v>
      </c>
      <c r="P857" s="24" t="s">
        <v>38</v>
      </c>
      <c r="Q857" s="19">
        <v>1203.05</v>
      </c>
    </row>
    <row r="858" spans="1:17">
      <c r="A858" t="s">
        <v>3149</v>
      </c>
      <c r="B858" s="23">
        <v>45446</v>
      </c>
      <c r="C858" s="23" t="str">
        <f t="shared" si="39"/>
        <v>Jun</v>
      </c>
      <c r="D858" s="23" t="str">
        <f t="shared" si="40"/>
        <v>2024</v>
      </c>
      <c r="E858" s="23" t="str">
        <f t="shared" si="41"/>
        <v>Q2</v>
      </c>
      <c r="F858" t="s">
        <v>3150</v>
      </c>
      <c r="G858" s="24" t="s">
        <v>25</v>
      </c>
      <c r="H858" s="17">
        <v>1</v>
      </c>
      <c r="I858" s="19">
        <v>586.62</v>
      </c>
      <c r="J858" t="s">
        <v>212</v>
      </c>
      <c r="K858" s="24" t="s">
        <v>18</v>
      </c>
      <c r="L858" s="24" t="s">
        <v>19</v>
      </c>
      <c r="M858" t="s">
        <v>3151</v>
      </c>
      <c r="N858" s="17">
        <v>5</v>
      </c>
      <c r="O858" t="s">
        <v>4295</v>
      </c>
      <c r="P858" s="24" t="s">
        <v>45</v>
      </c>
      <c r="Q858" s="19">
        <v>586.62</v>
      </c>
    </row>
    <row r="859" spans="1:17">
      <c r="A859" t="s">
        <v>3152</v>
      </c>
      <c r="B859" s="23">
        <v>45361</v>
      </c>
      <c r="C859" s="23" t="str">
        <f t="shared" si="39"/>
        <v>Mar</v>
      </c>
      <c r="D859" s="23" t="str">
        <f t="shared" si="40"/>
        <v>2024</v>
      </c>
      <c r="E859" s="23" t="str">
        <f t="shared" si="41"/>
        <v>Q1</v>
      </c>
      <c r="F859" t="s">
        <v>3153</v>
      </c>
      <c r="G859" s="24" t="s">
        <v>25</v>
      </c>
      <c r="H859" s="17">
        <v>3</v>
      </c>
      <c r="I859" s="19">
        <v>257.84</v>
      </c>
      <c r="J859" t="s">
        <v>858</v>
      </c>
      <c r="K859" s="24" t="s">
        <v>27</v>
      </c>
      <c r="L859" s="24" t="s">
        <v>50</v>
      </c>
      <c r="M859" t="s">
        <v>3154</v>
      </c>
      <c r="N859" s="17">
        <v>4</v>
      </c>
      <c r="O859" t="s">
        <v>4295</v>
      </c>
      <c r="P859" s="24" t="s">
        <v>22</v>
      </c>
      <c r="Q859" s="19">
        <v>773.52</v>
      </c>
    </row>
    <row r="860" spans="1:17">
      <c r="A860" t="s">
        <v>3155</v>
      </c>
      <c r="B860" s="23">
        <v>45158</v>
      </c>
      <c r="C860" s="23" t="str">
        <f t="shared" si="39"/>
        <v>Aug</v>
      </c>
      <c r="D860" s="23" t="str">
        <f t="shared" si="40"/>
        <v>2023</v>
      </c>
      <c r="E860" s="23" t="str">
        <f t="shared" si="41"/>
        <v>Q3</v>
      </c>
      <c r="F860" t="s">
        <v>3156</v>
      </c>
      <c r="G860" s="24" t="s">
        <v>32</v>
      </c>
      <c r="H860" s="17">
        <v>5</v>
      </c>
      <c r="I860" s="19">
        <v>435.66</v>
      </c>
      <c r="J860" t="s">
        <v>113</v>
      </c>
      <c r="K860" s="24" t="s">
        <v>27</v>
      </c>
      <c r="L860" s="24" t="s">
        <v>89</v>
      </c>
      <c r="M860" t="s">
        <v>3157</v>
      </c>
      <c r="N860" s="17">
        <v>9</v>
      </c>
      <c r="O860" t="s">
        <v>4295</v>
      </c>
      <c r="P860" s="24" t="s">
        <v>45</v>
      </c>
      <c r="Q860" s="19">
        <v>2178.3</v>
      </c>
    </row>
    <row r="861" spans="1:17">
      <c r="A861" t="s">
        <v>3158</v>
      </c>
      <c r="B861" s="23">
        <v>45532</v>
      </c>
      <c r="C861" s="23" t="str">
        <f t="shared" si="39"/>
        <v>Aug</v>
      </c>
      <c r="D861" s="23" t="str">
        <f t="shared" si="40"/>
        <v>2024</v>
      </c>
      <c r="E861" s="23" t="str">
        <f t="shared" si="41"/>
        <v>Q3</v>
      </c>
      <c r="F861" t="s">
        <v>3159</v>
      </c>
      <c r="G861" s="24" t="s">
        <v>41</v>
      </c>
      <c r="H861" s="17">
        <v>5</v>
      </c>
      <c r="I861" s="19">
        <v>261.33</v>
      </c>
      <c r="J861" t="s">
        <v>2311</v>
      </c>
      <c r="K861" s="24" t="s">
        <v>34</v>
      </c>
      <c r="L861" s="24" t="s">
        <v>43</v>
      </c>
      <c r="M861" t="s">
        <v>3160</v>
      </c>
      <c r="N861" s="17">
        <v>5</v>
      </c>
      <c r="O861" t="s">
        <v>21</v>
      </c>
      <c r="P861" s="24" t="s">
        <v>29</v>
      </c>
      <c r="Q861" s="19">
        <v>1306.65</v>
      </c>
    </row>
    <row r="862" spans="1:17">
      <c r="A862" t="s">
        <v>3161</v>
      </c>
      <c r="B862" s="23">
        <v>45314</v>
      </c>
      <c r="C862" s="23" t="str">
        <f t="shared" si="39"/>
        <v>Jan</v>
      </c>
      <c r="D862" s="23" t="str">
        <f t="shared" si="40"/>
        <v>2024</v>
      </c>
      <c r="E862" s="23" t="str">
        <f t="shared" si="41"/>
        <v>Q1</v>
      </c>
      <c r="F862" t="s">
        <v>3162</v>
      </c>
      <c r="G862" s="24" t="s">
        <v>48</v>
      </c>
      <c r="H862" s="17">
        <v>1</v>
      </c>
      <c r="I862" s="19">
        <v>422.54</v>
      </c>
      <c r="J862" t="s">
        <v>1368</v>
      </c>
      <c r="K862" s="24" t="s">
        <v>65</v>
      </c>
      <c r="L862" s="24" t="s">
        <v>50</v>
      </c>
      <c r="M862" t="s">
        <v>3163</v>
      </c>
      <c r="N862" s="17">
        <v>1</v>
      </c>
      <c r="O862" t="s">
        <v>21</v>
      </c>
      <c r="P862" s="24" t="s">
        <v>76</v>
      </c>
      <c r="Q862" s="19">
        <v>422.54</v>
      </c>
    </row>
    <row r="863" spans="1:17">
      <c r="A863" t="s">
        <v>3164</v>
      </c>
      <c r="B863" s="23">
        <v>45004</v>
      </c>
      <c r="C863" s="23" t="str">
        <f t="shared" si="39"/>
        <v>Mar</v>
      </c>
      <c r="D863" s="23" t="str">
        <f t="shared" si="40"/>
        <v>2023</v>
      </c>
      <c r="E863" s="23" t="str">
        <f t="shared" si="41"/>
        <v>Q1</v>
      </c>
      <c r="F863" t="s">
        <v>3165</v>
      </c>
      <c r="G863" s="24" t="s">
        <v>73</v>
      </c>
      <c r="H863" s="17">
        <v>5</v>
      </c>
      <c r="I863" s="19">
        <v>330.45</v>
      </c>
      <c r="J863" t="s">
        <v>3166</v>
      </c>
      <c r="K863" s="24" t="s">
        <v>60</v>
      </c>
      <c r="L863" s="24" t="s">
        <v>19</v>
      </c>
      <c r="M863" t="s">
        <v>3167</v>
      </c>
      <c r="N863" s="17">
        <v>10</v>
      </c>
      <c r="O863" t="s">
        <v>37</v>
      </c>
      <c r="P863" s="24" t="s">
        <v>76</v>
      </c>
      <c r="Q863" s="19">
        <v>1652.25</v>
      </c>
    </row>
    <row r="864" spans="1:17">
      <c r="A864" t="s">
        <v>3168</v>
      </c>
      <c r="B864" s="23">
        <v>45262</v>
      </c>
      <c r="C864" s="23" t="str">
        <f t="shared" si="39"/>
        <v>Dec</v>
      </c>
      <c r="D864" s="23" t="str">
        <f t="shared" si="40"/>
        <v>2023</v>
      </c>
      <c r="E864" s="23" t="str">
        <f t="shared" si="41"/>
        <v>Q4</v>
      </c>
      <c r="F864" t="s">
        <v>3169</v>
      </c>
      <c r="G864" s="24" t="s">
        <v>73</v>
      </c>
      <c r="H864" s="17">
        <v>3</v>
      </c>
      <c r="I864" s="19">
        <v>120.82</v>
      </c>
      <c r="J864" t="s">
        <v>2620</v>
      </c>
      <c r="K864" s="24" t="s">
        <v>34</v>
      </c>
      <c r="L864" s="24" t="s">
        <v>19</v>
      </c>
      <c r="M864" t="s">
        <v>3170</v>
      </c>
      <c r="N864" s="17">
        <v>5</v>
      </c>
      <c r="O864" t="s">
        <v>21</v>
      </c>
      <c r="P864" s="24" t="s">
        <v>29</v>
      </c>
      <c r="Q864" s="19">
        <v>362.46</v>
      </c>
    </row>
    <row r="865" spans="1:17">
      <c r="A865" t="s">
        <v>3171</v>
      </c>
      <c r="B865" s="23">
        <v>45432</v>
      </c>
      <c r="C865" s="23" t="str">
        <f t="shared" si="39"/>
        <v>May</v>
      </c>
      <c r="D865" s="23" t="str">
        <f t="shared" si="40"/>
        <v>2024</v>
      </c>
      <c r="E865" s="23" t="str">
        <f t="shared" si="41"/>
        <v>Q2</v>
      </c>
      <c r="F865" t="s">
        <v>3172</v>
      </c>
      <c r="G865" s="24" t="s">
        <v>25</v>
      </c>
      <c r="H865" s="17">
        <v>1</v>
      </c>
      <c r="I865" s="19">
        <v>14.06</v>
      </c>
      <c r="J865" t="s">
        <v>1000</v>
      </c>
      <c r="K865" s="24" t="s">
        <v>34</v>
      </c>
      <c r="L865" s="24" t="s">
        <v>89</v>
      </c>
      <c r="M865" t="s">
        <v>3173</v>
      </c>
      <c r="N865" s="17">
        <v>5</v>
      </c>
      <c r="O865" t="s">
        <v>21</v>
      </c>
      <c r="P865" s="24" t="s">
        <v>29</v>
      </c>
      <c r="Q865" s="19">
        <v>14.06</v>
      </c>
    </row>
    <row r="866" spans="1:17">
      <c r="A866" t="s">
        <v>3174</v>
      </c>
      <c r="B866" s="23">
        <v>45049</v>
      </c>
      <c r="C866" s="23" t="str">
        <f t="shared" si="39"/>
        <v>May</v>
      </c>
      <c r="D866" s="23" t="str">
        <f t="shared" si="40"/>
        <v>2023</v>
      </c>
      <c r="E866" s="23" t="str">
        <f t="shared" si="41"/>
        <v>Q2</v>
      </c>
      <c r="F866" t="s">
        <v>3175</v>
      </c>
      <c r="G866" s="24" t="s">
        <v>73</v>
      </c>
      <c r="H866" s="17">
        <v>1</v>
      </c>
      <c r="I866" s="19">
        <v>491.11</v>
      </c>
      <c r="J866" t="s">
        <v>3176</v>
      </c>
      <c r="K866" s="24" t="s">
        <v>34</v>
      </c>
      <c r="L866" s="24" t="s">
        <v>50</v>
      </c>
      <c r="M866" t="s">
        <v>3177</v>
      </c>
      <c r="N866" s="17">
        <v>4</v>
      </c>
      <c r="O866" t="s">
        <v>21</v>
      </c>
      <c r="P866" s="24" t="s">
        <v>45</v>
      </c>
      <c r="Q866" s="19">
        <v>491.11</v>
      </c>
    </row>
    <row r="867" spans="1:17">
      <c r="A867" t="s">
        <v>3178</v>
      </c>
      <c r="B867" s="23">
        <v>45046</v>
      </c>
      <c r="C867" s="23" t="str">
        <f t="shared" si="39"/>
        <v>Apr</v>
      </c>
      <c r="D867" s="23" t="str">
        <f t="shared" si="40"/>
        <v>2023</v>
      </c>
      <c r="E867" s="23" t="str">
        <f t="shared" si="41"/>
        <v>Q2</v>
      </c>
      <c r="F867" t="s">
        <v>3179</v>
      </c>
      <c r="G867" s="24" t="s">
        <v>16</v>
      </c>
      <c r="H867" s="17">
        <v>4</v>
      </c>
      <c r="I867" s="19">
        <v>677.37</v>
      </c>
      <c r="J867" t="s">
        <v>3180</v>
      </c>
      <c r="K867" s="24" t="s">
        <v>65</v>
      </c>
      <c r="L867" s="24" t="s">
        <v>89</v>
      </c>
      <c r="M867" t="s">
        <v>3181</v>
      </c>
      <c r="N867" s="17">
        <v>8</v>
      </c>
      <c r="O867" t="s">
        <v>21</v>
      </c>
      <c r="P867" s="24" t="s">
        <v>76</v>
      </c>
      <c r="Q867" s="19">
        <v>2709.48</v>
      </c>
    </row>
    <row r="868" spans="1:17">
      <c r="A868" t="s">
        <v>3182</v>
      </c>
      <c r="B868" s="23">
        <v>45499</v>
      </c>
      <c r="C868" s="23" t="str">
        <f t="shared" si="39"/>
        <v>Jul</v>
      </c>
      <c r="D868" s="23" t="str">
        <f t="shared" si="40"/>
        <v>2024</v>
      </c>
      <c r="E868" s="23" t="str">
        <f t="shared" si="41"/>
        <v>Q3</v>
      </c>
      <c r="F868" t="s">
        <v>3183</v>
      </c>
      <c r="G868" s="24" t="s">
        <v>73</v>
      </c>
      <c r="H868" s="17">
        <v>5</v>
      </c>
      <c r="I868" s="19">
        <v>189.25</v>
      </c>
      <c r="J868" t="s">
        <v>3184</v>
      </c>
      <c r="K868" s="24" t="s">
        <v>18</v>
      </c>
      <c r="L868" s="24" t="s">
        <v>35</v>
      </c>
      <c r="M868" t="s">
        <v>3185</v>
      </c>
      <c r="N868" s="17">
        <v>10</v>
      </c>
      <c r="O868" t="s">
        <v>81</v>
      </c>
      <c r="P868" s="24" t="s">
        <v>38</v>
      </c>
      <c r="Q868" s="19">
        <v>946.25</v>
      </c>
    </row>
    <row r="869" spans="1:17">
      <c r="A869" t="s">
        <v>3186</v>
      </c>
      <c r="B869" s="23">
        <v>45438</v>
      </c>
      <c r="C869" s="23" t="str">
        <f t="shared" si="39"/>
        <v>May</v>
      </c>
      <c r="D869" s="23" t="str">
        <f t="shared" si="40"/>
        <v>2024</v>
      </c>
      <c r="E869" s="23" t="str">
        <f t="shared" si="41"/>
        <v>Q2</v>
      </c>
      <c r="F869" t="s">
        <v>3187</v>
      </c>
      <c r="G869" s="24" t="s">
        <v>48</v>
      </c>
      <c r="H869" s="17">
        <v>4</v>
      </c>
      <c r="I869" s="19">
        <v>142.58</v>
      </c>
      <c r="J869" t="s">
        <v>3188</v>
      </c>
      <c r="K869" s="24" t="s">
        <v>65</v>
      </c>
      <c r="L869" s="24" t="s">
        <v>50</v>
      </c>
      <c r="M869" t="s">
        <v>3189</v>
      </c>
      <c r="N869" s="17">
        <v>4</v>
      </c>
      <c r="O869" t="s">
        <v>37</v>
      </c>
      <c r="P869" s="24" t="s">
        <v>45</v>
      </c>
      <c r="Q869" s="19">
        <v>570.32</v>
      </c>
    </row>
    <row r="870" spans="1:17">
      <c r="A870" t="s">
        <v>3190</v>
      </c>
      <c r="B870" s="23">
        <v>45472</v>
      </c>
      <c r="C870" s="23" t="str">
        <f t="shared" si="39"/>
        <v>Jun</v>
      </c>
      <c r="D870" s="23" t="str">
        <f t="shared" si="40"/>
        <v>2024</v>
      </c>
      <c r="E870" s="23" t="str">
        <f t="shared" si="41"/>
        <v>Q2</v>
      </c>
      <c r="F870" t="s">
        <v>3191</v>
      </c>
      <c r="G870" s="24" t="s">
        <v>16</v>
      </c>
      <c r="H870" s="17">
        <v>4</v>
      </c>
      <c r="I870" s="19">
        <v>316.32</v>
      </c>
      <c r="J870" t="s">
        <v>3192</v>
      </c>
      <c r="K870" s="24" t="s">
        <v>18</v>
      </c>
      <c r="L870" s="24" t="s">
        <v>50</v>
      </c>
      <c r="M870" t="s">
        <v>3193</v>
      </c>
      <c r="N870" s="17">
        <v>7</v>
      </c>
      <c r="O870" t="s">
        <v>4295</v>
      </c>
      <c r="P870" s="24" t="s">
        <v>45</v>
      </c>
      <c r="Q870" s="19">
        <v>1265.28</v>
      </c>
    </row>
    <row r="871" spans="1:17">
      <c r="A871" t="s">
        <v>3194</v>
      </c>
      <c r="B871" s="23">
        <v>45368</v>
      </c>
      <c r="C871" s="23" t="str">
        <f t="shared" si="39"/>
        <v>Mar</v>
      </c>
      <c r="D871" s="23" t="str">
        <f t="shared" si="40"/>
        <v>2024</v>
      </c>
      <c r="E871" s="23" t="str">
        <f t="shared" si="41"/>
        <v>Q1</v>
      </c>
      <c r="F871" t="s">
        <v>3195</v>
      </c>
      <c r="G871" s="24" t="s">
        <v>73</v>
      </c>
      <c r="H871" s="17">
        <v>2</v>
      </c>
      <c r="I871" s="19">
        <v>533.95</v>
      </c>
      <c r="J871" t="s">
        <v>719</v>
      </c>
      <c r="K871" s="24" t="s">
        <v>27</v>
      </c>
      <c r="L871" s="24" t="s">
        <v>50</v>
      </c>
      <c r="M871" t="s">
        <v>3196</v>
      </c>
      <c r="N871" s="17">
        <v>5</v>
      </c>
      <c r="O871" t="s">
        <v>81</v>
      </c>
      <c r="P871" s="24" t="s">
        <v>76</v>
      </c>
      <c r="Q871" s="19">
        <v>1067.9</v>
      </c>
    </row>
    <row r="872" spans="1:17">
      <c r="A872" t="s">
        <v>3197</v>
      </c>
      <c r="B872" s="23">
        <v>45809</v>
      </c>
      <c r="C872" s="23" t="str">
        <f t="shared" si="39"/>
        <v>Jun</v>
      </c>
      <c r="D872" s="23" t="str">
        <f t="shared" si="40"/>
        <v>2025</v>
      </c>
      <c r="E872" s="23" t="str">
        <f t="shared" si="41"/>
        <v>Q2</v>
      </c>
      <c r="F872" t="s">
        <v>3198</v>
      </c>
      <c r="G872" s="24" t="s">
        <v>25</v>
      </c>
      <c r="H872" s="17">
        <v>4</v>
      </c>
      <c r="I872" s="19">
        <v>470.09</v>
      </c>
      <c r="J872" t="s">
        <v>3199</v>
      </c>
      <c r="K872" s="24" t="s">
        <v>18</v>
      </c>
      <c r="L872" s="24" t="s">
        <v>50</v>
      </c>
      <c r="M872" t="s">
        <v>3200</v>
      </c>
      <c r="N872" s="17">
        <v>4</v>
      </c>
      <c r="O872" t="s">
        <v>37</v>
      </c>
      <c r="P872" s="24" t="s">
        <v>76</v>
      </c>
      <c r="Q872" s="19">
        <v>1880.36</v>
      </c>
    </row>
    <row r="873" spans="1:17">
      <c r="A873" t="s">
        <v>3201</v>
      </c>
      <c r="B873" s="23">
        <v>45428</v>
      </c>
      <c r="C873" s="23" t="str">
        <f t="shared" si="39"/>
        <v>May</v>
      </c>
      <c r="D873" s="23" t="str">
        <f t="shared" si="40"/>
        <v>2024</v>
      </c>
      <c r="E873" s="23" t="str">
        <f t="shared" si="41"/>
        <v>Q2</v>
      </c>
      <c r="F873" t="s">
        <v>3202</v>
      </c>
      <c r="G873" s="24" t="s">
        <v>32</v>
      </c>
      <c r="H873" s="17">
        <v>3</v>
      </c>
      <c r="I873" s="19">
        <v>324.3</v>
      </c>
      <c r="J873" t="s">
        <v>3203</v>
      </c>
      <c r="K873" s="24" t="s">
        <v>18</v>
      </c>
      <c r="L873" s="24" t="s">
        <v>89</v>
      </c>
      <c r="M873" t="s">
        <v>3204</v>
      </c>
      <c r="N873" s="17">
        <v>8</v>
      </c>
      <c r="O873" t="s">
        <v>37</v>
      </c>
      <c r="P873" s="24" t="s">
        <v>38</v>
      </c>
      <c r="Q873" s="19">
        <v>972.9</v>
      </c>
    </row>
    <row r="874" spans="1:17">
      <c r="A874" t="s">
        <v>3205</v>
      </c>
      <c r="B874" s="23">
        <v>45117</v>
      </c>
      <c r="C874" s="23" t="str">
        <f t="shared" si="39"/>
        <v>Jul</v>
      </c>
      <c r="D874" s="23" t="str">
        <f t="shared" si="40"/>
        <v>2023</v>
      </c>
      <c r="E874" s="23" t="str">
        <f t="shared" si="41"/>
        <v>Q3</v>
      </c>
      <c r="F874" t="s">
        <v>3206</v>
      </c>
      <c r="G874" s="24" t="s">
        <v>41</v>
      </c>
      <c r="H874" s="17">
        <v>4</v>
      </c>
      <c r="I874" s="19">
        <v>629.34</v>
      </c>
      <c r="J874" t="s">
        <v>830</v>
      </c>
      <c r="K874" s="24" t="s">
        <v>65</v>
      </c>
      <c r="L874" s="24" t="s">
        <v>19</v>
      </c>
      <c r="M874" t="s">
        <v>3207</v>
      </c>
      <c r="N874" s="17">
        <v>7</v>
      </c>
      <c r="O874" t="s">
        <v>4295</v>
      </c>
      <c r="P874" s="24" t="s">
        <v>38</v>
      </c>
      <c r="Q874" s="19">
        <v>2517.36</v>
      </c>
    </row>
    <row r="875" spans="1:17">
      <c r="A875" t="s">
        <v>3208</v>
      </c>
      <c r="B875" s="23">
        <v>45424</v>
      </c>
      <c r="C875" s="23" t="str">
        <f t="shared" si="39"/>
        <v>May</v>
      </c>
      <c r="D875" s="23" t="str">
        <f t="shared" si="40"/>
        <v>2024</v>
      </c>
      <c r="E875" s="23" t="str">
        <f t="shared" si="41"/>
        <v>Q2</v>
      </c>
      <c r="F875" t="s">
        <v>3209</v>
      </c>
      <c r="G875" s="24" t="s">
        <v>73</v>
      </c>
      <c r="H875" s="17">
        <v>3</v>
      </c>
      <c r="I875" s="19">
        <v>136.84</v>
      </c>
      <c r="J875" t="s">
        <v>3210</v>
      </c>
      <c r="K875" s="24" t="s">
        <v>65</v>
      </c>
      <c r="L875" s="24" t="s">
        <v>50</v>
      </c>
      <c r="M875" t="s">
        <v>3211</v>
      </c>
      <c r="N875" s="17">
        <v>3</v>
      </c>
      <c r="O875" t="s">
        <v>21</v>
      </c>
      <c r="P875" s="24" t="s">
        <v>45</v>
      </c>
      <c r="Q875" s="19">
        <v>410.52</v>
      </c>
    </row>
    <row r="876" spans="1:17">
      <c r="A876" t="s">
        <v>3212</v>
      </c>
      <c r="B876" s="23">
        <v>45230</v>
      </c>
      <c r="C876" s="23" t="str">
        <f t="shared" si="39"/>
        <v>Oct</v>
      </c>
      <c r="D876" s="23" t="str">
        <f t="shared" si="40"/>
        <v>2023</v>
      </c>
      <c r="E876" s="23" t="str">
        <f t="shared" si="41"/>
        <v>Q4</v>
      </c>
      <c r="F876" t="s">
        <v>3213</v>
      </c>
      <c r="G876" s="24" t="s">
        <v>41</v>
      </c>
      <c r="H876" s="17">
        <v>2</v>
      </c>
      <c r="I876" s="19">
        <v>488.9</v>
      </c>
      <c r="J876" t="s">
        <v>2648</v>
      </c>
      <c r="K876" s="24" t="s">
        <v>65</v>
      </c>
      <c r="L876" s="24" t="s">
        <v>50</v>
      </c>
      <c r="M876" t="s">
        <v>3214</v>
      </c>
      <c r="N876" s="17">
        <v>7</v>
      </c>
      <c r="O876" t="s">
        <v>37</v>
      </c>
      <c r="P876" s="24" t="s">
        <v>45</v>
      </c>
      <c r="Q876" s="19">
        <v>977.8</v>
      </c>
    </row>
    <row r="877" spans="1:17">
      <c r="A877" t="s">
        <v>3215</v>
      </c>
      <c r="B877" s="23">
        <v>45141</v>
      </c>
      <c r="C877" s="23" t="str">
        <f t="shared" si="39"/>
        <v>Aug</v>
      </c>
      <c r="D877" s="23" t="str">
        <f t="shared" si="40"/>
        <v>2023</v>
      </c>
      <c r="E877" s="23" t="str">
        <f t="shared" si="41"/>
        <v>Q3</v>
      </c>
      <c r="F877" t="s">
        <v>3216</v>
      </c>
      <c r="G877" s="24" t="s">
        <v>58</v>
      </c>
      <c r="H877" s="17">
        <v>5</v>
      </c>
      <c r="I877" s="19">
        <v>133.39</v>
      </c>
      <c r="J877" t="s">
        <v>403</v>
      </c>
      <c r="K877" s="24" t="s">
        <v>34</v>
      </c>
      <c r="L877" s="24" t="s">
        <v>50</v>
      </c>
      <c r="M877" t="s">
        <v>3217</v>
      </c>
      <c r="N877" s="17">
        <v>6</v>
      </c>
      <c r="O877" t="s">
        <v>37</v>
      </c>
      <c r="P877" s="24" t="s">
        <v>29</v>
      </c>
      <c r="Q877" s="19">
        <v>666.95</v>
      </c>
    </row>
    <row r="878" spans="1:17">
      <c r="A878" t="s">
        <v>3218</v>
      </c>
      <c r="B878" s="23">
        <v>45452</v>
      </c>
      <c r="C878" s="23" t="str">
        <f t="shared" si="39"/>
        <v>Jun</v>
      </c>
      <c r="D878" s="23" t="str">
        <f t="shared" si="40"/>
        <v>2024</v>
      </c>
      <c r="E878" s="23" t="str">
        <f t="shared" si="41"/>
        <v>Q2</v>
      </c>
      <c r="F878" t="s">
        <v>3219</v>
      </c>
      <c r="G878" s="24" t="s">
        <v>41</v>
      </c>
      <c r="H878" s="17">
        <v>5</v>
      </c>
      <c r="I878" s="19">
        <v>608.91</v>
      </c>
      <c r="J878" t="s">
        <v>2760</v>
      </c>
      <c r="K878" s="24" t="s">
        <v>60</v>
      </c>
      <c r="L878" s="24" t="s">
        <v>89</v>
      </c>
      <c r="M878" t="s">
        <v>3220</v>
      </c>
      <c r="N878" s="17">
        <v>6</v>
      </c>
      <c r="O878" t="s">
        <v>21</v>
      </c>
      <c r="P878" s="24" t="s">
        <v>76</v>
      </c>
      <c r="Q878" s="19">
        <v>3044.55</v>
      </c>
    </row>
    <row r="879" spans="1:17">
      <c r="A879" t="s">
        <v>3221</v>
      </c>
      <c r="B879" s="23">
        <v>45498</v>
      </c>
      <c r="C879" s="23" t="str">
        <f t="shared" si="39"/>
        <v>Jul</v>
      </c>
      <c r="D879" s="23" t="str">
        <f t="shared" si="40"/>
        <v>2024</v>
      </c>
      <c r="E879" s="23" t="str">
        <f t="shared" si="41"/>
        <v>Q3</v>
      </c>
      <c r="F879" t="s">
        <v>3222</v>
      </c>
      <c r="G879" s="24" t="s">
        <v>32</v>
      </c>
      <c r="H879" s="17">
        <v>1</v>
      </c>
      <c r="I879" s="19">
        <v>524.06</v>
      </c>
      <c r="J879" t="s">
        <v>2346</v>
      </c>
      <c r="K879" s="24" t="s">
        <v>18</v>
      </c>
      <c r="L879" s="24" t="s">
        <v>89</v>
      </c>
      <c r="M879" t="s">
        <v>3223</v>
      </c>
      <c r="N879" s="17">
        <v>3</v>
      </c>
      <c r="O879" t="s">
        <v>37</v>
      </c>
      <c r="P879" s="24" t="s">
        <v>38</v>
      </c>
      <c r="Q879" s="19">
        <v>524.06</v>
      </c>
    </row>
    <row r="880" spans="1:17">
      <c r="A880" t="s">
        <v>3224</v>
      </c>
      <c r="B880" s="23">
        <v>45078</v>
      </c>
      <c r="C880" s="23" t="str">
        <f t="shared" si="39"/>
        <v>Jun</v>
      </c>
      <c r="D880" s="23" t="str">
        <f t="shared" si="40"/>
        <v>2023</v>
      </c>
      <c r="E880" s="23" t="str">
        <f t="shared" si="41"/>
        <v>Q2</v>
      </c>
      <c r="F880" t="s">
        <v>3225</v>
      </c>
      <c r="G880" s="24" t="s">
        <v>73</v>
      </c>
      <c r="H880" s="17">
        <v>2</v>
      </c>
      <c r="I880" s="19">
        <v>330.69</v>
      </c>
      <c r="J880" t="s">
        <v>3226</v>
      </c>
      <c r="K880" s="24" t="s">
        <v>27</v>
      </c>
      <c r="L880" s="24" t="s">
        <v>35</v>
      </c>
      <c r="M880" t="s">
        <v>3227</v>
      </c>
      <c r="N880" s="17">
        <v>5</v>
      </c>
      <c r="O880" t="s">
        <v>21</v>
      </c>
      <c r="P880" s="24" t="s">
        <v>76</v>
      </c>
      <c r="Q880" s="19">
        <v>661.38</v>
      </c>
    </row>
    <row r="881" spans="1:17">
      <c r="A881" t="s">
        <v>3228</v>
      </c>
      <c r="B881" s="23">
        <v>45755</v>
      </c>
      <c r="C881" s="23" t="str">
        <f t="shared" si="39"/>
        <v>Apr</v>
      </c>
      <c r="D881" s="23" t="str">
        <f t="shared" si="40"/>
        <v>2025</v>
      </c>
      <c r="E881" s="23" t="str">
        <f t="shared" si="41"/>
        <v>Q2</v>
      </c>
      <c r="F881" t="s">
        <v>3229</v>
      </c>
      <c r="G881" s="24" t="s">
        <v>25</v>
      </c>
      <c r="H881" s="17">
        <v>2</v>
      </c>
      <c r="I881" s="19">
        <v>547.67</v>
      </c>
      <c r="J881" t="s">
        <v>2116</v>
      </c>
      <c r="K881" s="24" t="s">
        <v>60</v>
      </c>
      <c r="L881" s="24" t="s">
        <v>19</v>
      </c>
      <c r="M881" t="s">
        <v>3230</v>
      </c>
      <c r="N881" s="17">
        <v>3</v>
      </c>
      <c r="O881" t="s">
        <v>4295</v>
      </c>
      <c r="P881" s="24" t="s">
        <v>22</v>
      </c>
      <c r="Q881" s="19">
        <v>1095.34</v>
      </c>
    </row>
    <row r="882" spans="1:17">
      <c r="A882" t="s">
        <v>3231</v>
      </c>
      <c r="B882" s="23">
        <v>45728</v>
      </c>
      <c r="C882" s="23" t="str">
        <f t="shared" si="39"/>
        <v>Mar</v>
      </c>
      <c r="D882" s="23" t="str">
        <f t="shared" si="40"/>
        <v>2025</v>
      </c>
      <c r="E882" s="23" t="str">
        <f t="shared" si="41"/>
        <v>Q1</v>
      </c>
      <c r="F882" t="s">
        <v>3232</v>
      </c>
      <c r="G882" s="24" t="s">
        <v>58</v>
      </c>
      <c r="H882" s="17">
        <v>4</v>
      </c>
      <c r="I882" s="19">
        <v>233.7</v>
      </c>
      <c r="J882" t="s">
        <v>980</v>
      </c>
      <c r="K882" s="24" t="s">
        <v>27</v>
      </c>
      <c r="L882" s="24" t="s">
        <v>19</v>
      </c>
      <c r="M882" t="s">
        <v>3233</v>
      </c>
      <c r="N882" s="17">
        <v>8</v>
      </c>
      <c r="O882" t="s">
        <v>21</v>
      </c>
      <c r="P882" s="24" t="s">
        <v>45</v>
      </c>
      <c r="Q882" s="19">
        <v>934.8</v>
      </c>
    </row>
    <row r="883" spans="1:17">
      <c r="A883" t="s">
        <v>3234</v>
      </c>
      <c r="B883" s="23">
        <v>44929</v>
      </c>
      <c r="C883" s="23" t="str">
        <f t="shared" si="39"/>
        <v>Jan</v>
      </c>
      <c r="D883" s="23" t="str">
        <f t="shared" si="40"/>
        <v>2023</v>
      </c>
      <c r="E883" s="23" t="str">
        <f t="shared" si="41"/>
        <v>Q1</v>
      </c>
      <c r="F883" t="s">
        <v>3235</v>
      </c>
      <c r="G883" s="24" t="s">
        <v>32</v>
      </c>
      <c r="H883" s="17">
        <v>2</v>
      </c>
      <c r="I883" s="19">
        <v>448.85</v>
      </c>
      <c r="J883" t="s">
        <v>3236</v>
      </c>
      <c r="K883" s="24" t="s">
        <v>34</v>
      </c>
      <c r="L883" s="24" t="s">
        <v>89</v>
      </c>
      <c r="M883" t="s">
        <v>3237</v>
      </c>
      <c r="N883" s="17">
        <v>6</v>
      </c>
      <c r="O883" t="s">
        <v>4295</v>
      </c>
      <c r="P883" s="24" t="s">
        <v>22</v>
      </c>
      <c r="Q883" s="19">
        <v>897.7</v>
      </c>
    </row>
    <row r="884" spans="1:17">
      <c r="A884" t="s">
        <v>3238</v>
      </c>
      <c r="B884" s="23">
        <v>45836</v>
      </c>
      <c r="C884" s="23" t="str">
        <f t="shared" si="39"/>
        <v>Jun</v>
      </c>
      <c r="D884" s="23" t="str">
        <f t="shared" si="40"/>
        <v>2025</v>
      </c>
      <c r="E884" s="23" t="str">
        <f t="shared" si="41"/>
        <v>Q2</v>
      </c>
      <c r="F884" t="s">
        <v>3239</v>
      </c>
      <c r="G884" s="24" t="s">
        <v>25</v>
      </c>
      <c r="H884" s="17">
        <v>2</v>
      </c>
      <c r="I884" s="19">
        <v>274.12</v>
      </c>
      <c r="J884" t="s">
        <v>426</v>
      </c>
      <c r="K884" s="24" t="s">
        <v>65</v>
      </c>
      <c r="L884" s="24" t="s">
        <v>50</v>
      </c>
      <c r="M884" t="s">
        <v>3240</v>
      </c>
      <c r="N884" s="17">
        <v>6</v>
      </c>
      <c r="O884" t="s">
        <v>37</v>
      </c>
      <c r="P884" s="24" t="s">
        <v>29</v>
      </c>
      <c r="Q884" s="19">
        <v>548.24</v>
      </c>
    </row>
    <row r="885" spans="1:17">
      <c r="A885" t="s">
        <v>3241</v>
      </c>
      <c r="B885" s="23">
        <v>45790</v>
      </c>
      <c r="C885" s="23" t="str">
        <f t="shared" si="39"/>
        <v>May</v>
      </c>
      <c r="D885" s="23" t="str">
        <f t="shared" si="40"/>
        <v>2025</v>
      </c>
      <c r="E885" s="23" t="str">
        <f t="shared" si="41"/>
        <v>Q2</v>
      </c>
      <c r="F885" t="s">
        <v>3242</v>
      </c>
      <c r="G885" s="24" t="s">
        <v>48</v>
      </c>
      <c r="H885" s="17">
        <v>5</v>
      </c>
      <c r="I885" s="19">
        <v>561.48</v>
      </c>
      <c r="J885" t="s">
        <v>3243</v>
      </c>
      <c r="K885" s="24" t="s">
        <v>27</v>
      </c>
      <c r="L885" s="24" t="s">
        <v>50</v>
      </c>
      <c r="M885" t="s">
        <v>3244</v>
      </c>
      <c r="N885" s="17">
        <v>9</v>
      </c>
      <c r="O885" t="s">
        <v>37</v>
      </c>
      <c r="P885" s="24" t="s">
        <v>45</v>
      </c>
      <c r="Q885" s="19">
        <v>2807.4</v>
      </c>
    </row>
    <row r="886" spans="1:17">
      <c r="A886" t="s">
        <v>3245</v>
      </c>
      <c r="B886" s="23">
        <v>45427</v>
      </c>
      <c r="C886" s="23" t="str">
        <f t="shared" si="39"/>
        <v>May</v>
      </c>
      <c r="D886" s="23" t="str">
        <f t="shared" si="40"/>
        <v>2024</v>
      </c>
      <c r="E886" s="23" t="str">
        <f t="shared" si="41"/>
        <v>Q2</v>
      </c>
      <c r="F886" t="s">
        <v>3246</v>
      </c>
      <c r="G886" s="24" t="s">
        <v>41</v>
      </c>
      <c r="H886" s="17">
        <v>1</v>
      </c>
      <c r="I886" s="19">
        <v>595.54</v>
      </c>
      <c r="J886" t="s">
        <v>3247</v>
      </c>
      <c r="K886" s="24" t="s">
        <v>60</v>
      </c>
      <c r="L886" s="24" t="s">
        <v>19</v>
      </c>
      <c r="M886" t="s">
        <v>3248</v>
      </c>
      <c r="N886" s="17">
        <v>4</v>
      </c>
      <c r="O886" t="s">
        <v>4295</v>
      </c>
      <c r="P886" s="24" t="s">
        <v>22</v>
      </c>
      <c r="Q886" s="19">
        <v>595.54</v>
      </c>
    </row>
    <row r="887" spans="1:17">
      <c r="A887" t="s">
        <v>3249</v>
      </c>
      <c r="B887" s="23">
        <v>45389</v>
      </c>
      <c r="C887" s="23" t="str">
        <f t="shared" si="39"/>
        <v>Apr</v>
      </c>
      <c r="D887" s="23" t="str">
        <f t="shared" si="40"/>
        <v>2024</v>
      </c>
      <c r="E887" s="23" t="str">
        <f t="shared" si="41"/>
        <v>Q2</v>
      </c>
      <c r="F887" t="s">
        <v>3250</v>
      </c>
      <c r="G887" s="24" t="s">
        <v>58</v>
      </c>
      <c r="H887" s="17">
        <v>4</v>
      </c>
      <c r="I887" s="19">
        <v>515.59</v>
      </c>
      <c r="J887" t="s">
        <v>3251</v>
      </c>
      <c r="K887" s="24" t="s">
        <v>34</v>
      </c>
      <c r="L887" s="24" t="s">
        <v>19</v>
      </c>
      <c r="M887" t="s">
        <v>3252</v>
      </c>
      <c r="N887" s="17">
        <v>7</v>
      </c>
      <c r="O887" t="s">
        <v>37</v>
      </c>
      <c r="P887" s="24" t="s">
        <v>76</v>
      </c>
      <c r="Q887" s="19">
        <v>2062.36</v>
      </c>
    </row>
    <row r="888" spans="1:17">
      <c r="A888" t="s">
        <v>3253</v>
      </c>
      <c r="B888" s="23">
        <v>45224</v>
      </c>
      <c r="C888" s="23" t="str">
        <f t="shared" si="39"/>
        <v>Oct</v>
      </c>
      <c r="D888" s="23" t="str">
        <f t="shared" si="40"/>
        <v>2023</v>
      </c>
      <c r="E888" s="23" t="str">
        <f t="shared" si="41"/>
        <v>Q4</v>
      </c>
      <c r="F888" t="s">
        <v>3254</v>
      </c>
      <c r="G888" s="24" t="s">
        <v>25</v>
      </c>
      <c r="H888" s="17">
        <v>1</v>
      </c>
      <c r="I888" s="19">
        <v>460.13</v>
      </c>
      <c r="J888" t="s">
        <v>3255</v>
      </c>
      <c r="K888" s="24" t="s">
        <v>34</v>
      </c>
      <c r="L888" s="24" t="s">
        <v>43</v>
      </c>
      <c r="M888" t="s">
        <v>3256</v>
      </c>
      <c r="N888" s="17">
        <v>1</v>
      </c>
      <c r="O888" t="s">
        <v>4295</v>
      </c>
      <c r="P888" s="24" t="s">
        <v>76</v>
      </c>
      <c r="Q888" s="19">
        <v>460.13</v>
      </c>
    </row>
    <row r="889" spans="1:17">
      <c r="A889" t="s">
        <v>3257</v>
      </c>
      <c r="B889" s="23">
        <v>45645</v>
      </c>
      <c r="C889" s="23" t="str">
        <f t="shared" si="39"/>
        <v>Dec</v>
      </c>
      <c r="D889" s="23" t="str">
        <f t="shared" si="40"/>
        <v>2024</v>
      </c>
      <c r="E889" s="23" t="str">
        <f t="shared" si="41"/>
        <v>Q4</v>
      </c>
      <c r="F889" t="s">
        <v>3258</v>
      </c>
      <c r="G889" s="24" t="s">
        <v>41</v>
      </c>
      <c r="H889" s="17">
        <v>3</v>
      </c>
      <c r="I889" s="19">
        <v>171.66</v>
      </c>
      <c r="J889" t="s">
        <v>3259</v>
      </c>
      <c r="K889" s="24" t="s">
        <v>18</v>
      </c>
      <c r="L889" s="24" t="s">
        <v>50</v>
      </c>
      <c r="M889" t="s">
        <v>3260</v>
      </c>
      <c r="N889" s="17">
        <v>7</v>
      </c>
      <c r="O889" t="s">
        <v>4295</v>
      </c>
      <c r="P889" s="24" t="s">
        <v>76</v>
      </c>
      <c r="Q889" s="19">
        <v>514.98</v>
      </c>
    </row>
    <row r="890" spans="1:17">
      <c r="A890" t="s">
        <v>3261</v>
      </c>
      <c r="B890" s="23">
        <v>45496</v>
      </c>
      <c r="C890" s="23" t="str">
        <f t="shared" si="39"/>
        <v>Jul</v>
      </c>
      <c r="D890" s="23" t="str">
        <f t="shared" si="40"/>
        <v>2024</v>
      </c>
      <c r="E890" s="23" t="str">
        <f t="shared" si="41"/>
        <v>Q3</v>
      </c>
      <c r="F890" t="s">
        <v>3262</v>
      </c>
      <c r="G890" s="24" t="s">
        <v>58</v>
      </c>
      <c r="H890" s="17">
        <v>2</v>
      </c>
      <c r="I890" s="19">
        <v>266.95</v>
      </c>
      <c r="J890" t="s">
        <v>3263</v>
      </c>
      <c r="K890" s="24" t="s">
        <v>34</v>
      </c>
      <c r="L890" s="24" t="s">
        <v>89</v>
      </c>
      <c r="M890" t="s">
        <v>3264</v>
      </c>
      <c r="N890" s="17">
        <v>3</v>
      </c>
      <c r="O890" t="s">
        <v>4295</v>
      </c>
      <c r="P890" s="24" t="s">
        <v>22</v>
      </c>
      <c r="Q890" s="19">
        <v>533.9</v>
      </c>
    </row>
    <row r="891" spans="1:17">
      <c r="A891" t="s">
        <v>3265</v>
      </c>
      <c r="B891" s="23">
        <v>45592</v>
      </c>
      <c r="C891" s="23" t="str">
        <f t="shared" si="39"/>
        <v>Oct</v>
      </c>
      <c r="D891" s="23" t="str">
        <f t="shared" si="40"/>
        <v>2024</v>
      </c>
      <c r="E891" s="23" t="str">
        <f t="shared" si="41"/>
        <v>Q4</v>
      </c>
      <c r="F891" t="s">
        <v>3266</v>
      </c>
      <c r="G891" s="24" t="s">
        <v>16</v>
      </c>
      <c r="H891" s="17">
        <v>5</v>
      </c>
      <c r="I891" s="19">
        <v>650.72</v>
      </c>
      <c r="J891" t="s">
        <v>3267</v>
      </c>
      <c r="K891" s="24" t="s">
        <v>34</v>
      </c>
      <c r="L891" s="24" t="s">
        <v>35</v>
      </c>
      <c r="M891" t="s">
        <v>3268</v>
      </c>
      <c r="N891" s="17">
        <v>8</v>
      </c>
      <c r="O891" t="s">
        <v>81</v>
      </c>
      <c r="P891" s="24" t="s">
        <v>38</v>
      </c>
      <c r="Q891" s="19">
        <v>3253.6</v>
      </c>
    </row>
    <row r="892" spans="1:17">
      <c r="A892" t="s">
        <v>3269</v>
      </c>
      <c r="B892" s="23">
        <v>45149</v>
      </c>
      <c r="C892" s="23" t="str">
        <f t="shared" si="39"/>
        <v>Aug</v>
      </c>
      <c r="D892" s="23" t="str">
        <f t="shared" si="40"/>
        <v>2023</v>
      </c>
      <c r="E892" s="23" t="str">
        <f t="shared" si="41"/>
        <v>Q3</v>
      </c>
      <c r="F892" t="s">
        <v>3270</v>
      </c>
      <c r="G892" s="24" t="s">
        <v>58</v>
      </c>
      <c r="H892" s="17">
        <v>3</v>
      </c>
      <c r="I892" s="19">
        <v>439.53</v>
      </c>
      <c r="J892" t="s">
        <v>1849</v>
      </c>
      <c r="K892" s="24" t="s">
        <v>18</v>
      </c>
      <c r="L892" s="24" t="s">
        <v>89</v>
      </c>
      <c r="M892" t="s">
        <v>3271</v>
      </c>
      <c r="N892" s="17">
        <v>5</v>
      </c>
      <c r="O892" t="s">
        <v>4295</v>
      </c>
      <c r="P892" s="24" t="s">
        <v>76</v>
      </c>
      <c r="Q892" s="19">
        <v>1318.59</v>
      </c>
    </row>
    <row r="893" spans="1:17">
      <c r="A893" t="s">
        <v>3272</v>
      </c>
      <c r="B893" s="23">
        <v>45241</v>
      </c>
      <c r="C893" s="23" t="str">
        <f t="shared" si="39"/>
        <v>Nov</v>
      </c>
      <c r="D893" s="23" t="str">
        <f t="shared" si="40"/>
        <v>2023</v>
      </c>
      <c r="E893" s="23" t="str">
        <f t="shared" si="41"/>
        <v>Q4</v>
      </c>
      <c r="F893" t="s">
        <v>3273</v>
      </c>
      <c r="G893" s="24" t="s">
        <v>16</v>
      </c>
      <c r="H893" s="17">
        <v>3</v>
      </c>
      <c r="I893" s="19">
        <v>654.54</v>
      </c>
      <c r="J893" t="s">
        <v>3274</v>
      </c>
      <c r="K893" s="24" t="s">
        <v>65</v>
      </c>
      <c r="L893" s="24" t="s">
        <v>43</v>
      </c>
      <c r="M893" t="s">
        <v>3275</v>
      </c>
      <c r="N893" s="17">
        <v>7</v>
      </c>
      <c r="O893" t="s">
        <v>21</v>
      </c>
      <c r="P893" s="24" t="s">
        <v>29</v>
      </c>
      <c r="Q893" s="19">
        <v>1963.62</v>
      </c>
    </row>
    <row r="894" spans="1:17">
      <c r="A894" t="s">
        <v>3276</v>
      </c>
      <c r="B894" s="23">
        <v>45447</v>
      </c>
      <c r="C894" s="23" t="str">
        <f t="shared" si="39"/>
        <v>Jun</v>
      </c>
      <c r="D894" s="23" t="str">
        <f t="shared" si="40"/>
        <v>2024</v>
      </c>
      <c r="E894" s="23" t="str">
        <f t="shared" si="41"/>
        <v>Q2</v>
      </c>
      <c r="F894" t="s">
        <v>3277</v>
      </c>
      <c r="G894" s="24" t="s">
        <v>73</v>
      </c>
      <c r="H894" s="17">
        <v>1</v>
      </c>
      <c r="I894" s="19">
        <v>394.53</v>
      </c>
      <c r="J894" t="s">
        <v>3278</v>
      </c>
      <c r="K894" s="24" t="s">
        <v>65</v>
      </c>
      <c r="L894" s="24" t="s">
        <v>19</v>
      </c>
      <c r="M894" t="s">
        <v>3279</v>
      </c>
      <c r="N894" s="17">
        <v>2</v>
      </c>
      <c r="O894" t="s">
        <v>37</v>
      </c>
      <c r="P894" s="24" t="s">
        <v>29</v>
      </c>
      <c r="Q894" s="19">
        <v>394.53</v>
      </c>
    </row>
    <row r="895" spans="1:17">
      <c r="A895" t="s">
        <v>3280</v>
      </c>
      <c r="B895" s="23">
        <v>45006</v>
      </c>
      <c r="C895" s="23" t="str">
        <f t="shared" si="39"/>
        <v>Mar</v>
      </c>
      <c r="D895" s="23" t="str">
        <f t="shared" si="40"/>
        <v>2023</v>
      </c>
      <c r="E895" s="23" t="str">
        <f t="shared" si="41"/>
        <v>Q1</v>
      </c>
      <c r="F895" t="s">
        <v>3281</v>
      </c>
      <c r="G895" s="24" t="s">
        <v>16</v>
      </c>
      <c r="H895" s="17">
        <v>1</v>
      </c>
      <c r="I895" s="19">
        <v>678.01</v>
      </c>
      <c r="J895" t="s">
        <v>1945</v>
      </c>
      <c r="K895" s="24" t="s">
        <v>65</v>
      </c>
      <c r="L895" s="24" t="s">
        <v>89</v>
      </c>
      <c r="M895" t="s">
        <v>3282</v>
      </c>
      <c r="N895" s="17">
        <v>4</v>
      </c>
      <c r="O895" t="s">
        <v>37</v>
      </c>
      <c r="P895" s="24" t="s">
        <v>29</v>
      </c>
      <c r="Q895" s="19">
        <v>678.01</v>
      </c>
    </row>
    <row r="896" spans="1:17">
      <c r="A896" t="s">
        <v>3283</v>
      </c>
      <c r="B896" s="23">
        <v>45069</v>
      </c>
      <c r="C896" s="23" t="str">
        <f t="shared" si="39"/>
        <v>May</v>
      </c>
      <c r="D896" s="23" t="str">
        <f t="shared" si="40"/>
        <v>2023</v>
      </c>
      <c r="E896" s="23" t="str">
        <f t="shared" si="41"/>
        <v>Q2</v>
      </c>
      <c r="F896" t="s">
        <v>3284</v>
      </c>
      <c r="G896" s="24" t="s">
        <v>32</v>
      </c>
      <c r="H896" s="17">
        <v>3</v>
      </c>
      <c r="I896" s="19">
        <v>575.01</v>
      </c>
      <c r="J896" t="s">
        <v>2062</v>
      </c>
      <c r="K896" s="24" t="s">
        <v>27</v>
      </c>
      <c r="L896" s="24" t="s">
        <v>35</v>
      </c>
      <c r="M896" t="s">
        <v>3285</v>
      </c>
      <c r="N896" s="17">
        <v>8</v>
      </c>
      <c r="O896" t="s">
        <v>81</v>
      </c>
      <c r="P896" s="24" t="s">
        <v>22</v>
      </c>
      <c r="Q896" s="19">
        <v>1725.03</v>
      </c>
    </row>
    <row r="897" spans="1:17">
      <c r="A897" t="s">
        <v>3286</v>
      </c>
      <c r="B897" s="23">
        <v>45239</v>
      </c>
      <c r="C897" s="23" t="str">
        <f t="shared" si="39"/>
        <v>Nov</v>
      </c>
      <c r="D897" s="23" t="str">
        <f t="shared" si="40"/>
        <v>2023</v>
      </c>
      <c r="E897" s="23" t="str">
        <f t="shared" si="41"/>
        <v>Q4</v>
      </c>
      <c r="F897" t="s">
        <v>3287</v>
      </c>
      <c r="G897" s="24" t="s">
        <v>41</v>
      </c>
      <c r="H897" s="17">
        <v>3</v>
      </c>
      <c r="I897" s="19">
        <v>154.64</v>
      </c>
      <c r="J897" t="s">
        <v>3288</v>
      </c>
      <c r="K897" s="24" t="s">
        <v>18</v>
      </c>
      <c r="L897" s="24" t="s">
        <v>89</v>
      </c>
      <c r="M897" t="s">
        <v>3289</v>
      </c>
      <c r="N897" s="17">
        <v>6</v>
      </c>
      <c r="O897" t="s">
        <v>81</v>
      </c>
      <c r="P897" s="24" t="s">
        <v>45</v>
      </c>
      <c r="Q897" s="19">
        <v>463.92</v>
      </c>
    </row>
    <row r="898" spans="1:17">
      <c r="A898" t="s">
        <v>3290</v>
      </c>
      <c r="B898" s="23">
        <v>45583</v>
      </c>
      <c r="C898" s="23" t="str">
        <f t="shared" ref="C898:C961" si="42">TEXT(B898,"MMM")</f>
        <v>Oct</v>
      </c>
      <c r="D898" s="23" t="str">
        <f t="shared" ref="D898:D961" si="43">TEXT(B898,"YYYY")</f>
        <v>2024</v>
      </c>
      <c r="E898" s="23" t="str">
        <f t="shared" ref="E898:E961" si="44">"Q"&amp;ROUNDUP(MONTH(B898)/3,0)</f>
        <v>Q4</v>
      </c>
      <c r="F898" t="s">
        <v>3291</v>
      </c>
      <c r="G898" s="24" t="s">
        <v>73</v>
      </c>
      <c r="H898" s="17">
        <v>3</v>
      </c>
      <c r="I898" s="19">
        <v>147.29</v>
      </c>
      <c r="J898" t="s">
        <v>74</v>
      </c>
      <c r="K898" s="24" t="s">
        <v>60</v>
      </c>
      <c r="L898" s="24" t="s">
        <v>19</v>
      </c>
      <c r="M898" t="s">
        <v>3292</v>
      </c>
      <c r="N898" s="17">
        <v>3</v>
      </c>
      <c r="O898" t="s">
        <v>37</v>
      </c>
      <c r="P898" s="24" t="s">
        <v>76</v>
      </c>
      <c r="Q898" s="19">
        <v>441.87</v>
      </c>
    </row>
    <row r="899" spans="1:17">
      <c r="A899" t="s">
        <v>3293</v>
      </c>
      <c r="B899" s="23">
        <v>45538</v>
      </c>
      <c r="C899" s="23" t="str">
        <f t="shared" si="42"/>
        <v>Sep</v>
      </c>
      <c r="D899" s="23" t="str">
        <f t="shared" si="43"/>
        <v>2024</v>
      </c>
      <c r="E899" s="23" t="str">
        <f t="shared" si="44"/>
        <v>Q3</v>
      </c>
      <c r="F899" t="s">
        <v>3294</v>
      </c>
      <c r="G899" s="24" t="s">
        <v>58</v>
      </c>
      <c r="H899" s="17">
        <v>4</v>
      </c>
      <c r="I899" s="19">
        <v>481.48</v>
      </c>
      <c r="J899" t="s">
        <v>817</v>
      </c>
      <c r="K899" s="24" t="s">
        <v>60</v>
      </c>
      <c r="L899" s="24" t="s">
        <v>50</v>
      </c>
      <c r="M899" t="s">
        <v>3295</v>
      </c>
      <c r="N899" s="17">
        <v>5</v>
      </c>
      <c r="O899" t="s">
        <v>21</v>
      </c>
      <c r="P899" s="24" t="s">
        <v>22</v>
      </c>
      <c r="Q899" s="19">
        <v>1925.92</v>
      </c>
    </row>
    <row r="900" spans="1:17">
      <c r="A900" t="s">
        <v>3296</v>
      </c>
      <c r="B900" s="23">
        <v>45721</v>
      </c>
      <c r="C900" s="23" t="str">
        <f t="shared" si="42"/>
        <v>Mar</v>
      </c>
      <c r="D900" s="23" t="str">
        <f t="shared" si="43"/>
        <v>2025</v>
      </c>
      <c r="E900" s="23" t="str">
        <f t="shared" si="44"/>
        <v>Q1</v>
      </c>
      <c r="F900" t="s">
        <v>3297</v>
      </c>
      <c r="G900" s="24" t="s">
        <v>16</v>
      </c>
      <c r="H900" s="17">
        <v>3</v>
      </c>
      <c r="I900" s="19">
        <v>158.37</v>
      </c>
      <c r="J900" t="s">
        <v>3100</v>
      </c>
      <c r="K900" s="24" t="s">
        <v>65</v>
      </c>
      <c r="L900" s="24" t="s">
        <v>19</v>
      </c>
      <c r="M900" t="s">
        <v>3298</v>
      </c>
      <c r="N900" s="17">
        <v>6</v>
      </c>
      <c r="O900" t="s">
        <v>4295</v>
      </c>
      <c r="P900" s="24" t="s">
        <v>29</v>
      </c>
      <c r="Q900" s="19">
        <v>475.11</v>
      </c>
    </row>
    <row r="901" spans="1:17">
      <c r="A901" t="s">
        <v>3299</v>
      </c>
      <c r="B901" s="23">
        <v>45770</v>
      </c>
      <c r="C901" s="23" t="str">
        <f t="shared" si="42"/>
        <v>Apr</v>
      </c>
      <c r="D901" s="23" t="str">
        <f t="shared" si="43"/>
        <v>2025</v>
      </c>
      <c r="E901" s="23" t="str">
        <f t="shared" si="44"/>
        <v>Q2</v>
      </c>
      <c r="F901" t="s">
        <v>3300</v>
      </c>
      <c r="G901" s="24" t="s">
        <v>48</v>
      </c>
      <c r="H901" s="17">
        <v>2</v>
      </c>
      <c r="I901" s="19">
        <v>323.37</v>
      </c>
      <c r="J901" t="s">
        <v>312</v>
      </c>
      <c r="K901" s="24" t="s">
        <v>27</v>
      </c>
      <c r="L901" s="24" t="s">
        <v>89</v>
      </c>
      <c r="M901" t="s">
        <v>3301</v>
      </c>
      <c r="N901" s="17">
        <v>3</v>
      </c>
      <c r="O901" t="s">
        <v>21</v>
      </c>
      <c r="P901" s="24" t="s">
        <v>22</v>
      </c>
      <c r="Q901" s="19">
        <v>646.74</v>
      </c>
    </row>
    <row r="902" spans="1:17">
      <c r="A902" t="s">
        <v>3302</v>
      </c>
      <c r="B902" s="23">
        <v>45695</v>
      </c>
      <c r="C902" s="23" t="str">
        <f t="shared" si="42"/>
        <v>Feb</v>
      </c>
      <c r="D902" s="23" t="str">
        <f t="shared" si="43"/>
        <v>2025</v>
      </c>
      <c r="E902" s="23" t="str">
        <f t="shared" si="44"/>
        <v>Q1</v>
      </c>
      <c r="F902" t="s">
        <v>3303</v>
      </c>
      <c r="G902" s="24" t="s">
        <v>58</v>
      </c>
      <c r="H902" s="17">
        <v>5</v>
      </c>
      <c r="I902" s="19">
        <v>73.83</v>
      </c>
      <c r="J902" t="s">
        <v>1996</v>
      </c>
      <c r="K902" s="24" t="s">
        <v>18</v>
      </c>
      <c r="L902" s="24" t="s">
        <v>89</v>
      </c>
      <c r="M902" t="s">
        <v>3304</v>
      </c>
      <c r="N902" s="17">
        <v>9</v>
      </c>
      <c r="O902" t="s">
        <v>4295</v>
      </c>
      <c r="P902" s="24" t="s">
        <v>22</v>
      </c>
      <c r="Q902" s="19">
        <v>369.15</v>
      </c>
    </row>
    <row r="903" spans="1:17">
      <c r="A903" t="s">
        <v>3305</v>
      </c>
      <c r="B903" s="23">
        <v>45410</v>
      </c>
      <c r="C903" s="23" t="str">
        <f t="shared" si="42"/>
        <v>Apr</v>
      </c>
      <c r="D903" s="23" t="str">
        <f t="shared" si="43"/>
        <v>2024</v>
      </c>
      <c r="E903" s="23" t="str">
        <f t="shared" si="44"/>
        <v>Q2</v>
      </c>
      <c r="F903" t="s">
        <v>3306</v>
      </c>
      <c r="G903" s="24" t="s">
        <v>32</v>
      </c>
      <c r="H903" s="17">
        <v>1</v>
      </c>
      <c r="I903" s="19">
        <v>458.63</v>
      </c>
      <c r="J903" t="s">
        <v>415</v>
      </c>
      <c r="K903" s="24" t="s">
        <v>18</v>
      </c>
      <c r="L903" s="24" t="s">
        <v>43</v>
      </c>
      <c r="M903" t="s">
        <v>3307</v>
      </c>
      <c r="N903" s="17">
        <v>4</v>
      </c>
      <c r="O903" t="s">
        <v>81</v>
      </c>
      <c r="P903" s="24" t="s">
        <v>29</v>
      </c>
      <c r="Q903" s="19">
        <v>458.63</v>
      </c>
    </row>
    <row r="904" spans="1:17">
      <c r="A904" t="s">
        <v>3308</v>
      </c>
      <c r="B904" s="23">
        <v>45486</v>
      </c>
      <c r="C904" s="23" t="str">
        <f t="shared" si="42"/>
        <v>Jul</v>
      </c>
      <c r="D904" s="23" t="str">
        <f t="shared" si="43"/>
        <v>2024</v>
      </c>
      <c r="E904" s="23" t="str">
        <f t="shared" si="44"/>
        <v>Q3</v>
      </c>
      <c r="F904" t="s">
        <v>3309</v>
      </c>
      <c r="G904" s="24" t="s">
        <v>16</v>
      </c>
      <c r="H904" s="17">
        <v>4</v>
      </c>
      <c r="I904" s="19">
        <v>180.25</v>
      </c>
      <c r="J904" t="s">
        <v>289</v>
      </c>
      <c r="K904" s="24" t="s">
        <v>18</v>
      </c>
      <c r="L904" s="24" t="s">
        <v>35</v>
      </c>
      <c r="M904" t="s">
        <v>3310</v>
      </c>
      <c r="N904" s="17">
        <v>7</v>
      </c>
      <c r="O904" t="s">
        <v>4295</v>
      </c>
      <c r="P904" s="24" t="s">
        <v>45</v>
      </c>
      <c r="Q904" s="19">
        <v>721</v>
      </c>
    </row>
    <row r="905" spans="1:17">
      <c r="A905" t="s">
        <v>3311</v>
      </c>
      <c r="B905" s="23">
        <v>45063</v>
      </c>
      <c r="C905" s="23" t="str">
        <f t="shared" si="42"/>
        <v>May</v>
      </c>
      <c r="D905" s="23" t="str">
        <f t="shared" si="43"/>
        <v>2023</v>
      </c>
      <c r="E905" s="23" t="str">
        <f t="shared" si="44"/>
        <v>Q2</v>
      </c>
      <c r="F905" t="s">
        <v>3312</v>
      </c>
      <c r="G905" s="24" t="s">
        <v>16</v>
      </c>
      <c r="H905" s="17">
        <v>3</v>
      </c>
      <c r="I905" s="19">
        <v>473.49</v>
      </c>
      <c r="J905" t="s">
        <v>2965</v>
      </c>
      <c r="K905" s="24" t="s">
        <v>34</v>
      </c>
      <c r="L905" s="24" t="s">
        <v>89</v>
      </c>
      <c r="M905" t="s">
        <v>3313</v>
      </c>
      <c r="N905" s="17">
        <v>7</v>
      </c>
      <c r="O905" t="s">
        <v>4295</v>
      </c>
      <c r="P905" s="24" t="s">
        <v>38</v>
      </c>
      <c r="Q905" s="19">
        <v>1420.47</v>
      </c>
    </row>
    <row r="906" spans="1:17">
      <c r="A906" t="s">
        <v>3314</v>
      </c>
      <c r="B906" s="23">
        <v>45693</v>
      </c>
      <c r="C906" s="23" t="str">
        <f t="shared" si="42"/>
        <v>Feb</v>
      </c>
      <c r="D906" s="23" t="str">
        <f t="shared" si="43"/>
        <v>2025</v>
      </c>
      <c r="E906" s="23" t="str">
        <f t="shared" si="44"/>
        <v>Q1</v>
      </c>
      <c r="F906" t="s">
        <v>3315</v>
      </c>
      <c r="G906" s="24" t="s">
        <v>16</v>
      </c>
      <c r="H906" s="17">
        <v>4</v>
      </c>
      <c r="I906" s="19">
        <v>237.43</v>
      </c>
      <c r="J906" t="s">
        <v>1727</v>
      </c>
      <c r="K906" s="24" t="s">
        <v>65</v>
      </c>
      <c r="L906" s="24" t="s">
        <v>35</v>
      </c>
      <c r="M906" t="s">
        <v>3316</v>
      </c>
      <c r="N906" s="17">
        <v>8</v>
      </c>
      <c r="O906" t="s">
        <v>81</v>
      </c>
      <c r="P906" s="24" t="s">
        <v>29</v>
      </c>
      <c r="Q906" s="19">
        <v>949.72</v>
      </c>
    </row>
    <row r="907" spans="1:17">
      <c r="A907" t="s">
        <v>3317</v>
      </c>
      <c r="B907" s="23">
        <v>45253</v>
      </c>
      <c r="C907" s="23" t="str">
        <f t="shared" si="42"/>
        <v>Nov</v>
      </c>
      <c r="D907" s="23" t="str">
        <f t="shared" si="43"/>
        <v>2023</v>
      </c>
      <c r="E907" s="23" t="str">
        <f t="shared" si="44"/>
        <v>Q4</v>
      </c>
      <c r="F907" t="s">
        <v>3318</v>
      </c>
      <c r="G907" s="24" t="s">
        <v>58</v>
      </c>
      <c r="H907" s="17">
        <v>1</v>
      </c>
      <c r="I907" s="19">
        <v>442.39</v>
      </c>
      <c r="J907" t="s">
        <v>1256</v>
      </c>
      <c r="K907" s="24" t="s">
        <v>60</v>
      </c>
      <c r="L907" s="24" t="s">
        <v>89</v>
      </c>
      <c r="M907" t="s">
        <v>3319</v>
      </c>
      <c r="N907" s="17">
        <v>6</v>
      </c>
      <c r="O907" t="s">
        <v>37</v>
      </c>
      <c r="P907" s="24" t="s">
        <v>45</v>
      </c>
      <c r="Q907" s="19">
        <v>442.39</v>
      </c>
    </row>
    <row r="908" spans="1:17">
      <c r="A908" t="s">
        <v>3320</v>
      </c>
      <c r="B908" s="23">
        <v>45538</v>
      </c>
      <c r="C908" s="23" t="str">
        <f t="shared" si="42"/>
        <v>Sep</v>
      </c>
      <c r="D908" s="23" t="str">
        <f t="shared" si="43"/>
        <v>2024</v>
      </c>
      <c r="E908" s="23" t="str">
        <f t="shared" si="44"/>
        <v>Q3</v>
      </c>
      <c r="F908" t="s">
        <v>3321</v>
      </c>
      <c r="G908" s="24" t="s">
        <v>16</v>
      </c>
      <c r="H908" s="17">
        <v>1</v>
      </c>
      <c r="I908" s="19">
        <v>62.12</v>
      </c>
      <c r="J908" t="s">
        <v>3322</v>
      </c>
      <c r="K908" s="24" t="s">
        <v>65</v>
      </c>
      <c r="L908" s="24" t="s">
        <v>43</v>
      </c>
      <c r="M908" t="s">
        <v>3323</v>
      </c>
      <c r="N908" s="17">
        <v>2</v>
      </c>
      <c r="O908" t="s">
        <v>4295</v>
      </c>
      <c r="P908" s="24" t="s">
        <v>38</v>
      </c>
      <c r="Q908" s="19">
        <v>62.12</v>
      </c>
    </row>
    <row r="909" spans="1:17">
      <c r="A909" t="s">
        <v>3324</v>
      </c>
      <c r="B909" s="23">
        <v>45508</v>
      </c>
      <c r="C909" s="23" t="str">
        <f t="shared" si="42"/>
        <v>Aug</v>
      </c>
      <c r="D909" s="23" t="str">
        <f t="shared" si="43"/>
        <v>2024</v>
      </c>
      <c r="E909" s="23" t="str">
        <f t="shared" si="44"/>
        <v>Q3</v>
      </c>
      <c r="F909" t="s">
        <v>3325</v>
      </c>
      <c r="G909" s="24" t="s">
        <v>73</v>
      </c>
      <c r="H909" s="17">
        <v>5</v>
      </c>
      <c r="I909" s="19">
        <v>298.39</v>
      </c>
      <c r="J909" t="s">
        <v>561</v>
      </c>
      <c r="K909" s="24" t="s">
        <v>60</v>
      </c>
      <c r="L909" s="24" t="s">
        <v>35</v>
      </c>
      <c r="M909" t="s">
        <v>3326</v>
      </c>
      <c r="N909" s="17">
        <v>7</v>
      </c>
      <c r="O909" t="s">
        <v>81</v>
      </c>
      <c r="P909" s="24" t="s">
        <v>29</v>
      </c>
      <c r="Q909" s="19">
        <v>1491.95</v>
      </c>
    </row>
    <row r="910" spans="1:17">
      <c r="A910" t="s">
        <v>3327</v>
      </c>
      <c r="B910" s="23">
        <v>45783</v>
      </c>
      <c r="C910" s="23" t="str">
        <f t="shared" si="42"/>
        <v>May</v>
      </c>
      <c r="D910" s="23" t="str">
        <f t="shared" si="43"/>
        <v>2025</v>
      </c>
      <c r="E910" s="23" t="str">
        <f t="shared" si="44"/>
        <v>Q2</v>
      </c>
      <c r="F910" t="s">
        <v>3328</v>
      </c>
      <c r="G910" s="24" t="s">
        <v>73</v>
      </c>
      <c r="H910" s="17">
        <v>2</v>
      </c>
      <c r="I910" s="19">
        <v>697.93</v>
      </c>
      <c r="J910" t="s">
        <v>723</v>
      </c>
      <c r="K910" s="24" t="s">
        <v>34</v>
      </c>
      <c r="L910" s="24" t="s">
        <v>35</v>
      </c>
      <c r="M910" t="s">
        <v>3329</v>
      </c>
      <c r="N910" s="17">
        <v>2</v>
      </c>
      <c r="O910" t="s">
        <v>21</v>
      </c>
      <c r="P910" s="24" t="s">
        <v>76</v>
      </c>
      <c r="Q910" s="19">
        <v>1395.86</v>
      </c>
    </row>
    <row r="911" spans="1:17">
      <c r="A911" t="s">
        <v>3330</v>
      </c>
      <c r="B911" s="23">
        <v>45439</v>
      </c>
      <c r="C911" s="23" t="str">
        <f t="shared" si="42"/>
        <v>May</v>
      </c>
      <c r="D911" s="23" t="str">
        <f t="shared" si="43"/>
        <v>2024</v>
      </c>
      <c r="E911" s="23" t="str">
        <f t="shared" si="44"/>
        <v>Q2</v>
      </c>
      <c r="F911" t="s">
        <v>3331</v>
      </c>
      <c r="G911" s="24" t="s">
        <v>32</v>
      </c>
      <c r="H911" s="17">
        <v>2</v>
      </c>
      <c r="I911" s="19">
        <v>291.85</v>
      </c>
      <c r="J911" t="s">
        <v>125</v>
      </c>
      <c r="K911" s="24" t="s">
        <v>65</v>
      </c>
      <c r="L911" s="24" t="s">
        <v>19</v>
      </c>
      <c r="M911" t="s">
        <v>3332</v>
      </c>
      <c r="N911" s="17">
        <v>5</v>
      </c>
      <c r="O911" t="s">
        <v>37</v>
      </c>
      <c r="P911" s="24" t="s">
        <v>22</v>
      </c>
      <c r="Q911" s="19">
        <v>583.7</v>
      </c>
    </row>
    <row r="912" spans="1:17">
      <c r="A912" t="s">
        <v>3333</v>
      </c>
      <c r="B912" s="23">
        <v>45443</v>
      </c>
      <c r="C912" s="23" t="str">
        <f t="shared" si="42"/>
        <v>May</v>
      </c>
      <c r="D912" s="23" t="str">
        <f t="shared" si="43"/>
        <v>2024</v>
      </c>
      <c r="E912" s="23" t="str">
        <f t="shared" si="44"/>
        <v>Q2</v>
      </c>
      <c r="F912" t="s">
        <v>3334</v>
      </c>
      <c r="G912" s="24" t="s">
        <v>48</v>
      </c>
      <c r="H912" s="17">
        <v>3</v>
      </c>
      <c r="I912" s="19">
        <v>308.98</v>
      </c>
      <c r="J912" t="s">
        <v>343</v>
      </c>
      <c r="K912" s="24" t="s">
        <v>65</v>
      </c>
      <c r="L912" s="24" t="s">
        <v>50</v>
      </c>
      <c r="M912" t="s">
        <v>3335</v>
      </c>
      <c r="N912" s="17">
        <v>3</v>
      </c>
      <c r="O912" t="s">
        <v>21</v>
      </c>
      <c r="P912" s="24" t="s">
        <v>22</v>
      </c>
      <c r="Q912" s="19">
        <v>926.94</v>
      </c>
    </row>
    <row r="913" spans="1:17">
      <c r="A913" t="s">
        <v>3336</v>
      </c>
      <c r="B913" s="23">
        <v>45517</v>
      </c>
      <c r="C913" s="23" t="str">
        <f t="shared" si="42"/>
        <v>Aug</v>
      </c>
      <c r="D913" s="23" t="str">
        <f t="shared" si="43"/>
        <v>2024</v>
      </c>
      <c r="E913" s="23" t="str">
        <f t="shared" si="44"/>
        <v>Q3</v>
      </c>
      <c r="F913" t="s">
        <v>3337</v>
      </c>
      <c r="G913" s="24" t="s">
        <v>73</v>
      </c>
      <c r="H913" s="17">
        <v>5</v>
      </c>
      <c r="I913" s="19">
        <v>396.86</v>
      </c>
      <c r="J913" t="s">
        <v>502</v>
      </c>
      <c r="K913" s="24" t="s">
        <v>65</v>
      </c>
      <c r="L913" s="24" t="s">
        <v>35</v>
      </c>
      <c r="M913" t="s">
        <v>3338</v>
      </c>
      <c r="N913" s="17">
        <v>9</v>
      </c>
      <c r="O913" t="s">
        <v>21</v>
      </c>
      <c r="P913" s="24" t="s">
        <v>22</v>
      </c>
      <c r="Q913" s="19">
        <v>1984.3</v>
      </c>
    </row>
    <row r="914" spans="1:17">
      <c r="A914" t="s">
        <v>3339</v>
      </c>
      <c r="B914" s="23">
        <v>45313</v>
      </c>
      <c r="C914" s="23" t="str">
        <f t="shared" si="42"/>
        <v>Jan</v>
      </c>
      <c r="D914" s="23" t="str">
        <f t="shared" si="43"/>
        <v>2024</v>
      </c>
      <c r="E914" s="23" t="str">
        <f t="shared" si="44"/>
        <v>Q1</v>
      </c>
      <c r="F914" t="s">
        <v>3340</v>
      </c>
      <c r="G914" s="24" t="s">
        <v>73</v>
      </c>
      <c r="H914" s="17">
        <v>2</v>
      </c>
      <c r="I914" s="19">
        <v>139.69</v>
      </c>
      <c r="J914" t="s">
        <v>387</v>
      </c>
      <c r="K914" s="24" t="s">
        <v>27</v>
      </c>
      <c r="L914" s="24" t="s">
        <v>43</v>
      </c>
      <c r="M914" t="s">
        <v>3341</v>
      </c>
      <c r="N914" s="17">
        <v>7</v>
      </c>
      <c r="O914" t="s">
        <v>37</v>
      </c>
      <c r="P914" s="24" t="s">
        <v>38</v>
      </c>
      <c r="Q914" s="19">
        <v>279.38</v>
      </c>
    </row>
    <row r="915" spans="1:17">
      <c r="A915" t="s">
        <v>3342</v>
      </c>
      <c r="B915" s="23">
        <v>44973</v>
      </c>
      <c r="C915" s="23" t="str">
        <f t="shared" si="42"/>
        <v>Feb</v>
      </c>
      <c r="D915" s="23" t="str">
        <f t="shared" si="43"/>
        <v>2023</v>
      </c>
      <c r="E915" s="23" t="str">
        <f t="shared" si="44"/>
        <v>Q1</v>
      </c>
      <c r="F915" t="s">
        <v>3343</v>
      </c>
      <c r="G915" s="24" t="s">
        <v>48</v>
      </c>
      <c r="H915" s="17">
        <v>5</v>
      </c>
      <c r="I915" s="19">
        <v>475.95</v>
      </c>
      <c r="J915" t="s">
        <v>787</v>
      </c>
      <c r="K915" s="24" t="s">
        <v>34</v>
      </c>
      <c r="L915" s="24" t="s">
        <v>43</v>
      </c>
      <c r="M915" t="s">
        <v>3344</v>
      </c>
      <c r="N915" s="17">
        <v>8</v>
      </c>
      <c r="O915" t="s">
        <v>81</v>
      </c>
      <c r="P915" s="24" t="s">
        <v>45</v>
      </c>
      <c r="Q915" s="19">
        <v>2379.75</v>
      </c>
    </row>
    <row r="916" spans="1:17">
      <c r="A916" t="s">
        <v>3345</v>
      </c>
      <c r="B916" s="23">
        <v>45698</v>
      </c>
      <c r="C916" s="23" t="str">
        <f t="shared" si="42"/>
        <v>Feb</v>
      </c>
      <c r="D916" s="23" t="str">
        <f t="shared" si="43"/>
        <v>2025</v>
      </c>
      <c r="E916" s="23" t="str">
        <f t="shared" si="44"/>
        <v>Q1</v>
      </c>
      <c r="F916" t="s">
        <v>3346</v>
      </c>
      <c r="G916" s="24" t="s">
        <v>73</v>
      </c>
      <c r="H916" s="17">
        <v>1</v>
      </c>
      <c r="I916" s="19">
        <v>626.6</v>
      </c>
      <c r="J916" t="s">
        <v>1693</v>
      </c>
      <c r="K916" s="24" t="s">
        <v>60</v>
      </c>
      <c r="L916" s="24" t="s">
        <v>43</v>
      </c>
      <c r="M916" t="s">
        <v>3347</v>
      </c>
      <c r="N916" s="17">
        <v>4</v>
      </c>
      <c r="O916" t="s">
        <v>81</v>
      </c>
      <c r="P916" s="24" t="s">
        <v>45</v>
      </c>
      <c r="Q916" s="19">
        <v>626.6</v>
      </c>
    </row>
    <row r="917" spans="1:17">
      <c r="A917" t="s">
        <v>3348</v>
      </c>
      <c r="B917" s="23">
        <v>45338</v>
      </c>
      <c r="C917" s="23" t="str">
        <f t="shared" si="42"/>
        <v>Feb</v>
      </c>
      <c r="D917" s="23" t="str">
        <f t="shared" si="43"/>
        <v>2024</v>
      </c>
      <c r="E917" s="23" t="str">
        <f t="shared" si="44"/>
        <v>Q1</v>
      </c>
      <c r="F917" t="s">
        <v>3349</v>
      </c>
      <c r="G917" s="24" t="s">
        <v>58</v>
      </c>
      <c r="H917" s="17">
        <v>4</v>
      </c>
      <c r="I917" s="19">
        <v>502.99</v>
      </c>
      <c r="J917" t="s">
        <v>3350</v>
      </c>
      <c r="K917" s="24" t="s">
        <v>18</v>
      </c>
      <c r="L917" s="24" t="s">
        <v>19</v>
      </c>
      <c r="M917" t="s">
        <v>3351</v>
      </c>
      <c r="N917" s="17">
        <v>4</v>
      </c>
      <c r="O917" t="s">
        <v>81</v>
      </c>
      <c r="P917" s="24" t="s">
        <v>29</v>
      </c>
      <c r="Q917" s="19">
        <v>2011.96</v>
      </c>
    </row>
    <row r="918" spans="1:17">
      <c r="A918" t="s">
        <v>3352</v>
      </c>
      <c r="B918" s="23">
        <v>45464</v>
      </c>
      <c r="C918" s="23" t="str">
        <f t="shared" si="42"/>
        <v>Jun</v>
      </c>
      <c r="D918" s="23" t="str">
        <f t="shared" si="43"/>
        <v>2024</v>
      </c>
      <c r="E918" s="23" t="str">
        <f t="shared" si="44"/>
        <v>Q2</v>
      </c>
      <c r="F918" t="s">
        <v>3353</v>
      </c>
      <c r="G918" s="24" t="s">
        <v>48</v>
      </c>
      <c r="H918" s="17">
        <v>5</v>
      </c>
      <c r="I918" s="19">
        <v>578.83</v>
      </c>
      <c r="J918" t="s">
        <v>2845</v>
      </c>
      <c r="K918" s="24" t="s">
        <v>65</v>
      </c>
      <c r="L918" s="24" t="s">
        <v>43</v>
      </c>
      <c r="M918" t="s">
        <v>3354</v>
      </c>
      <c r="N918" s="17">
        <v>6</v>
      </c>
      <c r="O918" t="s">
        <v>4295</v>
      </c>
      <c r="P918" s="24" t="s">
        <v>29</v>
      </c>
      <c r="Q918" s="19">
        <v>2894.15</v>
      </c>
    </row>
    <row r="919" spans="1:17">
      <c r="A919" t="s">
        <v>3355</v>
      </c>
      <c r="B919" s="23">
        <v>45677</v>
      </c>
      <c r="C919" s="23" t="str">
        <f t="shared" si="42"/>
        <v>Jan</v>
      </c>
      <c r="D919" s="23" t="str">
        <f t="shared" si="43"/>
        <v>2025</v>
      </c>
      <c r="E919" s="23" t="str">
        <f t="shared" si="44"/>
        <v>Q1</v>
      </c>
      <c r="F919" t="s">
        <v>3356</v>
      </c>
      <c r="G919" s="24" t="s">
        <v>58</v>
      </c>
      <c r="H919" s="17">
        <v>5</v>
      </c>
      <c r="I919" s="19">
        <v>383.82</v>
      </c>
      <c r="J919" t="s">
        <v>3357</v>
      </c>
      <c r="K919" s="24" t="s">
        <v>34</v>
      </c>
      <c r="L919" s="24" t="s">
        <v>43</v>
      </c>
      <c r="M919" t="s">
        <v>3358</v>
      </c>
      <c r="N919" s="17">
        <v>7</v>
      </c>
      <c r="O919" t="s">
        <v>37</v>
      </c>
      <c r="P919" s="24" t="s">
        <v>76</v>
      </c>
      <c r="Q919" s="19">
        <v>1919.1</v>
      </c>
    </row>
    <row r="920" spans="1:17">
      <c r="A920" t="s">
        <v>3359</v>
      </c>
      <c r="B920" s="23">
        <v>45832</v>
      </c>
      <c r="C920" s="23" t="str">
        <f t="shared" si="42"/>
        <v>Jun</v>
      </c>
      <c r="D920" s="23" t="str">
        <f t="shared" si="43"/>
        <v>2025</v>
      </c>
      <c r="E920" s="23" t="str">
        <f t="shared" si="44"/>
        <v>Q2</v>
      </c>
      <c r="F920" t="s">
        <v>3360</v>
      </c>
      <c r="G920" s="24" t="s">
        <v>58</v>
      </c>
      <c r="H920" s="17">
        <v>5</v>
      </c>
      <c r="I920" s="19">
        <v>368.25</v>
      </c>
      <c r="J920" t="s">
        <v>64</v>
      </c>
      <c r="K920" s="24" t="s">
        <v>27</v>
      </c>
      <c r="L920" s="24" t="s">
        <v>50</v>
      </c>
      <c r="M920" t="s">
        <v>3361</v>
      </c>
      <c r="N920" s="17">
        <v>5</v>
      </c>
      <c r="O920" t="s">
        <v>4295</v>
      </c>
      <c r="P920" s="24" t="s">
        <v>22</v>
      </c>
      <c r="Q920" s="19">
        <v>1841.25</v>
      </c>
    </row>
    <row r="921" spans="1:17">
      <c r="A921" t="s">
        <v>3362</v>
      </c>
      <c r="B921" s="23">
        <v>45695</v>
      </c>
      <c r="C921" s="23" t="str">
        <f t="shared" si="42"/>
        <v>Feb</v>
      </c>
      <c r="D921" s="23" t="str">
        <f t="shared" si="43"/>
        <v>2025</v>
      </c>
      <c r="E921" s="23" t="str">
        <f t="shared" si="44"/>
        <v>Q1</v>
      </c>
      <c r="F921" t="s">
        <v>3363</v>
      </c>
      <c r="G921" s="24" t="s">
        <v>48</v>
      </c>
      <c r="H921" s="17">
        <v>2</v>
      </c>
      <c r="I921" s="19">
        <v>374.6</v>
      </c>
      <c r="J921" t="s">
        <v>510</v>
      </c>
      <c r="K921" s="24" t="s">
        <v>27</v>
      </c>
      <c r="L921" s="24" t="s">
        <v>19</v>
      </c>
      <c r="M921" t="s">
        <v>3364</v>
      </c>
      <c r="N921" s="17">
        <v>3</v>
      </c>
      <c r="O921" t="s">
        <v>37</v>
      </c>
      <c r="P921" s="24" t="s">
        <v>29</v>
      </c>
      <c r="Q921" s="19">
        <v>749.2</v>
      </c>
    </row>
    <row r="922" spans="1:17">
      <c r="A922" t="s">
        <v>3365</v>
      </c>
      <c r="B922" s="23">
        <v>45728</v>
      </c>
      <c r="C922" s="23" t="str">
        <f t="shared" si="42"/>
        <v>Mar</v>
      </c>
      <c r="D922" s="23" t="str">
        <f t="shared" si="43"/>
        <v>2025</v>
      </c>
      <c r="E922" s="23" t="str">
        <f t="shared" si="44"/>
        <v>Q1</v>
      </c>
      <c r="F922" t="s">
        <v>3366</v>
      </c>
      <c r="G922" s="24" t="s">
        <v>32</v>
      </c>
      <c r="H922" s="17">
        <v>2</v>
      </c>
      <c r="I922" s="19">
        <v>428.09</v>
      </c>
      <c r="J922" t="s">
        <v>1244</v>
      </c>
      <c r="K922" s="24" t="s">
        <v>34</v>
      </c>
      <c r="L922" s="24" t="s">
        <v>43</v>
      </c>
      <c r="M922" t="s">
        <v>3367</v>
      </c>
      <c r="N922" s="17">
        <v>6</v>
      </c>
      <c r="O922" t="s">
        <v>4295</v>
      </c>
      <c r="P922" s="24" t="s">
        <v>22</v>
      </c>
      <c r="Q922" s="19">
        <v>856.18</v>
      </c>
    </row>
    <row r="923" spans="1:17">
      <c r="A923" t="s">
        <v>3368</v>
      </c>
      <c r="B923" s="23">
        <v>45131</v>
      </c>
      <c r="C923" s="23" t="str">
        <f t="shared" si="42"/>
        <v>Jul</v>
      </c>
      <c r="D923" s="23" t="str">
        <f t="shared" si="43"/>
        <v>2023</v>
      </c>
      <c r="E923" s="23" t="str">
        <f t="shared" si="44"/>
        <v>Q3</v>
      </c>
      <c r="F923" t="s">
        <v>3369</v>
      </c>
      <c r="G923" s="24" t="s">
        <v>32</v>
      </c>
      <c r="H923" s="17">
        <v>1</v>
      </c>
      <c r="I923" s="19">
        <v>438.93</v>
      </c>
      <c r="J923" t="s">
        <v>3370</v>
      </c>
      <c r="K923" s="24" t="s">
        <v>60</v>
      </c>
      <c r="L923" s="24" t="s">
        <v>35</v>
      </c>
      <c r="M923" t="s">
        <v>3371</v>
      </c>
      <c r="N923" s="17">
        <v>3</v>
      </c>
      <c r="O923" t="s">
        <v>21</v>
      </c>
      <c r="P923" s="24" t="s">
        <v>29</v>
      </c>
      <c r="Q923" s="19">
        <v>438.93</v>
      </c>
    </row>
    <row r="924" spans="1:17">
      <c r="A924" t="s">
        <v>3372</v>
      </c>
      <c r="B924" s="23">
        <v>45460</v>
      </c>
      <c r="C924" s="23" t="str">
        <f t="shared" si="42"/>
        <v>Jun</v>
      </c>
      <c r="D924" s="23" t="str">
        <f t="shared" si="43"/>
        <v>2024</v>
      </c>
      <c r="E924" s="23" t="str">
        <f t="shared" si="44"/>
        <v>Q2</v>
      </c>
      <c r="F924" t="s">
        <v>3373</v>
      </c>
      <c r="G924" s="24" t="s">
        <v>73</v>
      </c>
      <c r="H924" s="17">
        <v>2</v>
      </c>
      <c r="I924" s="19">
        <v>563.82</v>
      </c>
      <c r="J924" t="s">
        <v>3374</v>
      </c>
      <c r="K924" s="24" t="s">
        <v>34</v>
      </c>
      <c r="L924" s="24" t="s">
        <v>89</v>
      </c>
      <c r="M924" t="s">
        <v>3375</v>
      </c>
      <c r="N924" s="17">
        <v>3</v>
      </c>
      <c r="O924" t="s">
        <v>4295</v>
      </c>
      <c r="P924" s="24" t="s">
        <v>22</v>
      </c>
      <c r="Q924" s="19">
        <v>1127.64</v>
      </c>
    </row>
    <row r="925" spans="1:17">
      <c r="A925" t="s">
        <v>3376</v>
      </c>
      <c r="B925" s="23">
        <v>44968</v>
      </c>
      <c r="C925" s="23" t="str">
        <f t="shared" si="42"/>
        <v>Feb</v>
      </c>
      <c r="D925" s="23" t="str">
        <f t="shared" si="43"/>
        <v>2023</v>
      </c>
      <c r="E925" s="23" t="str">
        <f t="shared" si="44"/>
        <v>Q1</v>
      </c>
      <c r="F925" t="s">
        <v>3377</v>
      </c>
      <c r="G925" s="24" t="s">
        <v>48</v>
      </c>
      <c r="H925" s="17">
        <v>3</v>
      </c>
      <c r="I925" s="19">
        <v>649.93</v>
      </c>
      <c r="J925" t="s">
        <v>3357</v>
      </c>
      <c r="K925" s="24" t="s">
        <v>34</v>
      </c>
      <c r="L925" s="24" t="s">
        <v>89</v>
      </c>
      <c r="M925" t="s">
        <v>3378</v>
      </c>
      <c r="N925" s="17">
        <v>7</v>
      </c>
      <c r="O925" t="s">
        <v>81</v>
      </c>
      <c r="P925" s="24" t="s">
        <v>45</v>
      </c>
      <c r="Q925" s="19">
        <v>1949.79</v>
      </c>
    </row>
    <row r="926" spans="1:17">
      <c r="A926" t="s">
        <v>3379</v>
      </c>
      <c r="B926" s="23">
        <v>45738</v>
      </c>
      <c r="C926" s="23" t="str">
        <f t="shared" si="42"/>
        <v>Mar</v>
      </c>
      <c r="D926" s="23" t="str">
        <f t="shared" si="43"/>
        <v>2025</v>
      </c>
      <c r="E926" s="23" t="str">
        <f t="shared" si="44"/>
        <v>Q1</v>
      </c>
      <c r="F926" t="s">
        <v>3380</v>
      </c>
      <c r="G926" s="24" t="s">
        <v>48</v>
      </c>
      <c r="H926" s="17">
        <v>5</v>
      </c>
      <c r="I926" s="19">
        <v>268.43</v>
      </c>
      <c r="J926" t="s">
        <v>1996</v>
      </c>
      <c r="K926" s="24" t="s">
        <v>65</v>
      </c>
      <c r="L926" s="24" t="s">
        <v>43</v>
      </c>
      <c r="M926" t="s">
        <v>3381</v>
      </c>
      <c r="N926" s="17">
        <v>5</v>
      </c>
      <c r="O926" t="s">
        <v>21</v>
      </c>
      <c r="P926" s="24" t="s">
        <v>38</v>
      </c>
      <c r="Q926" s="19">
        <v>1342.15</v>
      </c>
    </row>
    <row r="927" spans="1:17">
      <c r="A927" t="s">
        <v>3382</v>
      </c>
      <c r="B927" s="23">
        <v>45646</v>
      </c>
      <c r="C927" s="23" t="str">
        <f t="shared" si="42"/>
        <v>Dec</v>
      </c>
      <c r="D927" s="23" t="str">
        <f t="shared" si="43"/>
        <v>2024</v>
      </c>
      <c r="E927" s="23" t="str">
        <f t="shared" si="44"/>
        <v>Q4</v>
      </c>
      <c r="F927" t="s">
        <v>3383</v>
      </c>
      <c r="G927" s="24" t="s">
        <v>16</v>
      </c>
      <c r="H927" s="17">
        <v>5</v>
      </c>
      <c r="I927" s="19">
        <v>502.47</v>
      </c>
      <c r="J927" t="s">
        <v>1564</v>
      </c>
      <c r="K927" s="24" t="s">
        <v>27</v>
      </c>
      <c r="L927" s="24" t="s">
        <v>19</v>
      </c>
      <c r="M927" t="s">
        <v>3384</v>
      </c>
      <c r="N927" s="17">
        <v>10</v>
      </c>
      <c r="O927" t="s">
        <v>81</v>
      </c>
      <c r="P927" s="24" t="s">
        <v>38</v>
      </c>
      <c r="Q927" s="19">
        <v>2512.35</v>
      </c>
    </row>
    <row r="928" spans="1:17">
      <c r="A928" t="s">
        <v>3385</v>
      </c>
      <c r="B928" s="23">
        <v>45371</v>
      </c>
      <c r="C928" s="23" t="str">
        <f t="shared" si="42"/>
        <v>Mar</v>
      </c>
      <c r="D928" s="23" t="str">
        <f t="shared" si="43"/>
        <v>2024</v>
      </c>
      <c r="E928" s="23" t="str">
        <f t="shared" si="44"/>
        <v>Q1</v>
      </c>
      <c r="F928" t="s">
        <v>3386</v>
      </c>
      <c r="G928" s="24" t="s">
        <v>73</v>
      </c>
      <c r="H928" s="17">
        <v>1</v>
      </c>
      <c r="I928" s="19">
        <v>26.95</v>
      </c>
      <c r="J928" t="s">
        <v>1815</v>
      </c>
      <c r="K928" s="24" t="s">
        <v>65</v>
      </c>
      <c r="L928" s="24" t="s">
        <v>50</v>
      </c>
      <c r="M928" t="s">
        <v>3387</v>
      </c>
      <c r="N928" s="17">
        <v>1</v>
      </c>
      <c r="O928" t="s">
        <v>81</v>
      </c>
      <c r="P928" s="24" t="s">
        <v>38</v>
      </c>
      <c r="Q928" s="19">
        <v>26.95</v>
      </c>
    </row>
    <row r="929" spans="1:17">
      <c r="A929" t="s">
        <v>3388</v>
      </c>
      <c r="B929" s="23">
        <v>44971</v>
      </c>
      <c r="C929" s="23" t="str">
        <f t="shared" si="42"/>
        <v>Feb</v>
      </c>
      <c r="D929" s="23" t="str">
        <f t="shared" si="43"/>
        <v>2023</v>
      </c>
      <c r="E929" s="23" t="str">
        <f t="shared" si="44"/>
        <v>Q1</v>
      </c>
      <c r="F929" t="s">
        <v>3389</v>
      </c>
      <c r="G929" s="24" t="s">
        <v>58</v>
      </c>
      <c r="H929" s="17">
        <v>4</v>
      </c>
      <c r="I929" s="19">
        <v>64.69</v>
      </c>
      <c r="J929" t="s">
        <v>2557</v>
      </c>
      <c r="K929" s="24" t="s">
        <v>18</v>
      </c>
      <c r="L929" s="24" t="s">
        <v>19</v>
      </c>
      <c r="M929" t="s">
        <v>3390</v>
      </c>
      <c r="N929" s="17">
        <v>7</v>
      </c>
      <c r="O929" t="s">
        <v>81</v>
      </c>
      <c r="P929" s="24" t="s">
        <v>76</v>
      </c>
      <c r="Q929" s="19">
        <v>258.76</v>
      </c>
    </row>
    <row r="930" spans="1:17">
      <c r="A930" t="s">
        <v>3391</v>
      </c>
      <c r="B930" s="23">
        <v>45421</v>
      </c>
      <c r="C930" s="23" t="str">
        <f t="shared" si="42"/>
        <v>May</v>
      </c>
      <c r="D930" s="23" t="str">
        <f t="shared" si="43"/>
        <v>2024</v>
      </c>
      <c r="E930" s="23" t="str">
        <f t="shared" si="44"/>
        <v>Q2</v>
      </c>
      <c r="F930" t="s">
        <v>3392</v>
      </c>
      <c r="G930" s="24" t="s">
        <v>58</v>
      </c>
      <c r="H930" s="17">
        <v>3</v>
      </c>
      <c r="I930" s="19">
        <v>247.11</v>
      </c>
      <c r="J930" t="s">
        <v>1015</v>
      </c>
      <c r="K930" s="24" t="s">
        <v>18</v>
      </c>
      <c r="L930" s="24" t="s">
        <v>43</v>
      </c>
      <c r="M930" t="s">
        <v>3393</v>
      </c>
      <c r="N930" s="17">
        <v>3</v>
      </c>
      <c r="O930" t="s">
        <v>81</v>
      </c>
      <c r="P930" s="24" t="s">
        <v>29</v>
      </c>
      <c r="Q930" s="19">
        <v>741.33</v>
      </c>
    </row>
    <row r="931" spans="1:17">
      <c r="A931" t="s">
        <v>3394</v>
      </c>
      <c r="B931" s="23">
        <v>45581</v>
      </c>
      <c r="C931" s="23" t="str">
        <f t="shared" si="42"/>
        <v>Oct</v>
      </c>
      <c r="D931" s="23" t="str">
        <f t="shared" si="43"/>
        <v>2024</v>
      </c>
      <c r="E931" s="23" t="str">
        <f t="shared" si="44"/>
        <v>Q4</v>
      </c>
      <c r="F931" t="s">
        <v>3395</v>
      </c>
      <c r="G931" s="24" t="s">
        <v>32</v>
      </c>
      <c r="H931" s="17">
        <v>2</v>
      </c>
      <c r="I931" s="19">
        <v>536.25</v>
      </c>
      <c r="J931" t="s">
        <v>727</v>
      </c>
      <c r="K931" s="24" t="s">
        <v>18</v>
      </c>
      <c r="L931" s="24" t="s">
        <v>89</v>
      </c>
      <c r="M931" t="s">
        <v>3396</v>
      </c>
      <c r="N931" s="17">
        <v>3</v>
      </c>
      <c r="O931" t="s">
        <v>4295</v>
      </c>
      <c r="P931" s="24" t="s">
        <v>38</v>
      </c>
      <c r="Q931" s="19">
        <v>1072.5</v>
      </c>
    </row>
    <row r="932" spans="1:17">
      <c r="A932" t="s">
        <v>3397</v>
      </c>
      <c r="B932" s="23">
        <v>45642</v>
      </c>
      <c r="C932" s="23" t="str">
        <f t="shared" si="42"/>
        <v>Dec</v>
      </c>
      <c r="D932" s="23" t="str">
        <f t="shared" si="43"/>
        <v>2024</v>
      </c>
      <c r="E932" s="23" t="str">
        <f t="shared" si="44"/>
        <v>Q4</v>
      </c>
      <c r="F932" t="s">
        <v>3398</v>
      </c>
      <c r="G932" s="24" t="s">
        <v>25</v>
      </c>
      <c r="H932" s="17">
        <v>2</v>
      </c>
      <c r="I932" s="19">
        <v>456.04</v>
      </c>
      <c r="J932" t="s">
        <v>109</v>
      </c>
      <c r="K932" s="24" t="s">
        <v>18</v>
      </c>
      <c r="L932" s="24" t="s">
        <v>43</v>
      </c>
      <c r="M932" t="s">
        <v>3399</v>
      </c>
      <c r="N932" s="17">
        <v>4</v>
      </c>
      <c r="O932" t="s">
        <v>37</v>
      </c>
      <c r="P932" s="24" t="s">
        <v>38</v>
      </c>
      <c r="Q932" s="19">
        <v>912.08</v>
      </c>
    </row>
    <row r="933" spans="1:17">
      <c r="A933" t="s">
        <v>3400</v>
      </c>
      <c r="B933" s="23">
        <v>45292</v>
      </c>
      <c r="C933" s="23" t="str">
        <f t="shared" si="42"/>
        <v>Jan</v>
      </c>
      <c r="D933" s="23" t="str">
        <f t="shared" si="43"/>
        <v>2024</v>
      </c>
      <c r="E933" s="23" t="str">
        <f t="shared" si="44"/>
        <v>Q1</v>
      </c>
      <c r="F933" t="s">
        <v>3401</v>
      </c>
      <c r="G933" s="24" t="s">
        <v>48</v>
      </c>
      <c r="H933" s="17">
        <v>2</v>
      </c>
      <c r="I933" s="19">
        <v>40.23</v>
      </c>
      <c r="J933" t="s">
        <v>253</v>
      </c>
      <c r="K933" s="24" t="s">
        <v>34</v>
      </c>
      <c r="L933" s="24" t="s">
        <v>35</v>
      </c>
      <c r="M933" t="s">
        <v>3402</v>
      </c>
      <c r="N933" s="17">
        <v>4</v>
      </c>
      <c r="O933" t="s">
        <v>21</v>
      </c>
      <c r="P933" s="24" t="s">
        <v>76</v>
      </c>
      <c r="Q933" s="19">
        <v>80.46</v>
      </c>
    </row>
    <row r="934" spans="1:17">
      <c r="A934" t="s">
        <v>3403</v>
      </c>
      <c r="B934" s="23">
        <v>45011</v>
      </c>
      <c r="C934" s="23" t="str">
        <f t="shared" si="42"/>
        <v>Mar</v>
      </c>
      <c r="D934" s="23" t="str">
        <f t="shared" si="43"/>
        <v>2023</v>
      </c>
      <c r="E934" s="23" t="str">
        <f t="shared" si="44"/>
        <v>Q1</v>
      </c>
      <c r="F934" t="s">
        <v>3404</v>
      </c>
      <c r="G934" s="24" t="s">
        <v>58</v>
      </c>
      <c r="H934" s="17">
        <v>2</v>
      </c>
      <c r="I934" s="19">
        <v>72.39</v>
      </c>
      <c r="J934" t="s">
        <v>3405</v>
      </c>
      <c r="K934" s="24" t="s">
        <v>27</v>
      </c>
      <c r="L934" s="24" t="s">
        <v>50</v>
      </c>
      <c r="M934" t="s">
        <v>3406</v>
      </c>
      <c r="N934" s="17">
        <v>7</v>
      </c>
      <c r="O934" t="s">
        <v>81</v>
      </c>
      <c r="P934" s="24" t="s">
        <v>22</v>
      </c>
      <c r="Q934" s="19">
        <v>144.78</v>
      </c>
    </row>
    <row r="935" spans="1:17">
      <c r="A935" t="s">
        <v>3407</v>
      </c>
      <c r="B935" s="23">
        <v>44952</v>
      </c>
      <c r="C935" s="23" t="str">
        <f t="shared" si="42"/>
        <v>Jan</v>
      </c>
      <c r="D935" s="23" t="str">
        <f t="shared" si="43"/>
        <v>2023</v>
      </c>
      <c r="E935" s="23" t="str">
        <f t="shared" si="44"/>
        <v>Q1</v>
      </c>
      <c r="F935" t="s">
        <v>3408</v>
      </c>
      <c r="G935" s="24" t="s">
        <v>16</v>
      </c>
      <c r="H935" s="17">
        <v>2</v>
      </c>
      <c r="I935" s="19">
        <v>394.16</v>
      </c>
      <c r="J935" t="s">
        <v>968</v>
      </c>
      <c r="K935" s="24" t="s">
        <v>27</v>
      </c>
      <c r="L935" s="24" t="s">
        <v>19</v>
      </c>
      <c r="M935" t="s">
        <v>3409</v>
      </c>
      <c r="N935" s="17">
        <v>2</v>
      </c>
      <c r="O935" t="s">
        <v>4295</v>
      </c>
      <c r="P935" s="24" t="s">
        <v>29</v>
      </c>
      <c r="Q935" s="19">
        <v>788.32</v>
      </c>
    </row>
    <row r="936" spans="1:17">
      <c r="A936" t="s">
        <v>3410</v>
      </c>
      <c r="B936" s="23">
        <v>45809</v>
      </c>
      <c r="C936" s="23" t="str">
        <f t="shared" si="42"/>
        <v>Jun</v>
      </c>
      <c r="D936" s="23" t="str">
        <f t="shared" si="43"/>
        <v>2025</v>
      </c>
      <c r="E936" s="23" t="str">
        <f t="shared" si="44"/>
        <v>Q2</v>
      </c>
      <c r="F936" t="s">
        <v>3411</v>
      </c>
      <c r="G936" s="24" t="s">
        <v>58</v>
      </c>
      <c r="H936" s="17">
        <v>4</v>
      </c>
      <c r="I936" s="19">
        <v>119.84</v>
      </c>
      <c r="J936" t="s">
        <v>910</v>
      </c>
      <c r="K936" s="24" t="s">
        <v>60</v>
      </c>
      <c r="L936" s="24" t="s">
        <v>19</v>
      </c>
      <c r="M936" t="s">
        <v>3412</v>
      </c>
      <c r="N936" s="17">
        <v>8</v>
      </c>
      <c r="O936" t="s">
        <v>37</v>
      </c>
      <c r="P936" s="24" t="s">
        <v>29</v>
      </c>
      <c r="Q936" s="19">
        <v>479.36</v>
      </c>
    </row>
    <row r="937" spans="1:17">
      <c r="A937" t="s">
        <v>3413</v>
      </c>
      <c r="B937" s="23">
        <v>45254</v>
      </c>
      <c r="C937" s="23" t="str">
        <f t="shared" si="42"/>
        <v>Nov</v>
      </c>
      <c r="D937" s="23" t="str">
        <f t="shared" si="43"/>
        <v>2023</v>
      </c>
      <c r="E937" s="23" t="str">
        <f t="shared" si="44"/>
        <v>Q4</v>
      </c>
      <c r="F937" t="s">
        <v>3414</v>
      </c>
      <c r="G937" s="24" t="s">
        <v>25</v>
      </c>
      <c r="H937" s="17">
        <v>3</v>
      </c>
      <c r="I937" s="19">
        <v>692.71</v>
      </c>
      <c r="J937" t="s">
        <v>1340</v>
      </c>
      <c r="K937" s="24" t="s">
        <v>34</v>
      </c>
      <c r="L937" s="24" t="s">
        <v>50</v>
      </c>
      <c r="M937" t="s">
        <v>3415</v>
      </c>
      <c r="N937" s="17">
        <v>3</v>
      </c>
      <c r="O937" t="s">
        <v>37</v>
      </c>
      <c r="P937" s="24" t="s">
        <v>22</v>
      </c>
      <c r="Q937" s="19">
        <v>2078.13</v>
      </c>
    </row>
    <row r="938" spans="1:17">
      <c r="A938" t="s">
        <v>3416</v>
      </c>
      <c r="B938" s="23">
        <v>45303</v>
      </c>
      <c r="C938" s="23" t="str">
        <f t="shared" si="42"/>
        <v>Jan</v>
      </c>
      <c r="D938" s="23" t="str">
        <f t="shared" si="43"/>
        <v>2024</v>
      </c>
      <c r="E938" s="23" t="str">
        <f t="shared" si="44"/>
        <v>Q1</v>
      </c>
      <c r="F938" t="s">
        <v>3417</v>
      </c>
      <c r="G938" s="24" t="s">
        <v>41</v>
      </c>
      <c r="H938" s="17">
        <v>4</v>
      </c>
      <c r="I938" s="19">
        <v>56.66</v>
      </c>
      <c r="J938" t="s">
        <v>659</v>
      </c>
      <c r="K938" s="24" t="s">
        <v>27</v>
      </c>
      <c r="L938" s="24" t="s">
        <v>50</v>
      </c>
      <c r="M938" t="s">
        <v>3418</v>
      </c>
      <c r="N938" s="17">
        <v>4</v>
      </c>
      <c r="O938" t="s">
        <v>21</v>
      </c>
      <c r="P938" s="24" t="s">
        <v>22</v>
      </c>
      <c r="Q938" s="19">
        <v>226.64</v>
      </c>
    </row>
    <row r="939" spans="1:17">
      <c r="A939" t="s">
        <v>3419</v>
      </c>
      <c r="B939" s="23">
        <v>45307</v>
      </c>
      <c r="C939" s="23" t="str">
        <f t="shared" si="42"/>
        <v>Jan</v>
      </c>
      <c r="D939" s="23" t="str">
        <f t="shared" si="43"/>
        <v>2024</v>
      </c>
      <c r="E939" s="23" t="str">
        <f t="shared" si="44"/>
        <v>Q1</v>
      </c>
      <c r="F939" t="s">
        <v>3420</v>
      </c>
      <c r="G939" s="24" t="s">
        <v>41</v>
      </c>
      <c r="H939" s="17">
        <v>2</v>
      </c>
      <c r="I939" s="19">
        <v>298.53</v>
      </c>
      <c r="J939" t="s">
        <v>1590</v>
      </c>
      <c r="K939" s="24" t="s">
        <v>18</v>
      </c>
      <c r="L939" s="24" t="s">
        <v>35</v>
      </c>
      <c r="M939" t="s">
        <v>3421</v>
      </c>
      <c r="N939" s="17">
        <v>5</v>
      </c>
      <c r="O939" t="s">
        <v>81</v>
      </c>
      <c r="P939" s="24" t="s">
        <v>38</v>
      </c>
      <c r="Q939" s="19">
        <v>597.06</v>
      </c>
    </row>
    <row r="940" spans="1:17">
      <c r="A940" t="s">
        <v>3422</v>
      </c>
      <c r="B940" s="23">
        <v>45119</v>
      </c>
      <c r="C940" s="23" t="str">
        <f t="shared" si="42"/>
        <v>Jul</v>
      </c>
      <c r="D940" s="23" t="str">
        <f t="shared" si="43"/>
        <v>2023</v>
      </c>
      <c r="E940" s="23" t="str">
        <f t="shared" si="44"/>
        <v>Q3</v>
      </c>
      <c r="F940" t="s">
        <v>3423</v>
      </c>
      <c r="G940" s="24" t="s">
        <v>41</v>
      </c>
      <c r="H940" s="17">
        <v>3</v>
      </c>
      <c r="I940" s="19">
        <v>331.46</v>
      </c>
      <c r="J940" t="s">
        <v>1945</v>
      </c>
      <c r="K940" s="24" t="s">
        <v>34</v>
      </c>
      <c r="L940" s="24" t="s">
        <v>35</v>
      </c>
      <c r="M940" t="s">
        <v>3424</v>
      </c>
      <c r="N940" s="17">
        <v>6</v>
      </c>
      <c r="O940" t="s">
        <v>81</v>
      </c>
      <c r="P940" s="24" t="s">
        <v>29</v>
      </c>
      <c r="Q940" s="19">
        <v>994.38</v>
      </c>
    </row>
    <row r="941" spans="1:17">
      <c r="A941" t="s">
        <v>3425</v>
      </c>
      <c r="B941" s="23">
        <v>45763</v>
      </c>
      <c r="C941" s="23" t="str">
        <f t="shared" si="42"/>
        <v>Apr</v>
      </c>
      <c r="D941" s="23" t="str">
        <f t="shared" si="43"/>
        <v>2025</v>
      </c>
      <c r="E941" s="23" t="str">
        <f t="shared" si="44"/>
        <v>Q2</v>
      </c>
      <c r="F941" t="s">
        <v>3426</v>
      </c>
      <c r="G941" s="24" t="s">
        <v>58</v>
      </c>
      <c r="H941" s="17">
        <v>2</v>
      </c>
      <c r="I941" s="19">
        <v>521.4</v>
      </c>
      <c r="J941" t="s">
        <v>3427</v>
      </c>
      <c r="K941" s="24" t="s">
        <v>65</v>
      </c>
      <c r="L941" s="24" t="s">
        <v>50</v>
      </c>
      <c r="M941" t="s">
        <v>3428</v>
      </c>
      <c r="N941" s="17">
        <v>7</v>
      </c>
      <c r="O941" t="s">
        <v>21</v>
      </c>
      <c r="P941" s="24" t="s">
        <v>22</v>
      </c>
      <c r="Q941" s="19">
        <v>1042.8</v>
      </c>
    </row>
    <row r="942" spans="1:17">
      <c r="A942" t="s">
        <v>3429</v>
      </c>
      <c r="B942" s="23">
        <v>45012</v>
      </c>
      <c r="C942" s="23" t="str">
        <f t="shared" si="42"/>
        <v>Mar</v>
      </c>
      <c r="D942" s="23" t="str">
        <f t="shared" si="43"/>
        <v>2023</v>
      </c>
      <c r="E942" s="23" t="str">
        <f t="shared" si="44"/>
        <v>Q1</v>
      </c>
      <c r="F942" t="s">
        <v>3430</v>
      </c>
      <c r="G942" s="24" t="s">
        <v>48</v>
      </c>
      <c r="H942" s="17">
        <v>4</v>
      </c>
      <c r="I942" s="19">
        <v>305.32</v>
      </c>
      <c r="J942" t="s">
        <v>3431</v>
      </c>
      <c r="K942" s="24" t="s">
        <v>27</v>
      </c>
      <c r="L942" s="24" t="s">
        <v>35</v>
      </c>
      <c r="M942" t="s">
        <v>3432</v>
      </c>
      <c r="N942" s="17">
        <v>4</v>
      </c>
      <c r="O942" t="s">
        <v>21</v>
      </c>
      <c r="P942" s="24" t="s">
        <v>76</v>
      </c>
      <c r="Q942" s="19">
        <v>1221.28</v>
      </c>
    </row>
    <row r="943" spans="1:17">
      <c r="A943" t="s">
        <v>3433</v>
      </c>
      <c r="B943" s="23">
        <v>45124</v>
      </c>
      <c r="C943" s="23" t="str">
        <f t="shared" si="42"/>
        <v>Jul</v>
      </c>
      <c r="D943" s="23" t="str">
        <f t="shared" si="43"/>
        <v>2023</v>
      </c>
      <c r="E943" s="23" t="str">
        <f t="shared" si="44"/>
        <v>Q3</v>
      </c>
      <c r="F943" t="s">
        <v>1700</v>
      </c>
      <c r="G943" s="24" t="s">
        <v>48</v>
      </c>
      <c r="H943" s="17">
        <v>5</v>
      </c>
      <c r="I943" s="19">
        <v>111.7</v>
      </c>
      <c r="J943" t="s">
        <v>1332</v>
      </c>
      <c r="K943" s="24" t="s">
        <v>34</v>
      </c>
      <c r="L943" s="24" t="s">
        <v>35</v>
      </c>
      <c r="M943" t="s">
        <v>3434</v>
      </c>
      <c r="N943" s="17">
        <v>9</v>
      </c>
      <c r="O943" t="s">
        <v>37</v>
      </c>
      <c r="P943" s="24" t="s">
        <v>38</v>
      </c>
      <c r="Q943" s="19">
        <v>558.5</v>
      </c>
    </row>
    <row r="944" spans="1:17">
      <c r="A944" t="s">
        <v>3435</v>
      </c>
      <c r="B944" s="23">
        <v>45198</v>
      </c>
      <c r="C944" s="23" t="str">
        <f t="shared" si="42"/>
        <v>Sep</v>
      </c>
      <c r="D944" s="23" t="str">
        <f t="shared" si="43"/>
        <v>2023</v>
      </c>
      <c r="E944" s="23" t="str">
        <f t="shared" si="44"/>
        <v>Q3</v>
      </c>
      <c r="F944" t="s">
        <v>3436</v>
      </c>
      <c r="G944" s="24" t="s">
        <v>32</v>
      </c>
      <c r="H944" s="17">
        <v>1</v>
      </c>
      <c r="I944" s="19">
        <v>479.76</v>
      </c>
      <c r="J944" t="s">
        <v>884</v>
      </c>
      <c r="K944" s="24" t="s">
        <v>34</v>
      </c>
      <c r="L944" s="24" t="s">
        <v>89</v>
      </c>
      <c r="M944" t="s">
        <v>3437</v>
      </c>
      <c r="N944" s="17">
        <v>1</v>
      </c>
      <c r="O944" t="s">
        <v>4295</v>
      </c>
      <c r="P944" s="24" t="s">
        <v>38</v>
      </c>
      <c r="Q944" s="19">
        <v>479.76</v>
      </c>
    </row>
    <row r="945" spans="1:17">
      <c r="A945" t="s">
        <v>3438</v>
      </c>
      <c r="B945" s="23">
        <v>45287</v>
      </c>
      <c r="C945" s="23" t="str">
        <f t="shared" si="42"/>
        <v>Dec</v>
      </c>
      <c r="D945" s="23" t="str">
        <f t="shared" si="43"/>
        <v>2023</v>
      </c>
      <c r="E945" s="23" t="str">
        <f t="shared" si="44"/>
        <v>Q4</v>
      </c>
      <c r="F945" t="s">
        <v>3439</v>
      </c>
      <c r="G945" s="24" t="s">
        <v>16</v>
      </c>
      <c r="H945" s="17">
        <v>3</v>
      </c>
      <c r="I945" s="19">
        <v>193.49</v>
      </c>
      <c r="J945" t="s">
        <v>3440</v>
      </c>
      <c r="K945" s="24" t="s">
        <v>60</v>
      </c>
      <c r="L945" s="24" t="s">
        <v>43</v>
      </c>
      <c r="M945" t="s">
        <v>3441</v>
      </c>
      <c r="N945" s="17">
        <v>6</v>
      </c>
      <c r="O945" t="s">
        <v>37</v>
      </c>
      <c r="P945" s="24" t="s">
        <v>45</v>
      </c>
      <c r="Q945" s="19">
        <v>580.47</v>
      </c>
    </row>
    <row r="946" spans="1:17">
      <c r="A946" t="s">
        <v>3442</v>
      </c>
      <c r="B946" s="23">
        <v>45642</v>
      </c>
      <c r="C946" s="23" t="str">
        <f t="shared" si="42"/>
        <v>Dec</v>
      </c>
      <c r="D946" s="23" t="str">
        <f t="shared" si="43"/>
        <v>2024</v>
      </c>
      <c r="E946" s="23" t="str">
        <f t="shared" si="44"/>
        <v>Q4</v>
      </c>
      <c r="F946" t="s">
        <v>3443</v>
      </c>
      <c r="G946" s="24" t="s">
        <v>58</v>
      </c>
      <c r="H946" s="17">
        <v>2</v>
      </c>
      <c r="I946" s="19">
        <v>426.22</v>
      </c>
      <c r="J946" t="s">
        <v>3210</v>
      </c>
      <c r="K946" s="24" t="s">
        <v>27</v>
      </c>
      <c r="L946" s="24" t="s">
        <v>50</v>
      </c>
      <c r="M946" t="s">
        <v>3444</v>
      </c>
      <c r="N946" s="17">
        <v>7</v>
      </c>
      <c r="O946" t="s">
        <v>81</v>
      </c>
      <c r="P946" s="24" t="s">
        <v>76</v>
      </c>
      <c r="Q946" s="19">
        <v>852.44</v>
      </c>
    </row>
    <row r="947" spans="1:17">
      <c r="A947" t="s">
        <v>3445</v>
      </c>
      <c r="B947" s="23">
        <v>45158</v>
      </c>
      <c r="C947" s="23" t="str">
        <f t="shared" si="42"/>
        <v>Aug</v>
      </c>
      <c r="D947" s="23" t="str">
        <f t="shared" si="43"/>
        <v>2023</v>
      </c>
      <c r="E947" s="23" t="str">
        <f t="shared" si="44"/>
        <v>Q3</v>
      </c>
      <c r="F947" t="s">
        <v>3446</v>
      </c>
      <c r="G947" s="24" t="s">
        <v>32</v>
      </c>
      <c r="H947" s="17">
        <v>5</v>
      </c>
      <c r="I947" s="19">
        <v>276.44</v>
      </c>
      <c r="J947" t="s">
        <v>1352</v>
      </c>
      <c r="K947" s="24" t="s">
        <v>60</v>
      </c>
      <c r="L947" s="24" t="s">
        <v>19</v>
      </c>
      <c r="M947" t="s">
        <v>3447</v>
      </c>
      <c r="N947" s="17">
        <v>10</v>
      </c>
      <c r="O947" t="s">
        <v>37</v>
      </c>
      <c r="P947" s="24" t="s">
        <v>29</v>
      </c>
      <c r="Q947" s="19">
        <v>1382.2</v>
      </c>
    </row>
    <row r="948" spans="1:17">
      <c r="A948" t="s">
        <v>3448</v>
      </c>
      <c r="B948" s="23">
        <v>45416</v>
      </c>
      <c r="C948" s="23" t="str">
        <f t="shared" si="42"/>
        <v>May</v>
      </c>
      <c r="D948" s="23" t="str">
        <f t="shared" si="43"/>
        <v>2024</v>
      </c>
      <c r="E948" s="23" t="str">
        <f t="shared" si="44"/>
        <v>Q2</v>
      </c>
      <c r="F948" t="s">
        <v>3449</v>
      </c>
      <c r="G948" s="24" t="s">
        <v>25</v>
      </c>
      <c r="H948" s="17">
        <v>2</v>
      </c>
      <c r="I948" s="19">
        <v>404.96</v>
      </c>
      <c r="J948" t="s">
        <v>1299</v>
      </c>
      <c r="K948" s="24" t="s">
        <v>65</v>
      </c>
      <c r="L948" s="24" t="s">
        <v>19</v>
      </c>
      <c r="M948" t="s">
        <v>3450</v>
      </c>
      <c r="N948" s="17">
        <v>4</v>
      </c>
      <c r="O948" t="s">
        <v>21</v>
      </c>
      <c r="P948" s="24" t="s">
        <v>38</v>
      </c>
      <c r="Q948" s="19">
        <v>809.92</v>
      </c>
    </row>
    <row r="949" spans="1:17">
      <c r="A949" t="s">
        <v>3451</v>
      </c>
      <c r="B949" s="23">
        <v>45176</v>
      </c>
      <c r="C949" s="23" t="str">
        <f t="shared" si="42"/>
        <v>Sep</v>
      </c>
      <c r="D949" s="23" t="str">
        <f t="shared" si="43"/>
        <v>2023</v>
      </c>
      <c r="E949" s="23" t="str">
        <f t="shared" si="44"/>
        <v>Q3</v>
      </c>
      <c r="F949" t="s">
        <v>3452</v>
      </c>
      <c r="G949" s="24" t="s">
        <v>25</v>
      </c>
      <c r="H949" s="17">
        <v>4</v>
      </c>
      <c r="I949" s="19">
        <v>465.66</v>
      </c>
      <c r="J949" t="s">
        <v>1089</v>
      </c>
      <c r="K949" s="24" t="s">
        <v>27</v>
      </c>
      <c r="L949" s="24" t="s">
        <v>43</v>
      </c>
      <c r="M949" t="s">
        <v>3453</v>
      </c>
      <c r="N949" s="17">
        <v>9</v>
      </c>
      <c r="O949" t="s">
        <v>37</v>
      </c>
      <c r="P949" s="24" t="s">
        <v>38</v>
      </c>
      <c r="Q949" s="19">
        <v>1862.64</v>
      </c>
    </row>
    <row r="950" spans="1:17">
      <c r="A950" t="s">
        <v>3454</v>
      </c>
      <c r="B950" s="23">
        <v>45464</v>
      </c>
      <c r="C950" s="23" t="str">
        <f t="shared" si="42"/>
        <v>Jun</v>
      </c>
      <c r="D950" s="23" t="str">
        <f t="shared" si="43"/>
        <v>2024</v>
      </c>
      <c r="E950" s="23" t="str">
        <f t="shared" si="44"/>
        <v>Q2</v>
      </c>
      <c r="F950" t="s">
        <v>1722</v>
      </c>
      <c r="G950" s="24" t="s">
        <v>25</v>
      </c>
      <c r="H950" s="17">
        <v>2</v>
      </c>
      <c r="I950" s="19">
        <v>594.07</v>
      </c>
      <c r="J950" t="s">
        <v>1794</v>
      </c>
      <c r="K950" s="24" t="s">
        <v>60</v>
      </c>
      <c r="L950" s="24" t="s">
        <v>35</v>
      </c>
      <c r="M950" t="s">
        <v>3455</v>
      </c>
      <c r="N950" s="17">
        <v>2</v>
      </c>
      <c r="O950" t="s">
        <v>4295</v>
      </c>
      <c r="P950" s="24" t="s">
        <v>76</v>
      </c>
      <c r="Q950" s="19">
        <v>1188.14</v>
      </c>
    </row>
    <row r="951" spans="1:17">
      <c r="A951" t="s">
        <v>3456</v>
      </c>
      <c r="B951" s="23">
        <v>45239</v>
      </c>
      <c r="C951" s="23" t="str">
        <f t="shared" si="42"/>
        <v>Nov</v>
      </c>
      <c r="D951" s="23" t="str">
        <f t="shared" si="43"/>
        <v>2023</v>
      </c>
      <c r="E951" s="23" t="str">
        <f t="shared" si="44"/>
        <v>Q4</v>
      </c>
      <c r="F951" t="s">
        <v>3457</v>
      </c>
      <c r="G951" s="24" t="s">
        <v>73</v>
      </c>
      <c r="H951" s="17">
        <v>5</v>
      </c>
      <c r="I951" s="19">
        <v>110.38</v>
      </c>
      <c r="J951" t="s">
        <v>1560</v>
      </c>
      <c r="K951" s="24" t="s">
        <v>65</v>
      </c>
      <c r="L951" s="24" t="s">
        <v>89</v>
      </c>
      <c r="M951" t="s">
        <v>3458</v>
      </c>
      <c r="N951" s="17">
        <v>10</v>
      </c>
      <c r="O951" t="s">
        <v>4295</v>
      </c>
      <c r="P951" s="24" t="s">
        <v>29</v>
      </c>
      <c r="Q951" s="19">
        <v>551.9</v>
      </c>
    </row>
    <row r="952" spans="1:17">
      <c r="A952" t="s">
        <v>3459</v>
      </c>
      <c r="B952" s="23">
        <v>45443</v>
      </c>
      <c r="C952" s="23" t="str">
        <f t="shared" si="42"/>
        <v>May</v>
      </c>
      <c r="D952" s="23" t="str">
        <f t="shared" si="43"/>
        <v>2024</v>
      </c>
      <c r="E952" s="23" t="str">
        <f t="shared" si="44"/>
        <v>Q2</v>
      </c>
      <c r="F952" t="s">
        <v>3460</v>
      </c>
      <c r="G952" s="24" t="s">
        <v>58</v>
      </c>
      <c r="H952" s="17">
        <v>1</v>
      </c>
      <c r="I952" s="19">
        <v>596.24</v>
      </c>
      <c r="J952" t="s">
        <v>113</v>
      </c>
      <c r="K952" s="24" t="s">
        <v>34</v>
      </c>
      <c r="L952" s="24" t="s">
        <v>43</v>
      </c>
      <c r="M952" t="s">
        <v>3461</v>
      </c>
      <c r="N952" s="17">
        <v>4</v>
      </c>
      <c r="O952" t="s">
        <v>37</v>
      </c>
      <c r="P952" s="24" t="s">
        <v>22</v>
      </c>
      <c r="Q952" s="19">
        <v>596.24</v>
      </c>
    </row>
    <row r="953" spans="1:17">
      <c r="A953" t="s">
        <v>3462</v>
      </c>
      <c r="B953" s="23">
        <v>45495</v>
      </c>
      <c r="C953" s="23" t="str">
        <f t="shared" si="42"/>
        <v>Jul</v>
      </c>
      <c r="D953" s="23" t="str">
        <f t="shared" si="43"/>
        <v>2024</v>
      </c>
      <c r="E953" s="23" t="str">
        <f t="shared" si="44"/>
        <v>Q3</v>
      </c>
      <c r="F953" t="s">
        <v>3463</v>
      </c>
      <c r="G953" s="24" t="s">
        <v>48</v>
      </c>
      <c r="H953" s="17">
        <v>2</v>
      </c>
      <c r="I953" s="19">
        <v>306.24</v>
      </c>
      <c r="J953" t="s">
        <v>1066</v>
      </c>
      <c r="K953" s="24" t="s">
        <v>27</v>
      </c>
      <c r="L953" s="24" t="s">
        <v>43</v>
      </c>
      <c r="M953" t="s">
        <v>3464</v>
      </c>
      <c r="N953" s="17">
        <v>4</v>
      </c>
      <c r="O953" t="s">
        <v>37</v>
      </c>
      <c r="P953" s="24" t="s">
        <v>38</v>
      </c>
      <c r="Q953" s="19">
        <v>612.48</v>
      </c>
    </row>
    <row r="954" spans="1:17">
      <c r="A954" t="s">
        <v>3465</v>
      </c>
      <c r="B954" s="23">
        <v>45715</v>
      </c>
      <c r="C954" s="23" t="str">
        <f t="shared" si="42"/>
        <v>Feb</v>
      </c>
      <c r="D954" s="23" t="str">
        <f t="shared" si="43"/>
        <v>2025</v>
      </c>
      <c r="E954" s="23" t="str">
        <f t="shared" si="44"/>
        <v>Q1</v>
      </c>
      <c r="F954" t="s">
        <v>3466</v>
      </c>
      <c r="G954" s="24" t="s">
        <v>16</v>
      </c>
      <c r="H954" s="17">
        <v>3</v>
      </c>
      <c r="I954" s="19">
        <v>503.39</v>
      </c>
      <c r="J954" t="s">
        <v>3467</v>
      </c>
      <c r="K954" s="24" t="s">
        <v>27</v>
      </c>
      <c r="L954" s="24" t="s">
        <v>89</v>
      </c>
      <c r="M954" t="s">
        <v>3468</v>
      </c>
      <c r="N954" s="17">
        <v>5</v>
      </c>
      <c r="O954" t="s">
        <v>4295</v>
      </c>
      <c r="P954" s="24" t="s">
        <v>45</v>
      </c>
      <c r="Q954" s="19">
        <v>1510.17</v>
      </c>
    </row>
    <row r="955" spans="1:17">
      <c r="A955" t="s">
        <v>3469</v>
      </c>
      <c r="B955" s="23">
        <v>44963</v>
      </c>
      <c r="C955" s="23" t="str">
        <f t="shared" si="42"/>
        <v>Feb</v>
      </c>
      <c r="D955" s="23" t="str">
        <f t="shared" si="43"/>
        <v>2023</v>
      </c>
      <c r="E955" s="23" t="str">
        <f t="shared" si="44"/>
        <v>Q1</v>
      </c>
      <c r="F955" t="s">
        <v>3470</v>
      </c>
      <c r="G955" s="24" t="s">
        <v>25</v>
      </c>
      <c r="H955" s="17">
        <v>1</v>
      </c>
      <c r="I955" s="19">
        <v>131.61</v>
      </c>
      <c r="J955" t="s">
        <v>363</v>
      </c>
      <c r="K955" s="24" t="s">
        <v>65</v>
      </c>
      <c r="L955" s="24" t="s">
        <v>19</v>
      </c>
      <c r="M955" t="s">
        <v>3471</v>
      </c>
      <c r="N955" s="17">
        <v>2</v>
      </c>
      <c r="O955" t="s">
        <v>37</v>
      </c>
      <c r="P955" s="24" t="s">
        <v>45</v>
      </c>
      <c r="Q955" s="19">
        <v>131.61</v>
      </c>
    </row>
    <row r="956" spans="1:17">
      <c r="A956" t="s">
        <v>3472</v>
      </c>
      <c r="B956" s="23">
        <v>45587</v>
      </c>
      <c r="C956" s="23" t="str">
        <f t="shared" si="42"/>
        <v>Oct</v>
      </c>
      <c r="D956" s="23" t="str">
        <f t="shared" si="43"/>
        <v>2024</v>
      </c>
      <c r="E956" s="23" t="str">
        <f t="shared" si="44"/>
        <v>Q4</v>
      </c>
      <c r="F956" t="s">
        <v>3473</v>
      </c>
      <c r="G956" s="24" t="s">
        <v>41</v>
      </c>
      <c r="H956" s="17">
        <v>3</v>
      </c>
      <c r="I956" s="19">
        <v>443.44</v>
      </c>
      <c r="J956" t="s">
        <v>667</v>
      </c>
      <c r="K956" s="24" t="s">
        <v>60</v>
      </c>
      <c r="L956" s="24" t="s">
        <v>19</v>
      </c>
      <c r="M956" t="s">
        <v>3474</v>
      </c>
      <c r="N956" s="17">
        <v>3</v>
      </c>
      <c r="O956" t="s">
        <v>37</v>
      </c>
      <c r="P956" s="24" t="s">
        <v>76</v>
      </c>
      <c r="Q956" s="19">
        <v>1330.32</v>
      </c>
    </row>
    <row r="957" spans="1:17">
      <c r="A957" t="s">
        <v>3475</v>
      </c>
      <c r="B957" s="23">
        <v>44949</v>
      </c>
      <c r="C957" s="23" t="str">
        <f t="shared" si="42"/>
        <v>Jan</v>
      </c>
      <c r="D957" s="23" t="str">
        <f t="shared" si="43"/>
        <v>2023</v>
      </c>
      <c r="E957" s="23" t="str">
        <f t="shared" si="44"/>
        <v>Q1</v>
      </c>
      <c r="F957" t="s">
        <v>3476</v>
      </c>
      <c r="G957" s="24" t="s">
        <v>41</v>
      </c>
      <c r="H957" s="17">
        <v>1</v>
      </c>
      <c r="I957" s="19">
        <v>408.13</v>
      </c>
      <c r="J957" t="s">
        <v>992</v>
      </c>
      <c r="K957" s="24" t="s">
        <v>60</v>
      </c>
      <c r="L957" s="24" t="s">
        <v>19</v>
      </c>
      <c r="M957" t="s">
        <v>3477</v>
      </c>
      <c r="N957" s="17">
        <v>3</v>
      </c>
      <c r="O957" t="s">
        <v>81</v>
      </c>
      <c r="P957" s="24" t="s">
        <v>22</v>
      </c>
      <c r="Q957" s="19">
        <v>408.13</v>
      </c>
    </row>
    <row r="958" spans="1:17">
      <c r="A958" t="s">
        <v>3478</v>
      </c>
      <c r="B958" s="23">
        <v>45393</v>
      </c>
      <c r="C958" s="23" t="str">
        <f t="shared" si="42"/>
        <v>Apr</v>
      </c>
      <c r="D958" s="23" t="str">
        <f t="shared" si="43"/>
        <v>2024</v>
      </c>
      <c r="E958" s="23" t="str">
        <f t="shared" si="44"/>
        <v>Q2</v>
      </c>
      <c r="F958" t="s">
        <v>2899</v>
      </c>
      <c r="G958" s="24" t="s">
        <v>25</v>
      </c>
      <c r="H958" s="17">
        <v>2</v>
      </c>
      <c r="I958" s="19">
        <v>160.98</v>
      </c>
      <c r="J958" t="s">
        <v>3479</v>
      </c>
      <c r="K958" s="24" t="s">
        <v>18</v>
      </c>
      <c r="L958" s="24" t="s">
        <v>50</v>
      </c>
      <c r="M958" t="s">
        <v>3480</v>
      </c>
      <c r="N958" s="17">
        <v>3</v>
      </c>
      <c r="O958" t="s">
        <v>21</v>
      </c>
      <c r="P958" s="24" t="s">
        <v>29</v>
      </c>
      <c r="Q958" s="19">
        <v>321.96</v>
      </c>
    </row>
    <row r="959" spans="1:17">
      <c r="A959" t="s">
        <v>3481</v>
      </c>
      <c r="B959" s="23">
        <v>44938</v>
      </c>
      <c r="C959" s="23" t="str">
        <f t="shared" si="42"/>
        <v>Jan</v>
      </c>
      <c r="D959" s="23" t="str">
        <f t="shared" si="43"/>
        <v>2023</v>
      </c>
      <c r="E959" s="23" t="str">
        <f t="shared" si="44"/>
        <v>Q1</v>
      </c>
      <c r="F959" t="s">
        <v>3482</v>
      </c>
      <c r="G959" s="24" t="s">
        <v>16</v>
      </c>
      <c r="H959" s="17">
        <v>5</v>
      </c>
      <c r="I959" s="19">
        <v>643.89</v>
      </c>
      <c r="J959" t="s">
        <v>3483</v>
      </c>
      <c r="K959" s="24" t="s">
        <v>65</v>
      </c>
      <c r="L959" s="24" t="s">
        <v>43</v>
      </c>
      <c r="M959" t="s">
        <v>3484</v>
      </c>
      <c r="N959" s="17">
        <v>8</v>
      </c>
      <c r="O959" t="s">
        <v>81</v>
      </c>
      <c r="P959" s="24" t="s">
        <v>45</v>
      </c>
      <c r="Q959" s="19">
        <v>3219.45</v>
      </c>
    </row>
    <row r="960" spans="1:17">
      <c r="A960" t="s">
        <v>3485</v>
      </c>
      <c r="B960" s="23">
        <v>45059</v>
      </c>
      <c r="C960" s="23" t="str">
        <f t="shared" si="42"/>
        <v>May</v>
      </c>
      <c r="D960" s="23" t="str">
        <f t="shared" si="43"/>
        <v>2023</v>
      </c>
      <c r="E960" s="23" t="str">
        <f t="shared" si="44"/>
        <v>Q2</v>
      </c>
      <c r="F960" t="s">
        <v>3486</v>
      </c>
      <c r="G960" s="24" t="s">
        <v>73</v>
      </c>
      <c r="H960" s="17">
        <v>3</v>
      </c>
      <c r="I960" s="19">
        <v>158.66</v>
      </c>
      <c r="J960" t="s">
        <v>1151</v>
      </c>
      <c r="K960" s="24" t="s">
        <v>60</v>
      </c>
      <c r="L960" s="24" t="s">
        <v>50</v>
      </c>
      <c r="M960" t="s">
        <v>3487</v>
      </c>
      <c r="N960" s="17">
        <v>7</v>
      </c>
      <c r="O960" t="s">
        <v>81</v>
      </c>
      <c r="P960" s="24" t="s">
        <v>38</v>
      </c>
      <c r="Q960" s="19">
        <v>475.98</v>
      </c>
    </row>
    <row r="961" spans="1:17">
      <c r="A961" t="s">
        <v>3488</v>
      </c>
      <c r="B961" s="23">
        <v>45395</v>
      </c>
      <c r="C961" s="23" t="str">
        <f t="shared" si="42"/>
        <v>Apr</v>
      </c>
      <c r="D961" s="23" t="str">
        <f t="shared" si="43"/>
        <v>2024</v>
      </c>
      <c r="E961" s="23" t="str">
        <f t="shared" si="44"/>
        <v>Q2</v>
      </c>
      <c r="F961" t="s">
        <v>3489</v>
      </c>
      <c r="G961" s="24" t="s">
        <v>32</v>
      </c>
      <c r="H961" s="17">
        <v>2</v>
      </c>
      <c r="I961" s="19">
        <v>143.82</v>
      </c>
      <c r="J961" t="s">
        <v>1190</v>
      </c>
      <c r="K961" s="24" t="s">
        <v>34</v>
      </c>
      <c r="L961" s="24" t="s">
        <v>43</v>
      </c>
      <c r="M961" t="s">
        <v>3490</v>
      </c>
      <c r="N961" s="17">
        <v>6</v>
      </c>
      <c r="O961" t="s">
        <v>21</v>
      </c>
      <c r="P961" s="24" t="s">
        <v>22</v>
      </c>
      <c r="Q961" s="19">
        <v>287.64</v>
      </c>
    </row>
    <row r="962" spans="1:17">
      <c r="A962" t="s">
        <v>3491</v>
      </c>
      <c r="B962" s="23">
        <v>45271</v>
      </c>
      <c r="C962" s="23" t="str">
        <f t="shared" ref="C962:C1025" si="45">TEXT(B962,"MMM")</f>
        <v>Dec</v>
      </c>
      <c r="D962" s="23" t="str">
        <f t="shared" ref="D962:D1025" si="46">TEXT(B962,"YYYY")</f>
        <v>2023</v>
      </c>
      <c r="E962" s="23" t="str">
        <f t="shared" ref="E962:E1025" si="47">"Q"&amp;ROUNDUP(MONTH(B962)/3,0)</f>
        <v>Q4</v>
      </c>
      <c r="F962" t="s">
        <v>3492</v>
      </c>
      <c r="G962" s="24" t="s">
        <v>58</v>
      </c>
      <c r="H962" s="17">
        <v>3</v>
      </c>
      <c r="I962" s="19">
        <v>379.07</v>
      </c>
      <c r="J962" t="s">
        <v>1431</v>
      </c>
      <c r="K962" s="24" t="s">
        <v>60</v>
      </c>
      <c r="L962" s="24" t="s">
        <v>89</v>
      </c>
      <c r="M962" t="s">
        <v>3493</v>
      </c>
      <c r="N962" s="17">
        <v>3</v>
      </c>
      <c r="O962" t="s">
        <v>81</v>
      </c>
      <c r="P962" s="24" t="s">
        <v>76</v>
      </c>
      <c r="Q962" s="19">
        <v>1137.21</v>
      </c>
    </row>
    <row r="963" spans="1:17">
      <c r="A963" t="s">
        <v>3494</v>
      </c>
      <c r="B963" s="23">
        <v>45607</v>
      </c>
      <c r="C963" s="23" t="str">
        <f t="shared" si="45"/>
        <v>Nov</v>
      </c>
      <c r="D963" s="23" t="str">
        <f t="shared" si="46"/>
        <v>2024</v>
      </c>
      <c r="E963" s="23" t="str">
        <f t="shared" si="47"/>
        <v>Q4</v>
      </c>
      <c r="F963" t="s">
        <v>3495</v>
      </c>
      <c r="G963" s="24" t="s">
        <v>25</v>
      </c>
      <c r="H963" s="17">
        <v>1</v>
      </c>
      <c r="I963" s="19">
        <v>601.36</v>
      </c>
      <c r="J963" t="s">
        <v>1306</v>
      </c>
      <c r="K963" s="24" t="s">
        <v>27</v>
      </c>
      <c r="L963" s="24" t="s">
        <v>19</v>
      </c>
      <c r="M963" t="s">
        <v>3496</v>
      </c>
      <c r="N963" s="17">
        <v>1</v>
      </c>
      <c r="O963" t="s">
        <v>4295</v>
      </c>
      <c r="P963" s="24" t="s">
        <v>45</v>
      </c>
      <c r="Q963" s="19">
        <v>601.36</v>
      </c>
    </row>
    <row r="964" spans="1:17">
      <c r="A964" t="s">
        <v>3497</v>
      </c>
      <c r="B964" s="23">
        <v>45541</v>
      </c>
      <c r="C964" s="23" t="str">
        <f t="shared" si="45"/>
        <v>Sep</v>
      </c>
      <c r="D964" s="23" t="str">
        <f t="shared" si="46"/>
        <v>2024</v>
      </c>
      <c r="E964" s="23" t="str">
        <f t="shared" si="47"/>
        <v>Q3</v>
      </c>
      <c r="F964" t="s">
        <v>3498</v>
      </c>
      <c r="G964" s="24" t="s">
        <v>25</v>
      </c>
      <c r="H964" s="17">
        <v>2</v>
      </c>
      <c r="I964" s="19">
        <v>142.08</v>
      </c>
      <c r="J964" t="s">
        <v>984</v>
      </c>
      <c r="K964" s="24" t="s">
        <v>60</v>
      </c>
      <c r="L964" s="24" t="s">
        <v>50</v>
      </c>
      <c r="M964" t="s">
        <v>3499</v>
      </c>
      <c r="N964" s="17">
        <v>4</v>
      </c>
      <c r="O964" t="s">
        <v>21</v>
      </c>
      <c r="P964" s="24" t="s">
        <v>29</v>
      </c>
      <c r="Q964" s="19">
        <v>284.16</v>
      </c>
    </row>
    <row r="965" spans="1:17">
      <c r="A965" t="s">
        <v>3500</v>
      </c>
      <c r="B965" s="23">
        <v>45362</v>
      </c>
      <c r="C965" s="23" t="str">
        <f t="shared" si="45"/>
        <v>Mar</v>
      </c>
      <c r="D965" s="23" t="str">
        <f t="shared" si="46"/>
        <v>2024</v>
      </c>
      <c r="E965" s="23" t="str">
        <f t="shared" si="47"/>
        <v>Q1</v>
      </c>
      <c r="F965" t="s">
        <v>3501</v>
      </c>
      <c r="G965" s="24" t="s">
        <v>41</v>
      </c>
      <c r="H965" s="17">
        <v>5</v>
      </c>
      <c r="I965" s="19">
        <v>530.34</v>
      </c>
      <c r="J965" t="s">
        <v>743</v>
      </c>
      <c r="K965" s="24" t="s">
        <v>27</v>
      </c>
      <c r="L965" s="24" t="s">
        <v>19</v>
      </c>
      <c r="M965" t="s">
        <v>3502</v>
      </c>
      <c r="N965" s="17">
        <v>9</v>
      </c>
      <c r="O965" t="s">
        <v>37</v>
      </c>
      <c r="P965" s="24" t="s">
        <v>76</v>
      </c>
      <c r="Q965" s="19">
        <v>2651.7</v>
      </c>
    </row>
    <row r="966" spans="1:17">
      <c r="A966" t="s">
        <v>3503</v>
      </c>
      <c r="B966" s="23">
        <v>45158</v>
      </c>
      <c r="C966" s="23" t="str">
        <f t="shared" si="45"/>
        <v>Aug</v>
      </c>
      <c r="D966" s="23" t="str">
        <f t="shared" si="46"/>
        <v>2023</v>
      </c>
      <c r="E966" s="23" t="str">
        <f t="shared" si="47"/>
        <v>Q3</v>
      </c>
      <c r="F966" t="s">
        <v>3504</v>
      </c>
      <c r="G966" s="24" t="s">
        <v>25</v>
      </c>
      <c r="H966" s="17">
        <v>5</v>
      </c>
      <c r="I966" s="19">
        <v>364.42</v>
      </c>
      <c r="J966" t="s">
        <v>1549</v>
      </c>
      <c r="K966" s="24" t="s">
        <v>34</v>
      </c>
      <c r="L966" s="24" t="s">
        <v>35</v>
      </c>
      <c r="M966" t="s">
        <v>3505</v>
      </c>
      <c r="N966" s="17">
        <v>10</v>
      </c>
      <c r="O966" t="s">
        <v>21</v>
      </c>
      <c r="P966" s="24" t="s">
        <v>29</v>
      </c>
      <c r="Q966" s="19">
        <v>1822.1</v>
      </c>
    </row>
    <row r="967" spans="1:17">
      <c r="A967" t="s">
        <v>3506</v>
      </c>
      <c r="B967" s="23">
        <v>45826</v>
      </c>
      <c r="C967" s="23" t="str">
        <f t="shared" si="45"/>
        <v>Jun</v>
      </c>
      <c r="D967" s="23" t="str">
        <f t="shared" si="46"/>
        <v>2025</v>
      </c>
      <c r="E967" s="23" t="str">
        <f t="shared" si="47"/>
        <v>Q2</v>
      </c>
      <c r="F967" t="s">
        <v>3507</v>
      </c>
      <c r="G967" s="24" t="s">
        <v>58</v>
      </c>
      <c r="H967" s="17">
        <v>4</v>
      </c>
      <c r="I967" s="19">
        <v>578.28</v>
      </c>
      <c r="J967" t="s">
        <v>1085</v>
      </c>
      <c r="K967" s="24" t="s">
        <v>60</v>
      </c>
      <c r="L967" s="24" t="s">
        <v>35</v>
      </c>
      <c r="M967" t="s">
        <v>3508</v>
      </c>
      <c r="N967" s="17">
        <v>5</v>
      </c>
      <c r="O967" t="s">
        <v>37</v>
      </c>
      <c r="P967" s="24" t="s">
        <v>38</v>
      </c>
      <c r="Q967" s="19">
        <v>2313.12</v>
      </c>
    </row>
    <row r="968" spans="1:17">
      <c r="A968" t="s">
        <v>3509</v>
      </c>
      <c r="B968" s="23">
        <v>45797</v>
      </c>
      <c r="C968" s="23" t="str">
        <f t="shared" si="45"/>
        <v>May</v>
      </c>
      <c r="D968" s="23" t="str">
        <f t="shared" si="46"/>
        <v>2025</v>
      </c>
      <c r="E968" s="23" t="str">
        <f t="shared" si="47"/>
        <v>Q2</v>
      </c>
      <c r="F968" t="s">
        <v>3510</v>
      </c>
      <c r="G968" s="24" t="s">
        <v>16</v>
      </c>
      <c r="H968" s="17">
        <v>5</v>
      </c>
      <c r="I968" s="19">
        <v>280.52</v>
      </c>
      <c r="J968" t="s">
        <v>3511</v>
      </c>
      <c r="K968" s="24" t="s">
        <v>34</v>
      </c>
      <c r="L968" s="24" t="s">
        <v>35</v>
      </c>
      <c r="M968" t="s">
        <v>3512</v>
      </c>
      <c r="N968" s="17">
        <v>7</v>
      </c>
      <c r="O968" t="s">
        <v>81</v>
      </c>
      <c r="P968" s="24" t="s">
        <v>45</v>
      </c>
      <c r="Q968" s="19">
        <v>1402.6</v>
      </c>
    </row>
    <row r="969" spans="1:17">
      <c r="A969" t="s">
        <v>3513</v>
      </c>
      <c r="B969" s="23">
        <v>45783</v>
      </c>
      <c r="C969" s="23" t="str">
        <f t="shared" si="45"/>
        <v>May</v>
      </c>
      <c r="D969" s="23" t="str">
        <f t="shared" si="46"/>
        <v>2025</v>
      </c>
      <c r="E969" s="23" t="str">
        <f t="shared" si="47"/>
        <v>Q2</v>
      </c>
      <c r="F969" t="s">
        <v>3514</v>
      </c>
      <c r="G969" s="24" t="s">
        <v>32</v>
      </c>
      <c r="H969" s="17">
        <v>5</v>
      </c>
      <c r="I969" s="19">
        <v>638.92</v>
      </c>
      <c r="J969" t="s">
        <v>3515</v>
      </c>
      <c r="K969" s="24" t="s">
        <v>34</v>
      </c>
      <c r="L969" s="24" t="s">
        <v>43</v>
      </c>
      <c r="M969" t="s">
        <v>3516</v>
      </c>
      <c r="N969" s="17">
        <v>5</v>
      </c>
      <c r="O969" t="s">
        <v>37</v>
      </c>
      <c r="P969" s="24" t="s">
        <v>76</v>
      </c>
      <c r="Q969" s="19">
        <v>3194.6</v>
      </c>
    </row>
    <row r="970" spans="1:17">
      <c r="A970" t="s">
        <v>3517</v>
      </c>
      <c r="B970" s="23">
        <v>45330</v>
      </c>
      <c r="C970" s="23" t="str">
        <f t="shared" si="45"/>
        <v>Feb</v>
      </c>
      <c r="D970" s="23" t="str">
        <f t="shared" si="46"/>
        <v>2024</v>
      </c>
      <c r="E970" s="23" t="str">
        <f t="shared" si="47"/>
        <v>Q1</v>
      </c>
      <c r="F970" t="s">
        <v>3518</v>
      </c>
      <c r="G970" s="24" t="s">
        <v>16</v>
      </c>
      <c r="H970" s="17">
        <v>4</v>
      </c>
      <c r="I970" s="19">
        <v>412.2</v>
      </c>
      <c r="J970" t="s">
        <v>3042</v>
      </c>
      <c r="K970" s="24" t="s">
        <v>34</v>
      </c>
      <c r="L970" s="24" t="s">
        <v>19</v>
      </c>
      <c r="M970" t="s">
        <v>3519</v>
      </c>
      <c r="N970" s="17">
        <v>6</v>
      </c>
      <c r="O970" t="s">
        <v>81</v>
      </c>
      <c r="P970" s="24" t="s">
        <v>29</v>
      </c>
      <c r="Q970" s="19">
        <v>1648.8</v>
      </c>
    </row>
    <row r="971" spans="1:17">
      <c r="A971" t="s">
        <v>3520</v>
      </c>
      <c r="B971" s="23">
        <v>45813</v>
      </c>
      <c r="C971" s="23" t="str">
        <f t="shared" si="45"/>
        <v>Jun</v>
      </c>
      <c r="D971" s="23" t="str">
        <f t="shared" si="46"/>
        <v>2025</v>
      </c>
      <c r="E971" s="23" t="str">
        <f t="shared" si="47"/>
        <v>Q2</v>
      </c>
      <c r="F971" t="s">
        <v>3521</v>
      </c>
      <c r="G971" s="24" t="s">
        <v>73</v>
      </c>
      <c r="H971" s="17">
        <v>1</v>
      </c>
      <c r="I971" s="19">
        <v>440.34</v>
      </c>
      <c r="J971" t="s">
        <v>3522</v>
      </c>
      <c r="K971" s="24" t="s">
        <v>60</v>
      </c>
      <c r="L971" s="24" t="s">
        <v>19</v>
      </c>
      <c r="M971" t="s">
        <v>3523</v>
      </c>
      <c r="N971" s="17">
        <v>2</v>
      </c>
      <c r="O971" t="s">
        <v>81</v>
      </c>
      <c r="P971" s="24" t="s">
        <v>45</v>
      </c>
      <c r="Q971" s="19">
        <v>440.34</v>
      </c>
    </row>
    <row r="972" spans="1:17">
      <c r="A972" t="s">
        <v>3524</v>
      </c>
      <c r="B972" s="23">
        <v>45542</v>
      </c>
      <c r="C972" s="23" t="str">
        <f t="shared" si="45"/>
        <v>Sep</v>
      </c>
      <c r="D972" s="23" t="str">
        <f t="shared" si="46"/>
        <v>2024</v>
      </c>
      <c r="E972" s="23" t="str">
        <f t="shared" si="47"/>
        <v>Q3</v>
      </c>
      <c r="F972" t="s">
        <v>3525</v>
      </c>
      <c r="G972" s="24" t="s">
        <v>73</v>
      </c>
      <c r="H972" s="17">
        <v>1</v>
      </c>
      <c r="I972" s="19">
        <v>627.15</v>
      </c>
      <c r="J972" t="s">
        <v>3526</v>
      </c>
      <c r="K972" s="24" t="s">
        <v>65</v>
      </c>
      <c r="L972" s="24" t="s">
        <v>50</v>
      </c>
      <c r="M972" t="s">
        <v>3527</v>
      </c>
      <c r="N972" s="17">
        <v>5</v>
      </c>
      <c r="O972" t="s">
        <v>21</v>
      </c>
      <c r="P972" s="24" t="s">
        <v>22</v>
      </c>
      <c r="Q972" s="19">
        <v>627.15</v>
      </c>
    </row>
    <row r="973" spans="1:17">
      <c r="A973" t="s">
        <v>3528</v>
      </c>
      <c r="B973" s="23">
        <v>45439</v>
      </c>
      <c r="C973" s="23" t="str">
        <f t="shared" si="45"/>
        <v>May</v>
      </c>
      <c r="D973" s="23" t="str">
        <f t="shared" si="46"/>
        <v>2024</v>
      </c>
      <c r="E973" s="23" t="str">
        <f t="shared" si="47"/>
        <v>Q2</v>
      </c>
      <c r="F973" t="s">
        <v>3529</v>
      </c>
      <c r="G973" s="24" t="s">
        <v>16</v>
      </c>
      <c r="H973" s="17">
        <v>2</v>
      </c>
      <c r="I973" s="19">
        <v>605.26</v>
      </c>
      <c r="J973" t="s">
        <v>54</v>
      </c>
      <c r="K973" s="24" t="s">
        <v>65</v>
      </c>
      <c r="L973" s="24" t="s">
        <v>35</v>
      </c>
      <c r="M973" t="s">
        <v>3530</v>
      </c>
      <c r="N973" s="17">
        <v>4</v>
      </c>
      <c r="O973" t="s">
        <v>81</v>
      </c>
      <c r="P973" s="24" t="s">
        <v>29</v>
      </c>
      <c r="Q973" s="19">
        <v>1210.52</v>
      </c>
    </row>
    <row r="974" spans="1:17">
      <c r="A974" t="s">
        <v>3531</v>
      </c>
      <c r="B974" s="23">
        <v>45452</v>
      </c>
      <c r="C974" s="23" t="str">
        <f t="shared" si="45"/>
        <v>Jun</v>
      </c>
      <c r="D974" s="23" t="str">
        <f t="shared" si="46"/>
        <v>2024</v>
      </c>
      <c r="E974" s="23" t="str">
        <f t="shared" si="47"/>
        <v>Q2</v>
      </c>
      <c r="F974" t="s">
        <v>3532</v>
      </c>
      <c r="G974" s="24" t="s">
        <v>58</v>
      </c>
      <c r="H974" s="17">
        <v>1</v>
      </c>
      <c r="I974" s="19">
        <v>90.27</v>
      </c>
      <c r="J974" t="s">
        <v>3533</v>
      </c>
      <c r="K974" s="24" t="s">
        <v>65</v>
      </c>
      <c r="L974" s="24" t="s">
        <v>50</v>
      </c>
      <c r="M974" t="s">
        <v>3534</v>
      </c>
      <c r="N974" s="17">
        <v>5</v>
      </c>
      <c r="O974" t="s">
        <v>21</v>
      </c>
      <c r="P974" s="24" t="s">
        <v>45</v>
      </c>
      <c r="Q974" s="19">
        <v>90.27</v>
      </c>
    </row>
    <row r="975" spans="1:17">
      <c r="A975" t="s">
        <v>3535</v>
      </c>
      <c r="B975" s="23">
        <v>45817</v>
      </c>
      <c r="C975" s="23" t="str">
        <f t="shared" si="45"/>
        <v>Jun</v>
      </c>
      <c r="D975" s="23" t="str">
        <f t="shared" si="46"/>
        <v>2025</v>
      </c>
      <c r="E975" s="23" t="str">
        <f t="shared" si="47"/>
        <v>Q2</v>
      </c>
      <c r="F975" t="s">
        <v>3536</v>
      </c>
      <c r="G975" s="24" t="s">
        <v>73</v>
      </c>
      <c r="H975" s="17">
        <v>5</v>
      </c>
      <c r="I975" s="19">
        <v>230.77</v>
      </c>
      <c r="J975" t="s">
        <v>3322</v>
      </c>
      <c r="K975" s="24" t="s">
        <v>27</v>
      </c>
      <c r="L975" s="24" t="s">
        <v>89</v>
      </c>
      <c r="M975" t="s">
        <v>3537</v>
      </c>
      <c r="N975" s="17">
        <v>10</v>
      </c>
      <c r="O975" t="s">
        <v>81</v>
      </c>
      <c r="P975" s="24" t="s">
        <v>29</v>
      </c>
      <c r="Q975" s="19">
        <v>1153.85</v>
      </c>
    </row>
    <row r="976" spans="1:17">
      <c r="A976" t="s">
        <v>3538</v>
      </c>
      <c r="B976" s="23">
        <v>45196</v>
      </c>
      <c r="C976" s="23" t="str">
        <f t="shared" si="45"/>
        <v>Sep</v>
      </c>
      <c r="D976" s="23" t="str">
        <f t="shared" si="46"/>
        <v>2023</v>
      </c>
      <c r="E976" s="23" t="str">
        <f t="shared" si="47"/>
        <v>Q3</v>
      </c>
      <c r="F976" t="s">
        <v>3539</v>
      </c>
      <c r="G976" s="24" t="s">
        <v>73</v>
      </c>
      <c r="H976" s="17">
        <v>5</v>
      </c>
      <c r="I976" s="19">
        <v>266.78</v>
      </c>
      <c r="J976" t="s">
        <v>1237</v>
      </c>
      <c r="K976" s="24" t="s">
        <v>60</v>
      </c>
      <c r="L976" s="24" t="s">
        <v>35</v>
      </c>
      <c r="M976" t="s">
        <v>3540</v>
      </c>
      <c r="N976" s="17">
        <v>5</v>
      </c>
      <c r="O976" t="s">
        <v>4295</v>
      </c>
      <c r="P976" s="24" t="s">
        <v>38</v>
      </c>
      <c r="Q976" s="19">
        <v>1333.9</v>
      </c>
    </row>
    <row r="977" spans="1:17">
      <c r="A977" t="s">
        <v>3541</v>
      </c>
      <c r="B977" s="23">
        <v>45064</v>
      </c>
      <c r="C977" s="23" t="str">
        <f t="shared" si="45"/>
        <v>May</v>
      </c>
      <c r="D977" s="23" t="str">
        <f t="shared" si="46"/>
        <v>2023</v>
      </c>
      <c r="E977" s="23" t="str">
        <f t="shared" si="47"/>
        <v>Q2</v>
      </c>
      <c r="F977" t="s">
        <v>3542</v>
      </c>
      <c r="G977" s="24" t="s">
        <v>73</v>
      </c>
      <c r="H977" s="17">
        <v>1</v>
      </c>
      <c r="I977" s="19">
        <v>105.92</v>
      </c>
      <c r="J977" t="s">
        <v>1093</v>
      </c>
      <c r="K977" s="24" t="s">
        <v>60</v>
      </c>
      <c r="L977" s="24" t="s">
        <v>43</v>
      </c>
      <c r="M977" t="s">
        <v>3543</v>
      </c>
      <c r="N977" s="17">
        <v>6</v>
      </c>
      <c r="O977" t="s">
        <v>21</v>
      </c>
      <c r="P977" s="24" t="s">
        <v>38</v>
      </c>
      <c r="Q977" s="19">
        <v>105.92</v>
      </c>
    </row>
    <row r="978" spans="1:17">
      <c r="A978" t="s">
        <v>3544</v>
      </c>
      <c r="B978" s="23">
        <v>45386</v>
      </c>
      <c r="C978" s="23" t="str">
        <f t="shared" si="45"/>
        <v>Apr</v>
      </c>
      <c r="D978" s="23" t="str">
        <f t="shared" si="46"/>
        <v>2024</v>
      </c>
      <c r="E978" s="23" t="str">
        <f t="shared" si="47"/>
        <v>Q2</v>
      </c>
      <c r="F978" t="s">
        <v>3545</v>
      </c>
      <c r="G978" s="24" t="s">
        <v>32</v>
      </c>
      <c r="H978" s="17">
        <v>3</v>
      </c>
      <c r="I978" s="19">
        <v>589.3</v>
      </c>
      <c r="J978" t="s">
        <v>3025</v>
      </c>
      <c r="K978" s="24" t="s">
        <v>34</v>
      </c>
      <c r="L978" s="24" t="s">
        <v>43</v>
      </c>
      <c r="M978" t="s">
        <v>3546</v>
      </c>
      <c r="N978" s="17">
        <v>6</v>
      </c>
      <c r="O978" t="s">
        <v>81</v>
      </c>
      <c r="P978" s="24" t="s">
        <v>29</v>
      </c>
      <c r="Q978" s="19">
        <v>1767.9</v>
      </c>
    </row>
    <row r="979" spans="1:17">
      <c r="A979" t="s">
        <v>3547</v>
      </c>
      <c r="B979" s="23">
        <v>44954</v>
      </c>
      <c r="C979" s="23" t="str">
        <f t="shared" si="45"/>
        <v>Jan</v>
      </c>
      <c r="D979" s="23" t="str">
        <f t="shared" si="46"/>
        <v>2023</v>
      </c>
      <c r="E979" s="23" t="str">
        <f t="shared" si="47"/>
        <v>Q1</v>
      </c>
      <c r="F979" t="s">
        <v>3548</v>
      </c>
      <c r="G979" s="24" t="s">
        <v>41</v>
      </c>
      <c r="H979" s="17">
        <v>4</v>
      </c>
      <c r="I979" s="19">
        <v>649.47</v>
      </c>
      <c r="J979" t="s">
        <v>3549</v>
      </c>
      <c r="K979" s="24" t="s">
        <v>65</v>
      </c>
      <c r="L979" s="24" t="s">
        <v>89</v>
      </c>
      <c r="M979" t="s">
        <v>3550</v>
      </c>
      <c r="N979" s="17">
        <v>8</v>
      </c>
      <c r="O979" t="s">
        <v>21</v>
      </c>
      <c r="P979" s="24" t="s">
        <v>76</v>
      </c>
      <c r="Q979" s="19">
        <v>2597.88</v>
      </c>
    </row>
    <row r="980" spans="1:17">
      <c r="A980" t="s">
        <v>3551</v>
      </c>
      <c r="B980" s="23">
        <v>45468</v>
      </c>
      <c r="C980" s="23" t="str">
        <f t="shared" si="45"/>
        <v>Jun</v>
      </c>
      <c r="D980" s="23" t="str">
        <f t="shared" si="46"/>
        <v>2024</v>
      </c>
      <c r="E980" s="23" t="str">
        <f t="shared" si="47"/>
        <v>Q2</v>
      </c>
      <c r="F980" t="s">
        <v>3552</v>
      </c>
      <c r="G980" s="24" t="s">
        <v>48</v>
      </c>
      <c r="H980" s="17">
        <v>4</v>
      </c>
      <c r="I980" s="19">
        <v>107.49</v>
      </c>
      <c r="J980" t="s">
        <v>2651</v>
      </c>
      <c r="K980" s="24" t="s">
        <v>65</v>
      </c>
      <c r="L980" s="24" t="s">
        <v>50</v>
      </c>
      <c r="M980" t="s">
        <v>3553</v>
      </c>
      <c r="N980" s="17">
        <v>5</v>
      </c>
      <c r="O980" t="s">
        <v>4295</v>
      </c>
      <c r="P980" s="24" t="s">
        <v>76</v>
      </c>
      <c r="Q980" s="19">
        <v>429.96</v>
      </c>
    </row>
    <row r="981" spans="1:17">
      <c r="A981" t="s">
        <v>3554</v>
      </c>
      <c r="B981" s="23">
        <v>45077</v>
      </c>
      <c r="C981" s="23" t="str">
        <f t="shared" si="45"/>
        <v>May</v>
      </c>
      <c r="D981" s="23" t="str">
        <f t="shared" si="46"/>
        <v>2023</v>
      </c>
      <c r="E981" s="23" t="str">
        <f t="shared" si="47"/>
        <v>Q2</v>
      </c>
      <c r="F981" t="s">
        <v>3555</v>
      </c>
      <c r="G981" s="24" t="s">
        <v>16</v>
      </c>
      <c r="H981" s="17">
        <v>3</v>
      </c>
      <c r="I981" s="19">
        <v>669.06</v>
      </c>
      <c r="J981" t="s">
        <v>1113</v>
      </c>
      <c r="K981" s="24" t="s">
        <v>65</v>
      </c>
      <c r="L981" s="24" t="s">
        <v>50</v>
      </c>
      <c r="M981" t="s">
        <v>3556</v>
      </c>
      <c r="N981" s="17">
        <v>7</v>
      </c>
      <c r="O981" t="s">
        <v>21</v>
      </c>
      <c r="P981" s="24" t="s">
        <v>45</v>
      </c>
      <c r="Q981" s="19">
        <v>2007.18</v>
      </c>
    </row>
    <row r="982" spans="1:17">
      <c r="A982" t="s">
        <v>3557</v>
      </c>
      <c r="B982" s="23">
        <v>45213</v>
      </c>
      <c r="C982" s="23" t="str">
        <f t="shared" si="45"/>
        <v>Oct</v>
      </c>
      <c r="D982" s="23" t="str">
        <f t="shared" si="46"/>
        <v>2023</v>
      </c>
      <c r="E982" s="23" t="str">
        <f t="shared" si="47"/>
        <v>Q4</v>
      </c>
      <c r="F982" t="s">
        <v>3558</v>
      </c>
      <c r="G982" s="24" t="s">
        <v>41</v>
      </c>
      <c r="H982" s="17">
        <v>3</v>
      </c>
      <c r="I982" s="19">
        <v>69.65</v>
      </c>
      <c r="J982" t="s">
        <v>3559</v>
      </c>
      <c r="K982" s="24" t="s">
        <v>65</v>
      </c>
      <c r="L982" s="24" t="s">
        <v>50</v>
      </c>
      <c r="M982" t="s">
        <v>3560</v>
      </c>
      <c r="N982" s="17">
        <v>7</v>
      </c>
      <c r="O982" t="s">
        <v>81</v>
      </c>
      <c r="P982" s="24" t="s">
        <v>22</v>
      </c>
      <c r="Q982" s="19">
        <v>208.95</v>
      </c>
    </row>
    <row r="983" spans="1:17">
      <c r="A983" t="s">
        <v>3561</v>
      </c>
      <c r="B983" s="23">
        <v>45256</v>
      </c>
      <c r="C983" s="23" t="str">
        <f t="shared" si="45"/>
        <v>Nov</v>
      </c>
      <c r="D983" s="23" t="str">
        <f t="shared" si="46"/>
        <v>2023</v>
      </c>
      <c r="E983" s="23" t="str">
        <f t="shared" si="47"/>
        <v>Q4</v>
      </c>
      <c r="F983" t="s">
        <v>3562</v>
      </c>
      <c r="G983" s="24" t="s">
        <v>25</v>
      </c>
      <c r="H983" s="17">
        <v>4</v>
      </c>
      <c r="I983" s="19">
        <v>136.83</v>
      </c>
      <c r="J983" t="s">
        <v>3563</v>
      </c>
      <c r="K983" s="24" t="s">
        <v>18</v>
      </c>
      <c r="L983" s="24" t="s">
        <v>89</v>
      </c>
      <c r="M983" t="s">
        <v>3564</v>
      </c>
      <c r="N983" s="17">
        <v>8</v>
      </c>
      <c r="O983" t="s">
        <v>21</v>
      </c>
      <c r="P983" s="24" t="s">
        <v>38</v>
      </c>
      <c r="Q983" s="19">
        <v>547.32</v>
      </c>
    </row>
    <row r="984" spans="1:17">
      <c r="A984" t="s">
        <v>3565</v>
      </c>
      <c r="B984" s="23">
        <v>45541</v>
      </c>
      <c r="C984" s="23" t="str">
        <f t="shared" si="45"/>
        <v>Sep</v>
      </c>
      <c r="D984" s="23" t="str">
        <f t="shared" si="46"/>
        <v>2024</v>
      </c>
      <c r="E984" s="23" t="str">
        <f t="shared" si="47"/>
        <v>Q3</v>
      </c>
      <c r="F984" t="s">
        <v>3566</v>
      </c>
      <c r="G984" s="24" t="s">
        <v>16</v>
      </c>
      <c r="H984" s="17">
        <v>1</v>
      </c>
      <c r="I984" s="19">
        <v>304.11</v>
      </c>
      <c r="J984" t="s">
        <v>2668</v>
      </c>
      <c r="K984" s="24" t="s">
        <v>60</v>
      </c>
      <c r="L984" s="24" t="s">
        <v>19</v>
      </c>
      <c r="M984" t="s">
        <v>3567</v>
      </c>
      <c r="N984" s="17">
        <v>2</v>
      </c>
      <c r="O984" t="s">
        <v>21</v>
      </c>
      <c r="P984" s="24" t="s">
        <v>29</v>
      </c>
      <c r="Q984" s="19">
        <v>304.11</v>
      </c>
    </row>
    <row r="985" spans="1:17">
      <c r="A985" t="s">
        <v>3568</v>
      </c>
      <c r="B985" s="23">
        <v>45620</v>
      </c>
      <c r="C985" s="23" t="str">
        <f t="shared" si="45"/>
        <v>Nov</v>
      </c>
      <c r="D985" s="23" t="str">
        <f t="shared" si="46"/>
        <v>2024</v>
      </c>
      <c r="E985" s="23" t="str">
        <f t="shared" si="47"/>
        <v>Q4</v>
      </c>
      <c r="F985" t="s">
        <v>3569</v>
      </c>
      <c r="G985" s="24" t="s">
        <v>16</v>
      </c>
      <c r="H985" s="17">
        <v>4</v>
      </c>
      <c r="I985" s="19">
        <v>296.28</v>
      </c>
      <c r="J985" t="s">
        <v>3570</v>
      </c>
      <c r="K985" s="24" t="s">
        <v>60</v>
      </c>
      <c r="L985" s="24" t="s">
        <v>19</v>
      </c>
      <c r="M985" t="s">
        <v>3571</v>
      </c>
      <c r="N985" s="17">
        <v>5</v>
      </c>
      <c r="O985" t="s">
        <v>21</v>
      </c>
      <c r="P985" s="24" t="s">
        <v>38</v>
      </c>
      <c r="Q985" s="19">
        <v>1185.12</v>
      </c>
    </row>
    <row r="986" spans="1:17">
      <c r="A986" t="s">
        <v>3572</v>
      </c>
      <c r="B986" s="23">
        <v>45716</v>
      </c>
      <c r="C986" s="23" t="str">
        <f t="shared" si="45"/>
        <v>Feb</v>
      </c>
      <c r="D986" s="23" t="str">
        <f t="shared" si="46"/>
        <v>2025</v>
      </c>
      <c r="E986" s="23" t="str">
        <f t="shared" si="47"/>
        <v>Q1</v>
      </c>
      <c r="F986" t="s">
        <v>3573</v>
      </c>
      <c r="G986" s="24" t="s">
        <v>73</v>
      </c>
      <c r="H986" s="17">
        <v>1</v>
      </c>
      <c r="I986" s="19">
        <v>77.64</v>
      </c>
      <c r="J986" t="s">
        <v>64</v>
      </c>
      <c r="K986" s="24" t="s">
        <v>34</v>
      </c>
      <c r="L986" s="24" t="s">
        <v>19</v>
      </c>
      <c r="M986" t="s">
        <v>3574</v>
      </c>
      <c r="N986" s="17">
        <v>1</v>
      </c>
      <c r="O986" t="s">
        <v>37</v>
      </c>
      <c r="P986" s="24" t="s">
        <v>45</v>
      </c>
      <c r="Q986" s="19">
        <v>77.64</v>
      </c>
    </row>
    <row r="987" spans="1:17">
      <c r="A987" t="s">
        <v>3575</v>
      </c>
      <c r="B987" s="23">
        <v>45493</v>
      </c>
      <c r="C987" s="23" t="str">
        <f t="shared" si="45"/>
        <v>Jul</v>
      </c>
      <c r="D987" s="23" t="str">
        <f t="shared" si="46"/>
        <v>2024</v>
      </c>
      <c r="E987" s="23" t="str">
        <f t="shared" si="47"/>
        <v>Q3</v>
      </c>
      <c r="F987" t="s">
        <v>3576</v>
      </c>
      <c r="G987" s="24" t="s">
        <v>73</v>
      </c>
      <c r="H987" s="17">
        <v>1</v>
      </c>
      <c r="I987" s="19">
        <v>243.71</v>
      </c>
      <c r="J987" t="s">
        <v>929</v>
      </c>
      <c r="K987" s="24" t="s">
        <v>60</v>
      </c>
      <c r="L987" s="24" t="s">
        <v>50</v>
      </c>
      <c r="M987" t="s">
        <v>3577</v>
      </c>
      <c r="N987" s="17">
        <v>6</v>
      </c>
      <c r="O987" t="s">
        <v>21</v>
      </c>
      <c r="P987" s="24" t="s">
        <v>76</v>
      </c>
      <c r="Q987" s="19">
        <v>243.71</v>
      </c>
    </row>
    <row r="988" spans="1:17">
      <c r="A988" t="s">
        <v>3578</v>
      </c>
      <c r="B988" s="23">
        <v>45542</v>
      </c>
      <c r="C988" s="23" t="str">
        <f t="shared" si="45"/>
        <v>Sep</v>
      </c>
      <c r="D988" s="23" t="str">
        <f t="shared" si="46"/>
        <v>2024</v>
      </c>
      <c r="E988" s="23" t="str">
        <f t="shared" si="47"/>
        <v>Q3</v>
      </c>
      <c r="F988" t="s">
        <v>3579</v>
      </c>
      <c r="G988" s="24" t="s">
        <v>58</v>
      </c>
      <c r="H988" s="17">
        <v>4</v>
      </c>
      <c r="I988" s="19">
        <v>644.96</v>
      </c>
      <c r="J988" t="s">
        <v>426</v>
      </c>
      <c r="K988" s="24" t="s">
        <v>34</v>
      </c>
      <c r="L988" s="24" t="s">
        <v>89</v>
      </c>
      <c r="M988" t="s">
        <v>3580</v>
      </c>
      <c r="N988" s="17">
        <v>7</v>
      </c>
      <c r="O988" t="s">
        <v>37</v>
      </c>
      <c r="P988" s="24" t="s">
        <v>38</v>
      </c>
      <c r="Q988" s="19">
        <v>2579.84</v>
      </c>
    </row>
    <row r="989" spans="1:17">
      <c r="A989" t="s">
        <v>3581</v>
      </c>
      <c r="B989" s="23">
        <v>45813</v>
      </c>
      <c r="C989" s="23" t="str">
        <f t="shared" si="45"/>
        <v>Jun</v>
      </c>
      <c r="D989" s="23" t="str">
        <f t="shared" si="46"/>
        <v>2025</v>
      </c>
      <c r="E989" s="23" t="str">
        <f t="shared" si="47"/>
        <v>Q2</v>
      </c>
      <c r="F989" t="s">
        <v>3582</v>
      </c>
      <c r="G989" s="24" t="s">
        <v>25</v>
      </c>
      <c r="H989" s="17">
        <v>5</v>
      </c>
      <c r="I989" s="19">
        <v>283.73</v>
      </c>
      <c r="J989" t="s">
        <v>1697</v>
      </c>
      <c r="K989" s="24" t="s">
        <v>60</v>
      </c>
      <c r="L989" s="24" t="s">
        <v>89</v>
      </c>
      <c r="M989" t="s">
        <v>3583</v>
      </c>
      <c r="N989" s="17">
        <v>8</v>
      </c>
      <c r="O989" t="s">
        <v>37</v>
      </c>
      <c r="P989" s="24" t="s">
        <v>22</v>
      </c>
      <c r="Q989" s="19">
        <v>1418.65</v>
      </c>
    </row>
    <row r="990" spans="1:17">
      <c r="A990" t="s">
        <v>3584</v>
      </c>
      <c r="B990" s="23">
        <v>45692</v>
      </c>
      <c r="C990" s="23" t="str">
        <f t="shared" si="45"/>
        <v>Feb</v>
      </c>
      <c r="D990" s="23" t="str">
        <f t="shared" si="46"/>
        <v>2025</v>
      </c>
      <c r="E990" s="23" t="str">
        <f t="shared" si="47"/>
        <v>Q1</v>
      </c>
      <c r="F990" t="s">
        <v>3585</v>
      </c>
      <c r="G990" s="24" t="s">
        <v>73</v>
      </c>
      <c r="H990" s="17">
        <v>2</v>
      </c>
      <c r="I990" s="19">
        <v>629.56</v>
      </c>
      <c r="J990" t="s">
        <v>1317</v>
      </c>
      <c r="K990" s="24" t="s">
        <v>60</v>
      </c>
      <c r="L990" s="24" t="s">
        <v>35</v>
      </c>
      <c r="M990" t="s">
        <v>3586</v>
      </c>
      <c r="N990" s="17">
        <v>5</v>
      </c>
      <c r="O990" t="s">
        <v>81</v>
      </c>
      <c r="P990" s="24" t="s">
        <v>22</v>
      </c>
      <c r="Q990" s="19">
        <v>1259.12</v>
      </c>
    </row>
    <row r="991" spans="1:17">
      <c r="A991" t="s">
        <v>3587</v>
      </c>
      <c r="B991" s="23">
        <v>45008</v>
      </c>
      <c r="C991" s="23" t="str">
        <f t="shared" si="45"/>
        <v>Mar</v>
      </c>
      <c r="D991" s="23" t="str">
        <f t="shared" si="46"/>
        <v>2023</v>
      </c>
      <c r="E991" s="23" t="str">
        <f t="shared" si="47"/>
        <v>Q1</v>
      </c>
      <c r="F991" t="s">
        <v>3588</v>
      </c>
      <c r="G991" s="24" t="s">
        <v>58</v>
      </c>
      <c r="H991" s="17">
        <v>4</v>
      </c>
      <c r="I991" s="19">
        <v>246.11</v>
      </c>
      <c r="J991" t="s">
        <v>3589</v>
      </c>
      <c r="K991" s="24" t="s">
        <v>34</v>
      </c>
      <c r="L991" s="24" t="s">
        <v>89</v>
      </c>
      <c r="M991" t="s">
        <v>3590</v>
      </c>
      <c r="N991" s="17">
        <v>4</v>
      </c>
      <c r="O991" t="s">
        <v>21</v>
      </c>
      <c r="P991" s="24" t="s">
        <v>22</v>
      </c>
      <c r="Q991" s="19">
        <v>984.44</v>
      </c>
    </row>
    <row r="992" spans="1:17">
      <c r="A992" t="s">
        <v>3591</v>
      </c>
      <c r="B992" s="23">
        <v>45249</v>
      </c>
      <c r="C992" s="23" t="str">
        <f t="shared" si="45"/>
        <v>Nov</v>
      </c>
      <c r="D992" s="23" t="str">
        <f t="shared" si="46"/>
        <v>2023</v>
      </c>
      <c r="E992" s="23" t="str">
        <f t="shared" si="47"/>
        <v>Q4</v>
      </c>
      <c r="F992" t="s">
        <v>3592</v>
      </c>
      <c r="G992" s="24" t="s">
        <v>25</v>
      </c>
      <c r="H992" s="17">
        <v>2</v>
      </c>
      <c r="I992" s="19">
        <v>418.26</v>
      </c>
      <c r="J992" t="s">
        <v>3593</v>
      </c>
      <c r="K992" s="24" t="s">
        <v>18</v>
      </c>
      <c r="L992" s="24" t="s">
        <v>89</v>
      </c>
      <c r="M992" t="s">
        <v>3594</v>
      </c>
      <c r="N992" s="17">
        <v>2</v>
      </c>
      <c r="O992" t="s">
        <v>21</v>
      </c>
      <c r="P992" s="24" t="s">
        <v>76</v>
      </c>
      <c r="Q992" s="19">
        <v>836.52</v>
      </c>
    </row>
    <row r="993" spans="1:17">
      <c r="A993" t="s">
        <v>3595</v>
      </c>
      <c r="B993" s="23">
        <v>45421</v>
      </c>
      <c r="C993" s="23" t="str">
        <f t="shared" si="45"/>
        <v>May</v>
      </c>
      <c r="D993" s="23" t="str">
        <f t="shared" si="46"/>
        <v>2024</v>
      </c>
      <c r="E993" s="23" t="str">
        <f t="shared" si="47"/>
        <v>Q2</v>
      </c>
      <c r="F993" t="s">
        <v>3596</v>
      </c>
      <c r="G993" s="24" t="s">
        <v>73</v>
      </c>
      <c r="H993" s="17">
        <v>5</v>
      </c>
      <c r="I993" s="19">
        <v>127.18</v>
      </c>
      <c r="J993" t="s">
        <v>580</v>
      </c>
      <c r="K993" s="24" t="s">
        <v>18</v>
      </c>
      <c r="L993" s="24" t="s">
        <v>35</v>
      </c>
      <c r="M993" t="s">
        <v>3597</v>
      </c>
      <c r="N993" s="17">
        <v>10</v>
      </c>
      <c r="O993" t="s">
        <v>37</v>
      </c>
      <c r="P993" s="24" t="s">
        <v>76</v>
      </c>
      <c r="Q993" s="19">
        <v>635.9</v>
      </c>
    </row>
    <row r="994" spans="1:17">
      <c r="A994" t="s">
        <v>3598</v>
      </c>
      <c r="B994" s="23">
        <v>45531</v>
      </c>
      <c r="C994" s="23" t="str">
        <f t="shared" si="45"/>
        <v>Aug</v>
      </c>
      <c r="D994" s="23" t="str">
        <f t="shared" si="46"/>
        <v>2024</v>
      </c>
      <c r="E994" s="23" t="str">
        <f t="shared" si="47"/>
        <v>Q3</v>
      </c>
      <c r="F994" t="s">
        <v>3599</v>
      </c>
      <c r="G994" s="24" t="s">
        <v>48</v>
      </c>
      <c r="H994" s="17">
        <v>3</v>
      </c>
      <c r="I994" s="19">
        <v>586.21</v>
      </c>
      <c r="J994" t="s">
        <v>603</v>
      </c>
      <c r="K994" s="24" t="s">
        <v>60</v>
      </c>
      <c r="L994" s="24" t="s">
        <v>89</v>
      </c>
      <c r="M994" t="s">
        <v>3600</v>
      </c>
      <c r="N994" s="17">
        <v>4</v>
      </c>
      <c r="O994" t="s">
        <v>81</v>
      </c>
      <c r="P994" s="24" t="s">
        <v>29</v>
      </c>
      <c r="Q994" s="19">
        <v>1758.63</v>
      </c>
    </row>
    <row r="995" spans="1:17">
      <c r="A995" t="s">
        <v>3601</v>
      </c>
      <c r="B995" s="23">
        <v>45388</v>
      </c>
      <c r="C995" s="23" t="str">
        <f t="shared" si="45"/>
        <v>Apr</v>
      </c>
      <c r="D995" s="23" t="str">
        <f t="shared" si="46"/>
        <v>2024</v>
      </c>
      <c r="E995" s="23" t="str">
        <f t="shared" si="47"/>
        <v>Q2</v>
      </c>
      <c r="F995" t="s">
        <v>3602</v>
      </c>
      <c r="G995" s="24" t="s">
        <v>16</v>
      </c>
      <c r="H995" s="17">
        <v>3</v>
      </c>
      <c r="I995" s="19">
        <v>267.45</v>
      </c>
      <c r="J995" t="s">
        <v>3603</v>
      </c>
      <c r="K995" s="24" t="s">
        <v>60</v>
      </c>
      <c r="L995" s="24" t="s">
        <v>50</v>
      </c>
      <c r="M995" t="s">
        <v>3604</v>
      </c>
      <c r="N995" s="17">
        <v>5</v>
      </c>
      <c r="O995" t="s">
        <v>81</v>
      </c>
      <c r="P995" s="24" t="s">
        <v>22</v>
      </c>
      <c r="Q995" s="19">
        <v>802.35</v>
      </c>
    </row>
    <row r="996" spans="1:17">
      <c r="A996" t="s">
        <v>3605</v>
      </c>
      <c r="B996" s="23">
        <v>45470</v>
      </c>
      <c r="C996" s="23" t="str">
        <f t="shared" si="45"/>
        <v>Jun</v>
      </c>
      <c r="D996" s="23" t="str">
        <f t="shared" si="46"/>
        <v>2024</v>
      </c>
      <c r="E996" s="23" t="str">
        <f t="shared" si="47"/>
        <v>Q2</v>
      </c>
      <c r="F996" t="s">
        <v>3606</v>
      </c>
      <c r="G996" s="24" t="s">
        <v>32</v>
      </c>
      <c r="H996" s="17">
        <v>4</v>
      </c>
      <c r="I996" s="19">
        <v>615.65</v>
      </c>
      <c r="J996" t="s">
        <v>363</v>
      </c>
      <c r="K996" s="24" t="s">
        <v>18</v>
      </c>
      <c r="L996" s="24" t="s">
        <v>50</v>
      </c>
      <c r="M996" t="s">
        <v>3607</v>
      </c>
      <c r="N996" s="17">
        <v>9</v>
      </c>
      <c r="O996" t="s">
        <v>81</v>
      </c>
      <c r="P996" s="24" t="s">
        <v>76</v>
      </c>
      <c r="Q996" s="19">
        <v>2462.6</v>
      </c>
    </row>
    <row r="997" spans="1:17">
      <c r="A997" t="s">
        <v>3608</v>
      </c>
      <c r="B997" s="23">
        <v>45248</v>
      </c>
      <c r="C997" s="23" t="str">
        <f t="shared" si="45"/>
        <v>Nov</v>
      </c>
      <c r="D997" s="23" t="str">
        <f t="shared" si="46"/>
        <v>2023</v>
      </c>
      <c r="E997" s="23" t="str">
        <f t="shared" si="47"/>
        <v>Q4</v>
      </c>
      <c r="F997" t="s">
        <v>3609</v>
      </c>
      <c r="G997" s="24" t="s">
        <v>16</v>
      </c>
      <c r="H997" s="17">
        <v>2</v>
      </c>
      <c r="I997" s="19">
        <v>113.29</v>
      </c>
      <c r="J997" t="s">
        <v>1992</v>
      </c>
      <c r="K997" s="24" t="s">
        <v>65</v>
      </c>
      <c r="L997" s="24" t="s">
        <v>89</v>
      </c>
      <c r="M997" t="s">
        <v>3610</v>
      </c>
      <c r="N997" s="17">
        <v>5</v>
      </c>
      <c r="O997" t="s">
        <v>21</v>
      </c>
      <c r="P997" s="24" t="s">
        <v>45</v>
      </c>
      <c r="Q997" s="19">
        <v>226.58</v>
      </c>
    </row>
    <row r="998" spans="1:17">
      <c r="A998" t="s">
        <v>3611</v>
      </c>
      <c r="B998" s="23">
        <v>45410</v>
      </c>
      <c r="C998" s="23" t="str">
        <f t="shared" si="45"/>
        <v>Apr</v>
      </c>
      <c r="D998" s="23" t="str">
        <f t="shared" si="46"/>
        <v>2024</v>
      </c>
      <c r="E998" s="23" t="str">
        <f t="shared" si="47"/>
        <v>Q2</v>
      </c>
      <c r="F998" t="s">
        <v>3612</v>
      </c>
      <c r="G998" s="24" t="s">
        <v>16</v>
      </c>
      <c r="H998" s="17">
        <v>4</v>
      </c>
      <c r="I998" s="19">
        <v>473.86</v>
      </c>
      <c r="J998" t="s">
        <v>1256</v>
      </c>
      <c r="K998" s="24" t="s">
        <v>18</v>
      </c>
      <c r="L998" s="24" t="s">
        <v>50</v>
      </c>
      <c r="M998" t="s">
        <v>3613</v>
      </c>
      <c r="N998" s="17">
        <v>7</v>
      </c>
      <c r="O998" t="s">
        <v>21</v>
      </c>
      <c r="P998" s="24" t="s">
        <v>45</v>
      </c>
      <c r="Q998" s="19">
        <v>1895.44</v>
      </c>
    </row>
    <row r="999" spans="1:17">
      <c r="A999" t="s">
        <v>3614</v>
      </c>
      <c r="B999" s="23">
        <v>45257</v>
      </c>
      <c r="C999" s="23" t="str">
        <f t="shared" si="45"/>
        <v>Nov</v>
      </c>
      <c r="D999" s="23" t="str">
        <f t="shared" si="46"/>
        <v>2023</v>
      </c>
      <c r="E999" s="23" t="str">
        <f t="shared" si="47"/>
        <v>Q4</v>
      </c>
      <c r="F999" t="s">
        <v>3615</v>
      </c>
      <c r="G999" s="24" t="s">
        <v>58</v>
      </c>
      <c r="H999" s="17">
        <v>3</v>
      </c>
      <c r="I999" s="19">
        <v>444.75</v>
      </c>
      <c r="J999" t="s">
        <v>1938</v>
      </c>
      <c r="K999" s="24" t="s">
        <v>65</v>
      </c>
      <c r="L999" s="24" t="s">
        <v>50</v>
      </c>
      <c r="M999" t="s">
        <v>3616</v>
      </c>
      <c r="N999" s="17">
        <v>6</v>
      </c>
      <c r="O999" t="s">
        <v>21</v>
      </c>
      <c r="P999" s="24" t="s">
        <v>45</v>
      </c>
      <c r="Q999" s="19">
        <v>1334.25</v>
      </c>
    </row>
    <row r="1000" spans="1:17">
      <c r="A1000" t="s">
        <v>3617</v>
      </c>
      <c r="B1000" s="23">
        <v>45065</v>
      </c>
      <c r="C1000" s="23" t="str">
        <f t="shared" si="45"/>
        <v>May</v>
      </c>
      <c r="D1000" s="23" t="str">
        <f t="shared" si="46"/>
        <v>2023</v>
      </c>
      <c r="E1000" s="23" t="str">
        <f t="shared" si="47"/>
        <v>Q2</v>
      </c>
      <c r="F1000" t="s">
        <v>3618</v>
      </c>
      <c r="G1000" s="24" t="s">
        <v>25</v>
      </c>
      <c r="H1000" s="17">
        <v>2</v>
      </c>
      <c r="I1000" s="19">
        <v>183.67</v>
      </c>
      <c r="J1000" t="s">
        <v>956</v>
      </c>
      <c r="K1000" s="24" t="s">
        <v>18</v>
      </c>
      <c r="L1000" s="24" t="s">
        <v>35</v>
      </c>
      <c r="M1000" t="s">
        <v>3619</v>
      </c>
      <c r="N1000" s="17">
        <v>6</v>
      </c>
      <c r="O1000" t="s">
        <v>21</v>
      </c>
      <c r="P1000" s="24" t="s">
        <v>76</v>
      </c>
      <c r="Q1000" s="19">
        <v>367.34</v>
      </c>
    </row>
    <row r="1001" spans="1:17">
      <c r="A1001" t="s">
        <v>3620</v>
      </c>
      <c r="B1001" s="23">
        <v>45284</v>
      </c>
      <c r="C1001" s="23" t="str">
        <f t="shared" si="45"/>
        <v>Dec</v>
      </c>
      <c r="D1001" s="23" t="str">
        <f t="shared" si="46"/>
        <v>2023</v>
      </c>
      <c r="E1001" s="23" t="str">
        <f t="shared" si="47"/>
        <v>Q4</v>
      </c>
      <c r="F1001" t="s">
        <v>3621</v>
      </c>
      <c r="G1001" s="24" t="s">
        <v>48</v>
      </c>
      <c r="H1001" s="17">
        <v>1</v>
      </c>
      <c r="I1001" s="19">
        <v>483.38</v>
      </c>
      <c r="J1001" t="s">
        <v>1620</v>
      </c>
      <c r="K1001" s="24" t="s">
        <v>65</v>
      </c>
      <c r="L1001" s="24" t="s">
        <v>89</v>
      </c>
      <c r="M1001" t="s">
        <v>3622</v>
      </c>
      <c r="N1001" s="17">
        <v>6</v>
      </c>
      <c r="O1001" t="s">
        <v>37</v>
      </c>
      <c r="P1001" s="24" t="s">
        <v>76</v>
      </c>
      <c r="Q1001" s="19">
        <v>483.38</v>
      </c>
    </row>
    <row r="1002" spans="1:17">
      <c r="A1002" t="s">
        <v>3623</v>
      </c>
      <c r="B1002" s="23">
        <v>45098</v>
      </c>
      <c r="C1002" s="23" t="str">
        <f t="shared" si="45"/>
        <v>Jun</v>
      </c>
      <c r="D1002" s="23" t="str">
        <f t="shared" si="46"/>
        <v>2023</v>
      </c>
      <c r="E1002" s="23" t="str">
        <f t="shared" si="47"/>
        <v>Q2</v>
      </c>
      <c r="F1002" t="s">
        <v>3624</v>
      </c>
      <c r="G1002" s="24" t="s">
        <v>48</v>
      </c>
      <c r="H1002" s="17">
        <v>5</v>
      </c>
      <c r="I1002" s="19">
        <v>260.93</v>
      </c>
      <c r="J1002" t="s">
        <v>3625</v>
      </c>
      <c r="K1002" s="24" t="s">
        <v>27</v>
      </c>
      <c r="L1002" s="24" t="s">
        <v>50</v>
      </c>
      <c r="M1002" t="s">
        <v>3626</v>
      </c>
      <c r="N1002" s="17">
        <v>9</v>
      </c>
      <c r="O1002" t="s">
        <v>21</v>
      </c>
      <c r="P1002" s="24" t="s">
        <v>38</v>
      </c>
      <c r="Q1002" s="19">
        <v>1304.65</v>
      </c>
    </row>
    <row r="1003" spans="1:17">
      <c r="A1003" t="s">
        <v>3627</v>
      </c>
      <c r="B1003" s="23">
        <v>45268</v>
      </c>
      <c r="C1003" s="23" t="str">
        <f t="shared" si="45"/>
        <v>Dec</v>
      </c>
      <c r="D1003" s="23" t="str">
        <f t="shared" si="46"/>
        <v>2023</v>
      </c>
      <c r="E1003" s="23" t="str">
        <f t="shared" si="47"/>
        <v>Q4</v>
      </c>
      <c r="F1003" t="s">
        <v>3628</v>
      </c>
      <c r="G1003" s="24" t="s">
        <v>48</v>
      </c>
      <c r="H1003" s="17">
        <v>2</v>
      </c>
      <c r="I1003" s="19">
        <v>253.68</v>
      </c>
      <c r="J1003" t="s">
        <v>494</v>
      </c>
      <c r="K1003" s="24" t="s">
        <v>60</v>
      </c>
      <c r="L1003" s="24" t="s">
        <v>19</v>
      </c>
      <c r="M1003" t="s">
        <v>3629</v>
      </c>
      <c r="N1003" s="17">
        <v>6</v>
      </c>
      <c r="O1003" t="s">
        <v>4295</v>
      </c>
      <c r="P1003" s="24" t="s">
        <v>29</v>
      </c>
      <c r="Q1003" s="19">
        <v>507.36</v>
      </c>
    </row>
    <row r="1004" spans="1:17">
      <c r="A1004" t="s">
        <v>3630</v>
      </c>
      <c r="B1004" s="23">
        <v>45827</v>
      </c>
      <c r="C1004" s="23" t="str">
        <f t="shared" si="45"/>
        <v>Jun</v>
      </c>
      <c r="D1004" s="23" t="str">
        <f t="shared" si="46"/>
        <v>2025</v>
      </c>
      <c r="E1004" s="23" t="str">
        <f t="shared" si="47"/>
        <v>Q2</v>
      </c>
      <c r="F1004" t="s">
        <v>3631</v>
      </c>
      <c r="G1004" s="24" t="s">
        <v>32</v>
      </c>
      <c r="H1004" s="17">
        <v>4</v>
      </c>
      <c r="I1004" s="19">
        <v>699.88</v>
      </c>
      <c r="J1004" t="s">
        <v>442</v>
      </c>
      <c r="K1004" s="24" t="s">
        <v>65</v>
      </c>
      <c r="L1004" s="24" t="s">
        <v>89</v>
      </c>
      <c r="M1004" t="s">
        <v>3632</v>
      </c>
      <c r="N1004" s="17">
        <v>5</v>
      </c>
      <c r="O1004" t="s">
        <v>81</v>
      </c>
      <c r="P1004" s="24" t="s">
        <v>29</v>
      </c>
      <c r="Q1004" s="19">
        <v>2799.52</v>
      </c>
    </row>
    <row r="1005" spans="1:17">
      <c r="A1005" t="s">
        <v>3633</v>
      </c>
      <c r="B1005" s="23">
        <v>44937</v>
      </c>
      <c r="C1005" s="23" t="str">
        <f t="shared" si="45"/>
        <v>Jan</v>
      </c>
      <c r="D1005" s="23" t="str">
        <f t="shared" si="46"/>
        <v>2023</v>
      </c>
      <c r="E1005" s="23" t="str">
        <f t="shared" si="47"/>
        <v>Q1</v>
      </c>
      <c r="F1005" t="s">
        <v>3634</v>
      </c>
      <c r="G1005" s="24" t="s">
        <v>48</v>
      </c>
      <c r="H1005" s="17">
        <v>5</v>
      </c>
      <c r="I1005" s="19">
        <v>319.97</v>
      </c>
      <c r="J1005" t="s">
        <v>3625</v>
      </c>
      <c r="K1005" s="24" t="s">
        <v>65</v>
      </c>
      <c r="L1005" s="24" t="s">
        <v>19</v>
      </c>
      <c r="M1005" t="s">
        <v>3635</v>
      </c>
      <c r="N1005" s="17">
        <v>7</v>
      </c>
      <c r="O1005" t="s">
        <v>21</v>
      </c>
      <c r="P1005" s="24" t="s">
        <v>76</v>
      </c>
      <c r="Q1005" s="19">
        <v>1599.85</v>
      </c>
    </row>
    <row r="1006" spans="1:17">
      <c r="A1006" t="s">
        <v>3636</v>
      </c>
      <c r="B1006" s="23">
        <v>45817</v>
      </c>
      <c r="C1006" s="23" t="str">
        <f t="shared" si="45"/>
        <v>Jun</v>
      </c>
      <c r="D1006" s="23" t="str">
        <f t="shared" si="46"/>
        <v>2025</v>
      </c>
      <c r="E1006" s="23" t="str">
        <f t="shared" si="47"/>
        <v>Q2</v>
      </c>
      <c r="F1006" t="s">
        <v>3637</v>
      </c>
      <c r="G1006" s="24" t="s">
        <v>41</v>
      </c>
      <c r="H1006" s="17">
        <v>4</v>
      </c>
      <c r="I1006" s="19">
        <v>246.91</v>
      </c>
      <c r="J1006" t="s">
        <v>145</v>
      </c>
      <c r="K1006" s="24" t="s">
        <v>27</v>
      </c>
      <c r="L1006" s="24" t="s">
        <v>89</v>
      </c>
      <c r="M1006" t="s">
        <v>3638</v>
      </c>
      <c r="N1006" s="17">
        <v>8</v>
      </c>
      <c r="O1006" t="s">
        <v>21</v>
      </c>
      <c r="P1006" s="24" t="s">
        <v>29</v>
      </c>
      <c r="Q1006" s="19">
        <v>987.64</v>
      </c>
    </row>
    <row r="1007" spans="1:17">
      <c r="A1007" t="s">
        <v>3639</v>
      </c>
      <c r="B1007" s="23">
        <v>44987</v>
      </c>
      <c r="C1007" s="23" t="str">
        <f t="shared" si="45"/>
        <v>Mar</v>
      </c>
      <c r="D1007" s="23" t="str">
        <f t="shared" si="46"/>
        <v>2023</v>
      </c>
      <c r="E1007" s="23" t="str">
        <f t="shared" si="47"/>
        <v>Q1</v>
      </c>
      <c r="F1007" t="s">
        <v>3640</v>
      </c>
      <c r="G1007" s="24" t="s">
        <v>48</v>
      </c>
      <c r="H1007" s="17">
        <v>3</v>
      </c>
      <c r="I1007" s="19">
        <v>392.85</v>
      </c>
      <c r="J1007" t="s">
        <v>2948</v>
      </c>
      <c r="K1007" s="24" t="s">
        <v>34</v>
      </c>
      <c r="L1007" s="24" t="s">
        <v>43</v>
      </c>
      <c r="M1007" t="s">
        <v>3641</v>
      </c>
      <c r="N1007" s="17">
        <v>6</v>
      </c>
      <c r="O1007" t="s">
        <v>4295</v>
      </c>
      <c r="P1007" s="24" t="s">
        <v>76</v>
      </c>
      <c r="Q1007" s="19">
        <v>1178.55</v>
      </c>
    </row>
    <row r="1008" spans="1:17">
      <c r="A1008" t="s">
        <v>3642</v>
      </c>
      <c r="B1008" s="23">
        <v>45439</v>
      </c>
      <c r="C1008" s="23" t="str">
        <f t="shared" si="45"/>
        <v>May</v>
      </c>
      <c r="D1008" s="23" t="str">
        <f t="shared" si="46"/>
        <v>2024</v>
      </c>
      <c r="E1008" s="23" t="str">
        <f t="shared" si="47"/>
        <v>Q2</v>
      </c>
      <c r="F1008" t="s">
        <v>3643</v>
      </c>
      <c r="G1008" s="24" t="s">
        <v>32</v>
      </c>
      <c r="H1008" s="17">
        <v>5</v>
      </c>
      <c r="I1008" s="19">
        <v>420.98</v>
      </c>
      <c r="J1008" t="s">
        <v>2519</v>
      </c>
      <c r="K1008" s="24" t="s">
        <v>65</v>
      </c>
      <c r="L1008" s="24" t="s">
        <v>50</v>
      </c>
      <c r="M1008" t="s">
        <v>3644</v>
      </c>
      <c r="N1008" s="17">
        <v>7</v>
      </c>
      <c r="O1008" t="s">
        <v>21</v>
      </c>
      <c r="P1008" s="24" t="s">
        <v>45</v>
      </c>
      <c r="Q1008" s="19">
        <v>2104.9</v>
      </c>
    </row>
    <row r="1009" spans="1:17">
      <c r="A1009" t="s">
        <v>3645</v>
      </c>
      <c r="B1009" s="23">
        <v>45371</v>
      </c>
      <c r="C1009" s="23" t="str">
        <f t="shared" si="45"/>
        <v>Mar</v>
      </c>
      <c r="D1009" s="23" t="str">
        <f t="shared" si="46"/>
        <v>2024</v>
      </c>
      <c r="E1009" s="23" t="str">
        <f t="shared" si="47"/>
        <v>Q1</v>
      </c>
      <c r="F1009" t="s">
        <v>1868</v>
      </c>
      <c r="G1009" s="24" t="s">
        <v>16</v>
      </c>
      <c r="H1009" s="17">
        <v>2</v>
      </c>
      <c r="I1009" s="19">
        <v>73.26</v>
      </c>
      <c r="J1009" t="s">
        <v>415</v>
      </c>
      <c r="K1009" s="24" t="s">
        <v>65</v>
      </c>
      <c r="L1009" s="24" t="s">
        <v>89</v>
      </c>
      <c r="M1009" t="s">
        <v>3646</v>
      </c>
      <c r="N1009" s="17">
        <v>4</v>
      </c>
      <c r="O1009" t="s">
        <v>81</v>
      </c>
      <c r="P1009" s="24" t="s">
        <v>45</v>
      </c>
      <c r="Q1009" s="19">
        <v>146.52</v>
      </c>
    </row>
    <row r="1010" spans="1:17">
      <c r="A1010" t="s">
        <v>3647</v>
      </c>
      <c r="B1010" s="23">
        <v>44939</v>
      </c>
      <c r="C1010" s="23" t="str">
        <f t="shared" si="45"/>
        <v>Jan</v>
      </c>
      <c r="D1010" s="23" t="str">
        <f t="shared" si="46"/>
        <v>2023</v>
      </c>
      <c r="E1010" s="23" t="str">
        <f t="shared" si="47"/>
        <v>Q1</v>
      </c>
      <c r="F1010" t="s">
        <v>3648</v>
      </c>
      <c r="G1010" s="24" t="s">
        <v>16</v>
      </c>
      <c r="H1010" s="17">
        <v>3</v>
      </c>
      <c r="I1010" s="19">
        <v>410.88</v>
      </c>
      <c r="J1010" t="s">
        <v>2866</v>
      </c>
      <c r="K1010" s="24" t="s">
        <v>65</v>
      </c>
      <c r="L1010" s="24" t="s">
        <v>50</v>
      </c>
      <c r="M1010" t="s">
        <v>3649</v>
      </c>
      <c r="N1010" s="17">
        <v>8</v>
      </c>
      <c r="O1010" t="s">
        <v>37</v>
      </c>
      <c r="P1010" s="24" t="s">
        <v>22</v>
      </c>
      <c r="Q1010" s="19">
        <v>1232.64</v>
      </c>
    </row>
    <row r="1011" spans="1:17">
      <c r="A1011" t="s">
        <v>3650</v>
      </c>
      <c r="B1011" s="23">
        <v>45171</v>
      </c>
      <c r="C1011" s="23" t="str">
        <f t="shared" si="45"/>
        <v>Sep</v>
      </c>
      <c r="D1011" s="23" t="str">
        <f t="shared" si="46"/>
        <v>2023</v>
      </c>
      <c r="E1011" s="23" t="str">
        <f t="shared" si="47"/>
        <v>Q3</v>
      </c>
      <c r="F1011" t="s">
        <v>3651</v>
      </c>
      <c r="G1011" s="24" t="s">
        <v>32</v>
      </c>
      <c r="H1011" s="17">
        <v>2</v>
      </c>
      <c r="I1011" s="19">
        <v>176.46</v>
      </c>
      <c r="J1011" t="s">
        <v>1945</v>
      </c>
      <c r="K1011" s="24" t="s">
        <v>34</v>
      </c>
      <c r="L1011" s="24" t="s">
        <v>50</v>
      </c>
      <c r="M1011" t="s">
        <v>3652</v>
      </c>
      <c r="N1011" s="17">
        <v>2</v>
      </c>
      <c r="O1011" t="s">
        <v>37</v>
      </c>
      <c r="P1011" s="24" t="s">
        <v>38</v>
      </c>
      <c r="Q1011" s="19">
        <v>352.92</v>
      </c>
    </row>
    <row r="1012" spans="1:17">
      <c r="A1012" t="s">
        <v>3653</v>
      </c>
      <c r="B1012" s="23">
        <v>45016</v>
      </c>
      <c r="C1012" s="23" t="str">
        <f t="shared" si="45"/>
        <v>Mar</v>
      </c>
      <c r="D1012" s="23" t="str">
        <f t="shared" si="46"/>
        <v>2023</v>
      </c>
      <c r="E1012" s="23" t="str">
        <f t="shared" si="47"/>
        <v>Q1</v>
      </c>
      <c r="F1012" t="s">
        <v>3654</v>
      </c>
      <c r="G1012" s="24" t="s">
        <v>16</v>
      </c>
      <c r="H1012" s="17">
        <v>3</v>
      </c>
      <c r="I1012" s="19">
        <v>659.57</v>
      </c>
      <c r="J1012" t="s">
        <v>426</v>
      </c>
      <c r="K1012" s="24" t="s">
        <v>34</v>
      </c>
      <c r="L1012" s="24" t="s">
        <v>35</v>
      </c>
      <c r="M1012" t="s">
        <v>3655</v>
      </c>
      <c r="N1012" s="17">
        <v>6</v>
      </c>
      <c r="O1012" t="s">
        <v>21</v>
      </c>
      <c r="P1012" s="24" t="s">
        <v>38</v>
      </c>
      <c r="Q1012" s="19">
        <v>1978.71</v>
      </c>
    </row>
    <row r="1013" spans="1:17">
      <c r="A1013" t="s">
        <v>3656</v>
      </c>
      <c r="B1013" s="23">
        <v>45629</v>
      </c>
      <c r="C1013" s="23" t="str">
        <f t="shared" si="45"/>
        <v>Dec</v>
      </c>
      <c r="D1013" s="23" t="str">
        <f t="shared" si="46"/>
        <v>2024</v>
      </c>
      <c r="E1013" s="23" t="str">
        <f t="shared" si="47"/>
        <v>Q4</v>
      </c>
      <c r="F1013" t="s">
        <v>3657</v>
      </c>
      <c r="G1013" s="24" t="s">
        <v>25</v>
      </c>
      <c r="H1013" s="17">
        <v>2</v>
      </c>
      <c r="I1013" s="19">
        <v>478.36</v>
      </c>
      <c r="J1013" t="s">
        <v>1105</v>
      </c>
      <c r="K1013" s="24" t="s">
        <v>27</v>
      </c>
      <c r="L1013" s="24" t="s">
        <v>19</v>
      </c>
      <c r="M1013" t="s">
        <v>3658</v>
      </c>
      <c r="N1013" s="17">
        <v>3</v>
      </c>
      <c r="O1013" t="s">
        <v>4295</v>
      </c>
      <c r="P1013" s="24" t="s">
        <v>76</v>
      </c>
      <c r="Q1013" s="19">
        <v>956.72</v>
      </c>
    </row>
    <row r="1014" spans="1:17">
      <c r="A1014" t="s">
        <v>3659</v>
      </c>
      <c r="B1014" s="23">
        <v>45629</v>
      </c>
      <c r="C1014" s="23" t="str">
        <f t="shared" si="45"/>
        <v>Dec</v>
      </c>
      <c r="D1014" s="23" t="str">
        <f t="shared" si="46"/>
        <v>2024</v>
      </c>
      <c r="E1014" s="23" t="str">
        <f t="shared" si="47"/>
        <v>Q4</v>
      </c>
      <c r="F1014" t="s">
        <v>3660</v>
      </c>
      <c r="G1014" s="24" t="s">
        <v>48</v>
      </c>
      <c r="H1014" s="17">
        <v>4</v>
      </c>
      <c r="I1014" s="19">
        <v>30.05</v>
      </c>
      <c r="J1014" t="s">
        <v>1252</v>
      </c>
      <c r="K1014" s="24" t="s">
        <v>27</v>
      </c>
      <c r="L1014" s="24" t="s">
        <v>43</v>
      </c>
      <c r="M1014" t="s">
        <v>3661</v>
      </c>
      <c r="N1014" s="17">
        <v>6</v>
      </c>
      <c r="O1014" t="s">
        <v>4295</v>
      </c>
      <c r="P1014" s="24" t="s">
        <v>45</v>
      </c>
      <c r="Q1014" s="19">
        <v>120.2</v>
      </c>
    </row>
    <row r="1015" spans="1:17">
      <c r="A1015" t="s">
        <v>3662</v>
      </c>
      <c r="B1015" s="23">
        <v>45773</v>
      </c>
      <c r="C1015" s="23" t="str">
        <f t="shared" si="45"/>
        <v>Apr</v>
      </c>
      <c r="D1015" s="23" t="str">
        <f t="shared" si="46"/>
        <v>2025</v>
      </c>
      <c r="E1015" s="23" t="str">
        <f t="shared" si="47"/>
        <v>Q2</v>
      </c>
      <c r="F1015" t="s">
        <v>3663</v>
      </c>
      <c r="G1015" s="24" t="s">
        <v>58</v>
      </c>
      <c r="H1015" s="17">
        <v>4</v>
      </c>
      <c r="I1015" s="19">
        <v>300.56</v>
      </c>
      <c r="J1015" t="s">
        <v>265</v>
      </c>
      <c r="K1015" s="24" t="s">
        <v>65</v>
      </c>
      <c r="L1015" s="24" t="s">
        <v>35</v>
      </c>
      <c r="M1015" t="s">
        <v>3664</v>
      </c>
      <c r="N1015" s="17">
        <v>9</v>
      </c>
      <c r="O1015" t="s">
        <v>37</v>
      </c>
      <c r="P1015" s="24" t="s">
        <v>45</v>
      </c>
      <c r="Q1015" s="19">
        <v>1202.24</v>
      </c>
    </row>
    <row r="1016" spans="1:17">
      <c r="A1016" t="s">
        <v>3665</v>
      </c>
      <c r="B1016" s="23">
        <v>45326</v>
      </c>
      <c r="C1016" s="23" t="str">
        <f t="shared" si="45"/>
        <v>Feb</v>
      </c>
      <c r="D1016" s="23" t="str">
        <f t="shared" si="46"/>
        <v>2024</v>
      </c>
      <c r="E1016" s="23" t="str">
        <f t="shared" si="47"/>
        <v>Q1</v>
      </c>
      <c r="F1016" t="s">
        <v>3666</v>
      </c>
      <c r="G1016" s="24" t="s">
        <v>32</v>
      </c>
      <c r="H1016" s="17">
        <v>5</v>
      </c>
      <c r="I1016" s="19">
        <v>226.45</v>
      </c>
      <c r="J1016" t="s">
        <v>1743</v>
      </c>
      <c r="K1016" s="24" t="s">
        <v>18</v>
      </c>
      <c r="L1016" s="24" t="s">
        <v>43</v>
      </c>
      <c r="M1016" t="s">
        <v>3667</v>
      </c>
      <c r="N1016" s="17">
        <v>6</v>
      </c>
      <c r="O1016" t="s">
        <v>37</v>
      </c>
      <c r="P1016" s="24" t="s">
        <v>38</v>
      </c>
      <c r="Q1016" s="19">
        <v>1132.25</v>
      </c>
    </row>
    <row r="1017" spans="1:17">
      <c r="A1017" t="s">
        <v>3668</v>
      </c>
      <c r="B1017" s="23">
        <v>45317</v>
      </c>
      <c r="C1017" s="23" t="str">
        <f t="shared" si="45"/>
        <v>Jan</v>
      </c>
      <c r="D1017" s="23" t="str">
        <f t="shared" si="46"/>
        <v>2024</v>
      </c>
      <c r="E1017" s="23" t="str">
        <f t="shared" si="47"/>
        <v>Q1</v>
      </c>
      <c r="F1017" t="s">
        <v>3669</v>
      </c>
      <c r="G1017" s="24" t="s">
        <v>48</v>
      </c>
      <c r="H1017" s="17">
        <v>2</v>
      </c>
      <c r="I1017" s="19">
        <v>349.4</v>
      </c>
      <c r="J1017" t="s">
        <v>2283</v>
      </c>
      <c r="K1017" s="24" t="s">
        <v>27</v>
      </c>
      <c r="L1017" s="24" t="s">
        <v>19</v>
      </c>
      <c r="M1017" t="s">
        <v>3670</v>
      </c>
      <c r="N1017" s="17">
        <v>2</v>
      </c>
      <c r="O1017" t="s">
        <v>21</v>
      </c>
      <c r="P1017" s="24" t="s">
        <v>22</v>
      </c>
      <c r="Q1017" s="19">
        <v>698.8</v>
      </c>
    </row>
    <row r="1018" spans="1:17">
      <c r="A1018" t="s">
        <v>3671</v>
      </c>
      <c r="B1018" s="23">
        <v>45289</v>
      </c>
      <c r="C1018" s="23" t="str">
        <f t="shared" si="45"/>
        <v>Dec</v>
      </c>
      <c r="D1018" s="23" t="str">
        <f t="shared" si="46"/>
        <v>2023</v>
      </c>
      <c r="E1018" s="23" t="str">
        <f t="shared" si="47"/>
        <v>Q4</v>
      </c>
      <c r="F1018" t="s">
        <v>3672</v>
      </c>
      <c r="G1018" s="24" t="s">
        <v>32</v>
      </c>
      <c r="H1018" s="17">
        <v>5</v>
      </c>
      <c r="I1018" s="19">
        <v>268.78</v>
      </c>
      <c r="J1018" t="s">
        <v>3673</v>
      </c>
      <c r="K1018" s="24" t="s">
        <v>18</v>
      </c>
      <c r="L1018" s="24" t="s">
        <v>50</v>
      </c>
      <c r="M1018" t="s">
        <v>3674</v>
      </c>
      <c r="N1018" s="17">
        <v>7</v>
      </c>
      <c r="O1018" t="s">
        <v>81</v>
      </c>
      <c r="P1018" s="24" t="s">
        <v>38</v>
      </c>
      <c r="Q1018" s="19">
        <v>1343.9</v>
      </c>
    </row>
    <row r="1019" spans="1:17">
      <c r="A1019" t="s">
        <v>3675</v>
      </c>
      <c r="B1019" s="23">
        <v>45529</v>
      </c>
      <c r="C1019" s="23" t="str">
        <f t="shared" si="45"/>
        <v>Aug</v>
      </c>
      <c r="D1019" s="23" t="str">
        <f t="shared" si="46"/>
        <v>2024</v>
      </c>
      <c r="E1019" s="23" t="str">
        <f t="shared" si="47"/>
        <v>Q3</v>
      </c>
      <c r="F1019" t="s">
        <v>3676</v>
      </c>
      <c r="G1019" s="24" t="s">
        <v>41</v>
      </c>
      <c r="H1019" s="17">
        <v>2</v>
      </c>
      <c r="I1019" s="19">
        <v>680.85</v>
      </c>
      <c r="J1019" t="s">
        <v>3677</v>
      </c>
      <c r="K1019" s="24" t="s">
        <v>60</v>
      </c>
      <c r="L1019" s="24" t="s">
        <v>50</v>
      </c>
      <c r="M1019" t="s">
        <v>3678</v>
      </c>
      <c r="N1019" s="17">
        <v>6</v>
      </c>
      <c r="O1019" t="s">
        <v>37</v>
      </c>
      <c r="P1019" s="24" t="s">
        <v>29</v>
      </c>
      <c r="Q1019" s="19">
        <v>1361.7</v>
      </c>
    </row>
    <row r="1020" spans="1:17">
      <c r="A1020" t="s">
        <v>3679</v>
      </c>
      <c r="B1020" s="23">
        <v>45115</v>
      </c>
      <c r="C1020" s="23" t="str">
        <f t="shared" si="45"/>
        <v>Jul</v>
      </c>
      <c r="D1020" s="23" t="str">
        <f t="shared" si="46"/>
        <v>2023</v>
      </c>
      <c r="E1020" s="23" t="str">
        <f t="shared" si="47"/>
        <v>Q3</v>
      </c>
      <c r="F1020" t="s">
        <v>3680</v>
      </c>
      <c r="G1020" s="24" t="s">
        <v>58</v>
      </c>
      <c r="H1020" s="17">
        <v>3</v>
      </c>
      <c r="I1020" s="19">
        <v>182.48</v>
      </c>
      <c r="J1020" t="s">
        <v>3681</v>
      </c>
      <c r="K1020" s="24" t="s">
        <v>65</v>
      </c>
      <c r="L1020" s="24" t="s">
        <v>50</v>
      </c>
      <c r="M1020" t="s">
        <v>3682</v>
      </c>
      <c r="N1020" s="17">
        <v>3</v>
      </c>
      <c r="O1020" t="s">
        <v>4295</v>
      </c>
      <c r="P1020" s="24" t="s">
        <v>22</v>
      </c>
      <c r="Q1020" s="19">
        <v>547.44</v>
      </c>
    </row>
    <row r="1021" spans="1:17">
      <c r="A1021" t="s">
        <v>3683</v>
      </c>
      <c r="B1021" s="23">
        <v>45388</v>
      </c>
      <c r="C1021" s="23" t="str">
        <f t="shared" si="45"/>
        <v>Apr</v>
      </c>
      <c r="D1021" s="23" t="str">
        <f t="shared" si="46"/>
        <v>2024</v>
      </c>
      <c r="E1021" s="23" t="str">
        <f t="shared" si="47"/>
        <v>Q2</v>
      </c>
      <c r="F1021" t="s">
        <v>3684</v>
      </c>
      <c r="G1021" s="24" t="s">
        <v>73</v>
      </c>
      <c r="H1021" s="17">
        <v>1</v>
      </c>
      <c r="I1021" s="19">
        <v>277.09</v>
      </c>
      <c r="J1021" t="s">
        <v>1348</v>
      </c>
      <c r="K1021" s="24" t="s">
        <v>65</v>
      </c>
      <c r="L1021" s="24" t="s">
        <v>43</v>
      </c>
      <c r="M1021" t="s">
        <v>3685</v>
      </c>
      <c r="N1021" s="17">
        <v>2</v>
      </c>
      <c r="O1021" t="s">
        <v>21</v>
      </c>
      <c r="P1021" s="24" t="s">
        <v>29</v>
      </c>
      <c r="Q1021" s="19">
        <v>277.09</v>
      </c>
    </row>
    <row r="1022" spans="1:17">
      <c r="A1022" t="s">
        <v>3686</v>
      </c>
      <c r="B1022" s="23">
        <v>45404</v>
      </c>
      <c r="C1022" s="23" t="str">
        <f t="shared" si="45"/>
        <v>Apr</v>
      </c>
      <c r="D1022" s="23" t="str">
        <f t="shared" si="46"/>
        <v>2024</v>
      </c>
      <c r="E1022" s="23" t="str">
        <f t="shared" si="47"/>
        <v>Q2</v>
      </c>
      <c r="F1022" t="s">
        <v>3687</v>
      </c>
      <c r="G1022" s="24" t="s">
        <v>32</v>
      </c>
      <c r="H1022" s="17">
        <v>2</v>
      </c>
      <c r="I1022" s="19">
        <v>26.5</v>
      </c>
      <c r="J1022" t="s">
        <v>1431</v>
      </c>
      <c r="K1022" s="24" t="s">
        <v>27</v>
      </c>
      <c r="L1022" s="24" t="s">
        <v>50</v>
      </c>
      <c r="M1022" t="s">
        <v>3688</v>
      </c>
      <c r="N1022" s="17">
        <v>3</v>
      </c>
      <c r="O1022" t="s">
        <v>21</v>
      </c>
      <c r="P1022" s="24" t="s">
        <v>22</v>
      </c>
      <c r="Q1022" s="19">
        <v>53</v>
      </c>
    </row>
    <row r="1023" spans="1:17">
      <c r="A1023" t="s">
        <v>3689</v>
      </c>
      <c r="B1023" s="23">
        <v>45222</v>
      </c>
      <c r="C1023" s="23" t="str">
        <f t="shared" si="45"/>
        <v>Oct</v>
      </c>
      <c r="D1023" s="23" t="str">
        <f t="shared" si="46"/>
        <v>2023</v>
      </c>
      <c r="E1023" s="23" t="str">
        <f t="shared" si="47"/>
        <v>Q4</v>
      </c>
      <c r="F1023" t="s">
        <v>3690</v>
      </c>
      <c r="G1023" s="24" t="s">
        <v>25</v>
      </c>
      <c r="H1023" s="17">
        <v>3</v>
      </c>
      <c r="I1023" s="19">
        <v>315.27</v>
      </c>
      <c r="J1023" t="s">
        <v>3192</v>
      </c>
      <c r="K1023" s="24" t="s">
        <v>34</v>
      </c>
      <c r="L1023" s="24" t="s">
        <v>35</v>
      </c>
      <c r="M1023" t="s">
        <v>3691</v>
      </c>
      <c r="N1023" s="17">
        <v>4</v>
      </c>
      <c r="O1023" t="s">
        <v>21</v>
      </c>
      <c r="P1023" s="24" t="s">
        <v>38</v>
      </c>
      <c r="Q1023" s="19">
        <v>945.81</v>
      </c>
    </row>
    <row r="1024" spans="1:17">
      <c r="A1024" t="s">
        <v>3692</v>
      </c>
      <c r="B1024" s="23">
        <v>45712</v>
      </c>
      <c r="C1024" s="23" t="str">
        <f t="shared" si="45"/>
        <v>Feb</v>
      </c>
      <c r="D1024" s="23" t="str">
        <f t="shared" si="46"/>
        <v>2025</v>
      </c>
      <c r="E1024" s="23" t="str">
        <f t="shared" si="47"/>
        <v>Q1</v>
      </c>
      <c r="F1024" t="s">
        <v>3693</v>
      </c>
      <c r="G1024" s="24" t="s">
        <v>32</v>
      </c>
      <c r="H1024" s="17">
        <v>3</v>
      </c>
      <c r="I1024" s="19">
        <v>450.98</v>
      </c>
      <c r="J1024" t="s">
        <v>2579</v>
      </c>
      <c r="K1024" s="24" t="s">
        <v>34</v>
      </c>
      <c r="L1024" s="24" t="s">
        <v>19</v>
      </c>
      <c r="M1024" t="s">
        <v>3694</v>
      </c>
      <c r="N1024" s="17">
        <v>8</v>
      </c>
      <c r="O1024" t="s">
        <v>21</v>
      </c>
      <c r="P1024" s="24" t="s">
        <v>29</v>
      </c>
      <c r="Q1024" s="19">
        <v>1352.94</v>
      </c>
    </row>
    <row r="1025" spans="1:17">
      <c r="A1025" t="s">
        <v>3695</v>
      </c>
      <c r="B1025" s="23">
        <v>45558</v>
      </c>
      <c r="C1025" s="23" t="str">
        <f t="shared" si="45"/>
        <v>Sep</v>
      </c>
      <c r="D1025" s="23" t="str">
        <f t="shared" si="46"/>
        <v>2024</v>
      </c>
      <c r="E1025" s="23" t="str">
        <f t="shared" si="47"/>
        <v>Q3</v>
      </c>
      <c r="F1025" t="s">
        <v>3696</v>
      </c>
      <c r="G1025" s="24" t="s">
        <v>58</v>
      </c>
      <c r="H1025" s="17">
        <v>5</v>
      </c>
      <c r="I1025" s="19">
        <v>233.67</v>
      </c>
      <c r="J1025" t="s">
        <v>391</v>
      </c>
      <c r="K1025" s="24" t="s">
        <v>65</v>
      </c>
      <c r="L1025" s="24" t="s">
        <v>19</v>
      </c>
      <c r="M1025" t="s">
        <v>3697</v>
      </c>
      <c r="N1025" s="17">
        <v>10</v>
      </c>
      <c r="O1025" t="s">
        <v>4295</v>
      </c>
      <c r="P1025" s="24" t="s">
        <v>29</v>
      </c>
      <c r="Q1025" s="19">
        <v>1168.35</v>
      </c>
    </row>
    <row r="1026" spans="1:17">
      <c r="A1026" t="s">
        <v>3698</v>
      </c>
      <c r="B1026" s="23">
        <v>45320</v>
      </c>
      <c r="C1026" s="23" t="str">
        <f t="shared" ref="C1026:C1089" si="48">TEXT(B1026,"MMM")</f>
        <v>Jan</v>
      </c>
      <c r="D1026" s="23" t="str">
        <f t="shared" ref="D1026:D1089" si="49">TEXT(B1026,"YYYY")</f>
        <v>2024</v>
      </c>
      <c r="E1026" s="23" t="str">
        <f t="shared" ref="E1026:E1089" si="50">"Q"&amp;ROUNDUP(MONTH(B1026)/3,0)</f>
        <v>Q1</v>
      </c>
      <c r="F1026" t="s">
        <v>3699</v>
      </c>
      <c r="G1026" s="24" t="s">
        <v>41</v>
      </c>
      <c r="H1026" s="17">
        <v>3</v>
      </c>
      <c r="I1026" s="19">
        <v>367.75</v>
      </c>
      <c r="J1026" t="s">
        <v>1786</v>
      </c>
      <c r="K1026" s="24" t="s">
        <v>65</v>
      </c>
      <c r="L1026" s="24" t="s">
        <v>89</v>
      </c>
      <c r="M1026" t="s">
        <v>3700</v>
      </c>
      <c r="N1026" s="17">
        <v>7</v>
      </c>
      <c r="O1026" t="s">
        <v>37</v>
      </c>
      <c r="P1026" s="24" t="s">
        <v>45</v>
      </c>
      <c r="Q1026" s="19">
        <v>1103.25</v>
      </c>
    </row>
    <row r="1027" spans="1:17">
      <c r="A1027" t="s">
        <v>3701</v>
      </c>
      <c r="B1027" s="23">
        <v>45794</v>
      </c>
      <c r="C1027" s="23" t="str">
        <f t="shared" si="48"/>
        <v>May</v>
      </c>
      <c r="D1027" s="23" t="str">
        <f t="shared" si="49"/>
        <v>2025</v>
      </c>
      <c r="E1027" s="23" t="str">
        <f t="shared" si="50"/>
        <v>Q2</v>
      </c>
      <c r="F1027" t="s">
        <v>3702</v>
      </c>
      <c r="G1027" s="24" t="s">
        <v>41</v>
      </c>
      <c r="H1027" s="17">
        <v>1</v>
      </c>
      <c r="I1027" s="19">
        <v>23.53</v>
      </c>
      <c r="J1027" t="s">
        <v>626</v>
      </c>
      <c r="K1027" s="24" t="s">
        <v>60</v>
      </c>
      <c r="L1027" s="24" t="s">
        <v>50</v>
      </c>
      <c r="M1027" t="s">
        <v>3703</v>
      </c>
      <c r="N1027" s="17">
        <v>2</v>
      </c>
      <c r="O1027" t="s">
        <v>37</v>
      </c>
      <c r="P1027" s="24" t="s">
        <v>22</v>
      </c>
      <c r="Q1027" s="19">
        <v>23.53</v>
      </c>
    </row>
    <row r="1028" spans="1:17">
      <c r="A1028" t="s">
        <v>3704</v>
      </c>
      <c r="B1028" s="23">
        <v>45047</v>
      </c>
      <c r="C1028" s="23" t="str">
        <f t="shared" si="48"/>
        <v>May</v>
      </c>
      <c r="D1028" s="23" t="str">
        <f t="shared" si="49"/>
        <v>2023</v>
      </c>
      <c r="E1028" s="23" t="str">
        <f t="shared" si="50"/>
        <v>Q2</v>
      </c>
      <c r="F1028" t="s">
        <v>3705</v>
      </c>
      <c r="G1028" s="24" t="s">
        <v>16</v>
      </c>
      <c r="H1028" s="17">
        <v>1</v>
      </c>
      <c r="I1028" s="19">
        <v>677.48</v>
      </c>
      <c r="J1028" t="s">
        <v>506</v>
      </c>
      <c r="K1028" s="24" t="s">
        <v>27</v>
      </c>
      <c r="L1028" s="24" t="s">
        <v>50</v>
      </c>
      <c r="M1028" t="s">
        <v>3706</v>
      </c>
      <c r="N1028" s="17">
        <v>1</v>
      </c>
      <c r="O1028" t="s">
        <v>81</v>
      </c>
      <c r="P1028" s="24" t="s">
        <v>45</v>
      </c>
      <c r="Q1028" s="19">
        <v>677.48</v>
      </c>
    </row>
    <row r="1029" spans="1:17">
      <c r="A1029" t="s">
        <v>3707</v>
      </c>
      <c r="B1029" s="23">
        <v>45433</v>
      </c>
      <c r="C1029" s="23" t="str">
        <f t="shared" si="48"/>
        <v>May</v>
      </c>
      <c r="D1029" s="23" t="str">
        <f t="shared" si="49"/>
        <v>2024</v>
      </c>
      <c r="E1029" s="23" t="str">
        <f t="shared" si="50"/>
        <v>Q2</v>
      </c>
      <c r="F1029" t="s">
        <v>3708</v>
      </c>
      <c r="G1029" s="24" t="s">
        <v>58</v>
      </c>
      <c r="H1029" s="17">
        <v>4</v>
      </c>
      <c r="I1029" s="19">
        <v>554.83</v>
      </c>
      <c r="J1029" t="s">
        <v>2798</v>
      </c>
      <c r="K1029" s="24" t="s">
        <v>65</v>
      </c>
      <c r="L1029" s="24" t="s">
        <v>43</v>
      </c>
      <c r="M1029" t="s">
        <v>3709</v>
      </c>
      <c r="N1029" s="17">
        <v>6</v>
      </c>
      <c r="O1029" t="s">
        <v>4295</v>
      </c>
      <c r="P1029" s="24" t="s">
        <v>76</v>
      </c>
      <c r="Q1029" s="19">
        <v>2219.32</v>
      </c>
    </row>
    <row r="1030" spans="1:17">
      <c r="A1030" t="s">
        <v>3710</v>
      </c>
      <c r="B1030" s="23">
        <v>44974</v>
      </c>
      <c r="C1030" s="23" t="str">
        <f t="shared" si="48"/>
        <v>Feb</v>
      </c>
      <c r="D1030" s="23" t="str">
        <f t="shared" si="49"/>
        <v>2023</v>
      </c>
      <c r="E1030" s="23" t="str">
        <f t="shared" si="50"/>
        <v>Q1</v>
      </c>
      <c r="F1030" t="s">
        <v>3711</v>
      </c>
      <c r="G1030" s="24" t="s">
        <v>73</v>
      </c>
      <c r="H1030" s="17">
        <v>4</v>
      </c>
      <c r="I1030" s="19">
        <v>440.31</v>
      </c>
      <c r="J1030" t="s">
        <v>937</v>
      </c>
      <c r="K1030" s="24" t="s">
        <v>65</v>
      </c>
      <c r="L1030" s="24" t="s">
        <v>35</v>
      </c>
      <c r="M1030" t="s">
        <v>3712</v>
      </c>
      <c r="N1030" s="17">
        <v>6</v>
      </c>
      <c r="O1030" t="s">
        <v>4295</v>
      </c>
      <c r="P1030" s="24" t="s">
        <v>22</v>
      </c>
      <c r="Q1030" s="19">
        <v>1761.24</v>
      </c>
    </row>
    <row r="1031" spans="1:17">
      <c r="A1031" t="s">
        <v>3713</v>
      </c>
      <c r="B1031" s="23">
        <v>45717</v>
      </c>
      <c r="C1031" s="23" t="str">
        <f t="shared" si="48"/>
        <v>Mar</v>
      </c>
      <c r="D1031" s="23" t="str">
        <f t="shared" si="49"/>
        <v>2025</v>
      </c>
      <c r="E1031" s="23" t="str">
        <f t="shared" si="50"/>
        <v>Q1</v>
      </c>
      <c r="F1031" t="s">
        <v>3714</v>
      </c>
      <c r="G1031" s="24" t="s">
        <v>73</v>
      </c>
      <c r="H1031" s="17">
        <v>1</v>
      </c>
      <c r="I1031" s="19">
        <v>87.06</v>
      </c>
      <c r="J1031" t="s">
        <v>3483</v>
      </c>
      <c r="K1031" s="24" t="s">
        <v>34</v>
      </c>
      <c r="L1031" s="24" t="s">
        <v>19</v>
      </c>
      <c r="M1031" t="s">
        <v>3715</v>
      </c>
      <c r="N1031" s="17">
        <v>4</v>
      </c>
      <c r="O1031" t="s">
        <v>37</v>
      </c>
      <c r="P1031" s="24" t="s">
        <v>38</v>
      </c>
      <c r="Q1031" s="19">
        <v>87.06</v>
      </c>
    </row>
    <row r="1032" spans="1:17">
      <c r="A1032" t="s">
        <v>3716</v>
      </c>
      <c r="B1032" s="23">
        <v>45201</v>
      </c>
      <c r="C1032" s="23" t="str">
        <f t="shared" si="48"/>
        <v>Oct</v>
      </c>
      <c r="D1032" s="23" t="str">
        <f t="shared" si="49"/>
        <v>2023</v>
      </c>
      <c r="E1032" s="23" t="str">
        <f t="shared" si="50"/>
        <v>Q4</v>
      </c>
      <c r="F1032" t="s">
        <v>3717</v>
      </c>
      <c r="G1032" s="24" t="s">
        <v>25</v>
      </c>
      <c r="H1032" s="17">
        <v>4</v>
      </c>
      <c r="I1032" s="19">
        <v>245.28</v>
      </c>
      <c r="J1032" t="s">
        <v>3718</v>
      </c>
      <c r="K1032" s="24" t="s">
        <v>34</v>
      </c>
      <c r="L1032" s="24" t="s">
        <v>50</v>
      </c>
      <c r="M1032" t="s">
        <v>3719</v>
      </c>
      <c r="N1032" s="17">
        <v>6</v>
      </c>
      <c r="O1032" t="s">
        <v>81</v>
      </c>
      <c r="P1032" s="24" t="s">
        <v>38</v>
      </c>
      <c r="Q1032" s="19">
        <v>981.12</v>
      </c>
    </row>
    <row r="1033" spans="1:17">
      <c r="A1033" t="s">
        <v>3720</v>
      </c>
      <c r="B1033" s="23">
        <v>44985</v>
      </c>
      <c r="C1033" s="23" t="str">
        <f t="shared" si="48"/>
        <v>Feb</v>
      </c>
      <c r="D1033" s="23" t="str">
        <f t="shared" si="49"/>
        <v>2023</v>
      </c>
      <c r="E1033" s="23" t="str">
        <f t="shared" si="50"/>
        <v>Q1</v>
      </c>
      <c r="F1033" t="s">
        <v>3721</v>
      </c>
      <c r="G1033" s="24" t="s">
        <v>25</v>
      </c>
      <c r="H1033" s="17">
        <v>5</v>
      </c>
      <c r="I1033" s="19">
        <v>664.51</v>
      </c>
      <c r="J1033" t="s">
        <v>3722</v>
      </c>
      <c r="K1033" s="24" t="s">
        <v>18</v>
      </c>
      <c r="L1033" s="24" t="s">
        <v>89</v>
      </c>
      <c r="M1033" t="s">
        <v>3723</v>
      </c>
      <c r="N1033" s="17">
        <v>8</v>
      </c>
      <c r="O1033" t="s">
        <v>21</v>
      </c>
      <c r="P1033" s="24" t="s">
        <v>38</v>
      </c>
      <c r="Q1033" s="19">
        <v>3322.55</v>
      </c>
    </row>
    <row r="1034" spans="1:17">
      <c r="A1034" t="s">
        <v>3724</v>
      </c>
      <c r="B1034" s="23">
        <v>45036</v>
      </c>
      <c r="C1034" s="23" t="str">
        <f t="shared" si="48"/>
        <v>Apr</v>
      </c>
      <c r="D1034" s="23" t="str">
        <f t="shared" si="49"/>
        <v>2023</v>
      </c>
      <c r="E1034" s="23" t="str">
        <f t="shared" si="50"/>
        <v>Q2</v>
      </c>
      <c r="F1034" t="s">
        <v>3725</v>
      </c>
      <c r="G1034" s="24" t="s">
        <v>41</v>
      </c>
      <c r="H1034" s="17">
        <v>1</v>
      </c>
      <c r="I1034" s="19">
        <v>618.68</v>
      </c>
      <c r="J1034" t="s">
        <v>1133</v>
      </c>
      <c r="K1034" s="24" t="s">
        <v>27</v>
      </c>
      <c r="L1034" s="24" t="s">
        <v>50</v>
      </c>
      <c r="M1034" t="s">
        <v>3726</v>
      </c>
      <c r="N1034" s="17">
        <v>6</v>
      </c>
      <c r="O1034" t="s">
        <v>81</v>
      </c>
      <c r="P1034" s="24" t="s">
        <v>29</v>
      </c>
      <c r="Q1034" s="19">
        <v>618.68</v>
      </c>
    </row>
    <row r="1035" spans="1:17">
      <c r="A1035" t="s">
        <v>3727</v>
      </c>
      <c r="B1035" s="23">
        <v>45650</v>
      </c>
      <c r="C1035" s="23" t="str">
        <f t="shared" si="48"/>
        <v>Dec</v>
      </c>
      <c r="D1035" s="23" t="str">
        <f t="shared" si="49"/>
        <v>2024</v>
      </c>
      <c r="E1035" s="23" t="str">
        <f t="shared" si="50"/>
        <v>Q4</v>
      </c>
      <c r="F1035" t="s">
        <v>3728</v>
      </c>
      <c r="G1035" s="24" t="s">
        <v>16</v>
      </c>
      <c r="H1035" s="17">
        <v>1</v>
      </c>
      <c r="I1035" s="19">
        <v>370.85</v>
      </c>
      <c r="J1035" t="s">
        <v>3729</v>
      </c>
      <c r="K1035" s="24" t="s">
        <v>60</v>
      </c>
      <c r="L1035" s="24" t="s">
        <v>50</v>
      </c>
      <c r="M1035" t="s">
        <v>3730</v>
      </c>
      <c r="N1035" s="17">
        <v>2</v>
      </c>
      <c r="O1035" t="s">
        <v>37</v>
      </c>
      <c r="P1035" s="24" t="s">
        <v>29</v>
      </c>
      <c r="Q1035" s="19">
        <v>370.85</v>
      </c>
    </row>
    <row r="1036" spans="1:17">
      <c r="A1036" t="s">
        <v>3731</v>
      </c>
      <c r="B1036" s="23">
        <v>45459</v>
      </c>
      <c r="C1036" s="23" t="str">
        <f t="shared" si="48"/>
        <v>Jun</v>
      </c>
      <c r="D1036" s="23" t="str">
        <f t="shared" si="49"/>
        <v>2024</v>
      </c>
      <c r="E1036" s="23" t="str">
        <f t="shared" si="50"/>
        <v>Q2</v>
      </c>
      <c r="F1036" t="s">
        <v>3732</v>
      </c>
      <c r="G1036" s="24" t="s">
        <v>48</v>
      </c>
      <c r="H1036" s="17">
        <v>4</v>
      </c>
      <c r="I1036" s="19">
        <v>517.98</v>
      </c>
      <c r="J1036" t="s">
        <v>3733</v>
      </c>
      <c r="K1036" s="24" t="s">
        <v>65</v>
      </c>
      <c r="L1036" s="24" t="s">
        <v>35</v>
      </c>
      <c r="M1036" t="s">
        <v>3734</v>
      </c>
      <c r="N1036" s="17">
        <v>8</v>
      </c>
      <c r="O1036" t="s">
        <v>37</v>
      </c>
      <c r="P1036" s="24" t="s">
        <v>45</v>
      </c>
      <c r="Q1036" s="19">
        <v>2071.92</v>
      </c>
    </row>
    <row r="1037" spans="1:17">
      <c r="A1037" t="s">
        <v>3735</v>
      </c>
      <c r="B1037" s="23">
        <v>45242</v>
      </c>
      <c r="C1037" s="23" t="str">
        <f t="shared" si="48"/>
        <v>Nov</v>
      </c>
      <c r="D1037" s="23" t="str">
        <f t="shared" si="49"/>
        <v>2023</v>
      </c>
      <c r="E1037" s="23" t="str">
        <f t="shared" si="50"/>
        <v>Q4</v>
      </c>
      <c r="F1037" t="s">
        <v>3736</v>
      </c>
      <c r="G1037" s="24" t="s">
        <v>58</v>
      </c>
      <c r="H1037" s="17">
        <v>4</v>
      </c>
      <c r="I1037" s="19">
        <v>506.11</v>
      </c>
      <c r="J1037" t="s">
        <v>3737</v>
      </c>
      <c r="K1037" s="24" t="s">
        <v>65</v>
      </c>
      <c r="L1037" s="24" t="s">
        <v>35</v>
      </c>
      <c r="M1037" t="s">
        <v>3738</v>
      </c>
      <c r="N1037" s="17">
        <v>5</v>
      </c>
      <c r="O1037" t="s">
        <v>4295</v>
      </c>
      <c r="P1037" s="24" t="s">
        <v>29</v>
      </c>
      <c r="Q1037" s="19">
        <v>2024.44</v>
      </c>
    </row>
    <row r="1038" spans="1:17">
      <c r="A1038" t="s">
        <v>3739</v>
      </c>
      <c r="B1038" s="23">
        <v>45443</v>
      </c>
      <c r="C1038" s="23" t="str">
        <f t="shared" si="48"/>
        <v>May</v>
      </c>
      <c r="D1038" s="23" t="str">
        <f t="shared" si="49"/>
        <v>2024</v>
      </c>
      <c r="E1038" s="23" t="str">
        <f t="shared" si="50"/>
        <v>Q2</v>
      </c>
      <c r="F1038" t="s">
        <v>3740</v>
      </c>
      <c r="G1038" s="24" t="s">
        <v>25</v>
      </c>
      <c r="H1038" s="17">
        <v>3</v>
      </c>
      <c r="I1038" s="19">
        <v>413.83</v>
      </c>
      <c r="J1038" t="s">
        <v>312</v>
      </c>
      <c r="K1038" s="24" t="s">
        <v>60</v>
      </c>
      <c r="L1038" s="24" t="s">
        <v>19</v>
      </c>
      <c r="M1038" t="s">
        <v>3741</v>
      </c>
      <c r="N1038" s="17">
        <v>8</v>
      </c>
      <c r="O1038" t="s">
        <v>21</v>
      </c>
      <c r="P1038" s="24" t="s">
        <v>45</v>
      </c>
      <c r="Q1038" s="19">
        <v>1241.49</v>
      </c>
    </row>
    <row r="1039" spans="1:17">
      <c r="A1039" t="s">
        <v>3742</v>
      </c>
      <c r="B1039" s="23">
        <v>45273</v>
      </c>
      <c r="C1039" s="23" t="str">
        <f t="shared" si="48"/>
        <v>Dec</v>
      </c>
      <c r="D1039" s="23" t="str">
        <f t="shared" si="49"/>
        <v>2023</v>
      </c>
      <c r="E1039" s="23" t="str">
        <f t="shared" si="50"/>
        <v>Q4</v>
      </c>
      <c r="F1039" t="s">
        <v>3743</v>
      </c>
      <c r="G1039" s="24" t="s">
        <v>48</v>
      </c>
      <c r="H1039" s="17">
        <v>1</v>
      </c>
      <c r="I1039" s="19">
        <v>249.81</v>
      </c>
      <c r="J1039" t="s">
        <v>2565</v>
      </c>
      <c r="K1039" s="24" t="s">
        <v>65</v>
      </c>
      <c r="L1039" s="24" t="s">
        <v>89</v>
      </c>
      <c r="M1039" t="s">
        <v>3744</v>
      </c>
      <c r="N1039" s="17">
        <v>1</v>
      </c>
      <c r="O1039" t="s">
        <v>21</v>
      </c>
      <c r="P1039" s="24" t="s">
        <v>76</v>
      </c>
      <c r="Q1039" s="19">
        <v>249.81</v>
      </c>
    </row>
    <row r="1040" spans="1:17">
      <c r="A1040" t="s">
        <v>3745</v>
      </c>
      <c r="B1040" s="23">
        <v>45731</v>
      </c>
      <c r="C1040" s="23" t="str">
        <f t="shared" si="48"/>
        <v>Mar</v>
      </c>
      <c r="D1040" s="23" t="str">
        <f t="shared" si="49"/>
        <v>2025</v>
      </c>
      <c r="E1040" s="23" t="str">
        <f t="shared" si="50"/>
        <v>Q1</v>
      </c>
      <c r="F1040" t="s">
        <v>3746</v>
      </c>
      <c r="G1040" s="24" t="s">
        <v>32</v>
      </c>
      <c r="H1040" s="17">
        <v>3</v>
      </c>
      <c r="I1040" s="19">
        <v>362.53</v>
      </c>
      <c r="J1040" t="s">
        <v>3747</v>
      </c>
      <c r="K1040" s="24" t="s">
        <v>18</v>
      </c>
      <c r="L1040" s="24" t="s">
        <v>43</v>
      </c>
      <c r="M1040" t="s">
        <v>3748</v>
      </c>
      <c r="N1040" s="17">
        <v>5</v>
      </c>
      <c r="O1040" t="s">
        <v>4295</v>
      </c>
      <c r="P1040" s="24" t="s">
        <v>45</v>
      </c>
      <c r="Q1040" s="19">
        <v>1087.59</v>
      </c>
    </row>
    <row r="1041" spans="1:17">
      <c r="A1041" t="s">
        <v>3749</v>
      </c>
      <c r="B1041" s="23">
        <v>45836</v>
      </c>
      <c r="C1041" s="23" t="str">
        <f t="shared" si="48"/>
        <v>Jun</v>
      </c>
      <c r="D1041" s="23" t="str">
        <f t="shared" si="49"/>
        <v>2025</v>
      </c>
      <c r="E1041" s="23" t="str">
        <f t="shared" si="50"/>
        <v>Q2</v>
      </c>
      <c r="F1041" t="s">
        <v>3750</v>
      </c>
      <c r="G1041" s="24" t="s">
        <v>73</v>
      </c>
      <c r="H1041" s="17">
        <v>2</v>
      </c>
      <c r="I1041" s="19">
        <v>299.23</v>
      </c>
      <c r="J1041" t="s">
        <v>3751</v>
      </c>
      <c r="K1041" s="24" t="s">
        <v>34</v>
      </c>
      <c r="L1041" s="24" t="s">
        <v>35</v>
      </c>
      <c r="M1041" t="s">
        <v>3752</v>
      </c>
      <c r="N1041" s="17">
        <v>2</v>
      </c>
      <c r="O1041" t="s">
        <v>81</v>
      </c>
      <c r="P1041" s="24" t="s">
        <v>22</v>
      </c>
      <c r="Q1041" s="19">
        <v>598.46</v>
      </c>
    </row>
    <row r="1042" spans="1:17">
      <c r="A1042" t="s">
        <v>3753</v>
      </c>
      <c r="B1042" s="23">
        <v>45245</v>
      </c>
      <c r="C1042" s="23" t="str">
        <f t="shared" si="48"/>
        <v>Nov</v>
      </c>
      <c r="D1042" s="23" t="str">
        <f t="shared" si="49"/>
        <v>2023</v>
      </c>
      <c r="E1042" s="23" t="str">
        <f t="shared" si="50"/>
        <v>Q4</v>
      </c>
      <c r="F1042" t="s">
        <v>3754</v>
      </c>
      <c r="G1042" s="24" t="s">
        <v>32</v>
      </c>
      <c r="H1042" s="17">
        <v>1</v>
      </c>
      <c r="I1042" s="19">
        <v>536.07</v>
      </c>
      <c r="J1042" t="s">
        <v>2116</v>
      </c>
      <c r="K1042" s="24" t="s">
        <v>18</v>
      </c>
      <c r="L1042" s="24" t="s">
        <v>50</v>
      </c>
      <c r="M1042" t="s">
        <v>3755</v>
      </c>
      <c r="N1042" s="17">
        <v>5</v>
      </c>
      <c r="O1042" t="s">
        <v>37</v>
      </c>
      <c r="P1042" s="24" t="s">
        <v>76</v>
      </c>
      <c r="Q1042" s="19">
        <v>536.07</v>
      </c>
    </row>
    <row r="1043" spans="1:17">
      <c r="A1043" t="s">
        <v>3756</v>
      </c>
      <c r="B1043" s="23">
        <v>44968</v>
      </c>
      <c r="C1043" s="23" t="str">
        <f t="shared" si="48"/>
        <v>Feb</v>
      </c>
      <c r="D1043" s="23" t="str">
        <f t="shared" si="49"/>
        <v>2023</v>
      </c>
      <c r="E1043" s="23" t="str">
        <f t="shared" si="50"/>
        <v>Q1</v>
      </c>
      <c r="F1043" t="s">
        <v>3757</v>
      </c>
      <c r="G1043" s="24" t="s">
        <v>16</v>
      </c>
      <c r="H1043" s="17">
        <v>4</v>
      </c>
      <c r="I1043" s="19">
        <v>558.9</v>
      </c>
      <c r="J1043" t="s">
        <v>929</v>
      </c>
      <c r="K1043" s="24" t="s">
        <v>60</v>
      </c>
      <c r="L1043" s="24" t="s">
        <v>19</v>
      </c>
      <c r="M1043" t="s">
        <v>3758</v>
      </c>
      <c r="N1043" s="17">
        <v>9</v>
      </c>
      <c r="O1043" t="s">
        <v>81</v>
      </c>
      <c r="P1043" s="24" t="s">
        <v>76</v>
      </c>
      <c r="Q1043" s="19">
        <v>2235.6</v>
      </c>
    </row>
    <row r="1044" spans="1:17">
      <c r="A1044" t="s">
        <v>3759</v>
      </c>
      <c r="B1044" s="23">
        <v>45635</v>
      </c>
      <c r="C1044" s="23" t="str">
        <f t="shared" si="48"/>
        <v>Dec</v>
      </c>
      <c r="D1044" s="23" t="str">
        <f t="shared" si="49"/>
        <v>2024</v>
      </c>
      <c r="E1044" s="23" t="str">
        <f t="shared" si="50"/>
        <v>Q4</v>
      </c>
      <c r="F1044" t="s">
        <v>3760</v>
      </c>
      <c r="G1044" s="24" t="s">
        <v>32</v>
      </c>
      <c r="H1044" s="17">
        <v>2</v>
      </c>
      <c r="I1044" s="19">
        <v>409.75</v>
      </c>
      <c r="J1044" t="s">
        <v>1281</v>
      </c>
      <c r="K1044" s="24" t="s">
        <v>18</v>
      </c>
      <c r="L1044" s="24" t="s">
        <v>19</v>
      </c>
      <c r="M1044" t="s">
        <v>3761</v>
      </c>
      <c r="N1044" s="17">
        <v>2</v>
      </c>
      <c r="O1044" t="s">
        <v>81</v>
      </c>
      <c r="P1044" s="24" t="s">
        <v>45</v>
      </c>
      <c r="Q1044" s="19">
        <v>819.5</v>
      </c>
    </row>
    <row r="1045" spans="1:17">
      <c r="A1045" t="s">
        <v>3762</v>
      </c>
      <c r="B1045" s="23">
        <v>45668</v>
      </c>
      <c r="C1045" s="23" t="str">
        <f t="shared" si="48"/>
        <v>Jan</v>
      </c>
      <c r="D1045" s="23" t="str">
        <f t="shared" si="49"/>
        <v>2025</v>
      </c>
      <c r="E1045" s="23" t="str">
        <f t="shared" si="50"/>
        <v>Q1</v>
      </c>
      <c r="F1045" t="s">
        <v>3763</v>
      </c>
      <c r="G1045" s="24" t="s">
        <v>32</v>
      </c>
      <c r="H1045" s="17">
        <v>2</v>
      </c>
      <c r="I1045" s="19">
        <v>179.96</v>
      </c>
      <c r="J1045" t="s">
        <v>3522</v>
      </c>
      <c r="K1045" s="24" t="s">
        <v>60</v>
      </c>
      <c r="L1045" s="24" t="s">
        <v>19</v>
      </c>
      <c r="M1045" t="s">
        <v>3764</v>
      </c>
      <c r="N1045" s="17">
        <v>5</v>
      </c>
      <c r="O1045" t="s">
        <v>4295</v>
      </c>
      <c r="P1045" s="24" t="s">
        <v>22</v>
      </c>
      <c r="Q1045" s="19">
        <v>359.92</v>
      </c>
    </row>
    <row r="1046" spans="1:17">
      <c r="A1046" t="s">
        <v>3765</v>
      </c>
      <c r="B1046" s="23">
        <v>45830</v>
      </c>
      <c r="C1046" s="23" t="str">
        <f t="shared" si="48"/>
        <v>Jun</v>
      </c>
      <c r="D1046" s="23" t="str">
        <f t="shared" si="49"/>
        <v>2025</v>
      </c>
      <c r="E1046" s="23" t="str">
        <f t="shared" si="50"/>
        <v>Q2</v>
      </c>
      <c r="F1046" t="s">
        <v>3766</v>
      </c>
      <c r="G1046" s="24" t="s">
        <v>48</v>
      </c>
      <c r="H1046" s="17">
        <v>1</v>
      </c>
      <c r="I1046" s="19">
        <v>38.49</v>
      </c>
      <c r="J1046" t="s">
        <v>3767</v>
      </c>
      <c r="K1046" s="24" t="s">
        <v>34</v>
      </c>
      <c r="L1046" s="24" t="s">
        <v>50</v>
      </c>
      <c r="M1046" t="s">
        <v>3768</v>
      </c>
      <c r="N1046" s="17">
        <v>4</v>
      </c>
      <c r="O1046" t="s">
        <v>37</v>
      </c>
      <c r="P1046" s="24" t="s">
        <v>29</v>
      </c>
      <c r="Q1046" s="19">
        <v>38.49</v>
      </c>
    </row>
    <row r="1047" spans="1:17">
      <c r="A1047" t="s">
        <v>3769</v>
      </c>
      <c r="B1047" s="23">
        <v>45555</v>
      </c>
      <c r="C1047" s="23" t="str">
        <f t="shared" si="48"/>
        <v>Sep</v>
      </c>
      <c r="D1047" s="23" t="str">
        <f t="shared" si="49"/>
        <v>2024</v>
      </c>
      <c r="E1047" s="23" t="str">
        <f t="shared" si="50"/>
        <v>Q3</v>
      </c>
      <c r="F1047" t="s">
        <v>3770</v>
      </c>
      <c r="G1047" s="24" t="s">
        <v>58</v>
      </c>
      <c r="H1047" s="17">
        <v>5</v>
      </c>
      <c r="I1047" s="19">
        <v>316.4</v>
      </c>
      <c r="J1047" t="s">
        <v>3771</v>
      </c>
      <c r="K1047" s="24" t="s">
        <v>60</v>
      </c>
      <c r="L1047" s="24" t="s">
        <v>43</v>
      </c>
      <c r="M1047" t="s">
        <v>3772</v>
      </c>
      <c r="N1047" s="17">
        <v>7</v>
      </c>
      <c r="O1047" t="s">
        <v>4295</v>
      </c>
      <c r="P1047" s="24" t="s">
        <v>38</v>
      </c>
      <c r="Q1047" s="19">
        <v>1582</v>
      </c>
    </row>
    <row r="1048" spans="1:17">
      <c r="A1048" t="s">
        <v>3773</v>
      </c>
      <c r="B1048" s="23">
        <v>45572</v>
      </c>
      <c r="C1048" s="23" t="str">
        <f t="shared" si="48"/>
        <v>Oct</v>
      </c>
      <c r="D1048" s="23" t="str">
        <f t="shared" si="49"/>
        <v>2024</v>
      </c>
      <c r="E1048" s="23" t="str">
        <f t="shared" si="50"/>
        <v>Q4</v>
      </c>
      <c r="F1048" t="s">
        <v>3774</v>
      </c>
      <c r="G1048" s="24" t="s">
        <v>32</v>
      </c>
      <c r="H1048" s="17">
        <v>3</v>
      </c>
      <c r="I1048" s="19">
        <v>547.15</v>
      </c>
      <c r="J1048" t="s">
        <v>3775</v>
      </c>
      <c r="K1048" s="24" t="s">
        <v>27</v>
      </c>
      <c r="L1048" s="24" t="s">
        <v>19</v>
      </c>
      <c r="M1048" t="s">
        <v>3776</v>
      </c>
      <c r="N1048" s="17">
        <v>4</v>
      </c>
      <c r="O1048" t="s">
        <v>81</v>
      </c>
      <c r="P1048" s="24" t="s">
        <v>22</v>
      </c>
      <c r="Q1048" s="19">
        <v>1641.45</v>
      </c>
    </row>
    <row r="1049" spans="1:17">
      <c r="A1049" t="s">
        <v>3777</v>
      </c>
      <c r="B1049" s="23">
        <v>45100</v>
      </c>
      <c r="C1049" s="23" t="str">
        <f t="shared" si="48"/>
        <v>Jun</v>
      </c>
      <c r="D1049" s="23" t="str">
        <f t="shared" si="49"/>
        <v>2023</v>
      </c>
      <c r="E1049" s="23" t="str">
        <f t="shared" si="50"/>
        <v>Q2</v>
      </c>
      <c r="F1049" t="s">
        <v>3778</v>
      </c>
      <c r="G1049" s="24" t="s">
        <v>41</v>
      </c>
      <c r="H1049" s="17">
        <v>4</v>
      </c>
      <c r="I1049" s="19">
        <v>540.34</v>
      </c>
      <c r="J1049" t="s">
        <v>3779</v>
      </c>
      <c r="K1049" s="24" t="s">
        <v>60</v>
      </c>
      <c r="L1049" s="24" t="s">
        <v>19</v>
      </c>
      <c r="M1049" t="s">
        <v>3780</v>
      </c>
      <c r="N1049" s="17">
        <v>6</v>
      </c>
      <c r="O1049" t="s">
        <v>81</v>
      </c>
      <c r="P1049" s="24" t="s">
        <v>29</v>
      </c>
      <c r="Q1049" s="19">
        <v>2161.36</v>
      </c>
    </row>
    <row r="1050" spans="1:17">
      <c r="A1050" t="s">
        <v>3781</v>
      </c>
      <c r="B1050" s="23">
        <v>45544</v>
      </c>
      <c r="C1050" s="23" t="str">
        <f t="shared" si="48"/>
        <v>Sep</v>
      </c>
      <c r="D1050" s="23" t="str">
        <f t="shared" si="49"/>
        <v>2024</v>
      </c>
      <c r="E1050" s="23" t="str">
        <f t="shared" si="50"/>
        <v>Q3</v>
      </c>
      <c r="F1050" t="s">
        <v>3782</v>
      </c>
      <c r="G1050" s="24" t="s">
        <v>16</v>
      </c>
      <c r="H1050" s="17">
        <v>4</v>
      </c>
      <c r="I1050" s="19">
        <v>73.65</v>
      </c>
      <c r="J1050" t="s">
        <v>3783</v>
      </c>
      <c r="K1050" s="24" t="s">
        <v>18</v>
      </c>
      <c r="L1050" s="24" t="s">
        <v>19</v>
      </c>
      <c r="M1050" t="s">
        <v>3784</v>
      </c>
      <c r="N1050" s="17">
        <v>9</v>
      </c>
      <c r="O1050" t="s">
        <v>4295</v>
      </c>
      <c r="P1050" s="24" t="s">
        <v>76</v>
      </c>
      <c r="Q1050" s="19">
        <v>294.6</v>
      </c>
    </row>
    <row r="1051" spans="1:17">
      <c r="A1051" t="s">
        <v>3785</v>
      </c>
      <c r="B1051" s="23">
        <v>45491</v>
      </c>
      <c r="C1051" s="23" t="str">
        <f t="shared" si="48"/>
        <v>Jul</v>
      </c>
      <c r="D1051" s="23" t="str">
        <f t="shared" si="49"/>
        <v>2024</v>
      </c>
      <c r="E1051" s="23" t="str">
        <f t="shared" si="50"/>
        <v>Q3</v>
      </c>
      <c r="F1051" t="s">
        <v>3786</v>
      </c>
      <c r="G1051" s="24" t="s">
        <v>73</v>
      </c>
      <c r="H1051" s="17">
        <v>5</v>
      </c>
      <c r="I1051" s="19">
        <v>391.86</v>
      </c>
      <c r="J1051" t="s">
        <v>121</v>
      </c>
      <c r="K1051" s="24" t="s">
        <v>34</v>
      </c>
      <c r="L1051" s="24" t="s">
        <v>19</v>
      </c>
      <c r="M1051" t="s">
        <v>3787</v>
      </c>
      <c r="N1051" s="17">
        <v>6</v>
      </c>
      <c r="O1051" t="s">
        <v>4295</v>
      </c>
      <c r="P1051" s="24" t="s">
        <v>22</v>
      </c>
      <c r="Q1051" s="19">
        <v>1959.3</v>
      </c>
    </row>
    <row r="1052" spans="1:17">
      <c r="A1052" t="s">
        <v>3788</v>
      </c>
      <c r="B1052" s="23">
        <v>45158</v>
      </c>
      <c r="C1052" s="23" t="str">
        <f t="shared" si="48"/>
        <v>Aug</v>
      </c>
      <c r="D1052" s="23" t="str">
        <f t="shared" si="49"/>
        <v>2023</v>
      </c>
      <c r="E1052" s="23" t="str">
        <f t="shared" si="50"/>
        <v>Q3</v>
      </c>
      <c r="F1052" t="s">
        <v>3789</v>
      </c>
      <c r="G1052" s="24" t="s">
        <v>58</v>
      </c>
      <c r="H1052" s="17">
        <v>5</v>
      </c>
      <c r="I1052" s="19">
        <v>69.7</v>
      </c>
      <c r="J1052" t="s">
        <v>2029</v>
      </c>
      <c r="K1052" s="24" t="s">
        <v>27</v>
      </c>
      <c r="L1052" s="24" t="s">
        <v>43</v>
      </c>
      <c r="M1052" t="s">
        <v>3790</v>
      </c>
      <c r="N1052" s="17">
        <v>9</v>
      </c>
      <c r="O1052" t="s">
        <v>4295</v>
      </c>
      <c r="P1052" s="24" t="s">
        <v>22</v>
      </c>
      <c r="Q1052" s="19">
        <v>348.5</v>
      </c>
    </row>
    <row r="1053" spans="1:17">
      <c r="A1053" t="s">
        <v>3791</v>
      </c>
      <c r="B1053" s="23">
        <v>45721</v>
      </c>
      <c r="C1053" s="23" t="str">
        <f t="shared" si="48"/>
        <v>Mar</v>
      </c>
      <c r="D1053" s="23" t="str">
        <f t="shared" si="49"/>
        <v>2025</v>
      </c>
      <c r="E1053" s="23" t="str">
        <f t="shared" si="50"/>
        <v>Q1</v>
      </c>
      <c r="F1053" t="s">
        <v>3792</v>
      </c>
      <c r="G1053" s="24" t="s">
        <v>16</v>
      </c>
      <c r="H1053" s="17">
        <v>5</v>
      </c>
      <c r="I1053" s="19">
        <v>26.43</v>
      </c>
      <c r="J1053" t="s">
        <v>3793</v>
      </c>
      <c r="K1053" s="24" t="s">
        <v>60</v>
      </c>
      <c r="L1053" s="24" t="s">
        <v>19</v>
      </c>
      <c r="M1053" t="s">
        <v>3794</v>
      </c>
      <c r="N1053" s="17">
        <v>5</v>
      </c>
      <c r="O1053" t="s">
        <v>37</v>
      </c>
      <c r="P1053" s="24" t="s">
        <v>45</v>
      </c>
      <c r="Q1053" s="19">
        <v>132.15</v>
      </c>
    </row>
    <row r="1054" spans="1:17">
      <c r="A1054" t="s">
        <v>3795</v>
      </c>
      <c r="B1054" s="23">
        <v>45180</v>
      </c>
      <c r="C1054" s="23" t="str">
        <f t="shared" si="48"/>
        <v>Sep</v>
      </c>
      <c r="D1054" s="23" t="str">
        <f t="shared" si="49"/>
        <v>2023</v>
      </c>
      <c r="E1054" s="23" t="str">
        <f t="shared" si="50"/>
        <v>Q3</v>
      </c>
      <c r="F1054" t="s">
        <v>3796</v>
      </c>
      <c r="G1054" s="24" t="s">
        <v>32</v>
      </c>
      <c r="H1054" s="17">
        <v>1</v>
      </c>
      <c r="I1054" s="19">
        <v>531.74</v>
      </c>
      <c r="J1054" t="s">
        <v>3797</v>
      </c>
      <c r="K1054" s="24" t="s">
        <v>27</v>
      </c>
      <c r="L1054" s="24" t="s">
        <v>19</v>
      </c>
      <c r="M1054" t="s">
        <v>3798</v>
      </c>
      <c r="N1054" s="17">
        <v>1</v>
      </c>
      <c r="O1054" t="s">
        <v>81</v>
      </c>
      <c r="P1054" s="24" t="s">
        <v>76</v>
      </c>
      <c r="Q1054" s="19">
        <v>531.74</v>
      </c>
    </row>
    <row r="1055" spans="1:17">
      <c r="A1055" t="s">
        <v>3799</v>
      </c>
      <c r="B1055" s="23">
        <v>45550</v>
      </c>
      <c r="C1055" s="23" t="str">
        <f t="shared" si="48"/>
        <v>Sep</v>
      </c>
      <c r="D1055" s="23" t="str">
        <f t="shared" si="49"/>
        <v>2024</v>
      </c>
      <c r="E1055" s="23" t="str">
        <f t="shared" si="50"/>
        <v>Q3</v>
      </c>
      <c r="F1055" t="s">
        <v>3800</v>
      </c>
      <c r="G1055" s="24" t="s">
        <v>25</v>
      </c>
      <c r="H1055" s="17">
        <v>2</v>
      </c>
      <c r="I1055" s="19">
        <v>496.62</v>
      </c>
      <c r="J1055" t="s">
        <v>3431</v>
      </c>
      <c r="K1055" s="24" t="s">
        <v>27</v>
      </c>
      <c r="L1055" s="24" t="s">
        <v>89</v>
      </c>
      <c r="M1055" t="s">
        <v>3801</v>
      </c>
      <c r="N1055" s="17">
        <v>2</v>
      </c>
      <c r="O1055" t="s">
        <v>21</v>
      </c>
      <c r="P1055" s="24" t="s">
        <v>22</v>
      </c>
      <c r="Q1055" s="19">
        <v>993.24</v>
      </c>
    </row>
    <row r="1056" spans="1:17">
      <c r="A1056" t="s">
        <v>3802</v>
      </c>
      <c r="B1056" s="23">
        <v>45259</v>
      </c>
      <c r="C1056" s="23" t="str">
        <f t="shared" si="48"/>
        <v>Nov</v>
      </c>
      <c r="D1056" s="23" t="str">
        <f t="shared" si="49"/>
        <v>2023</v>
      </c>
      <c r="E1056" s="23" t="str">
        <f t="shared" si="50"/>
        <v>Q4</v>
      </c>
      <c r="F1056" t="s">
        <v>3803</v>
      </c>
      <c r="G1056" s="24" t="s">
        <v>48</v>
      </c>
      <c r="H1056" s="17">
        <v>1</v>
      </c>
      <c r="I1056" s="19">
        <v>660.66</v>
      </c>
      <c r="J1056" t="s">
        <v>379</v>
      </c>
      <c r="K1056" s="24" t="s">
        <v>18</v>
      </c>
      <c r="L1056" s="24" t="s">
        <v>50</v>
      </c>
      <c r="M1056" t="s">
        <v>3804</v>
      </c>
      <c r="N1056" s="17">
        <v>3</v>
      </c>
      <c r="O1056" t="s">
        <v>81</v>
      </c>
      <c r="P1056" s="24" t="s">
        <v>22</v>
      </c>
      <c r="Q1056" s="19">
        <v>660.66</v>
      </c>
    </row>
    <row r="1057" spans="1:17">
      <c r="A1057" t="s">
        <v>3805</v>
      </c>
      <c r="B1057" s="23">
        <v>45222</v>
      </c>
      <c r="C1057" s="23" t="str">
        <f t="shared" si="48"/>
        <v>Oct</v>
      </c>
      <c r="D1057" s="23" t="str">
        <f t="shared" si="49"/>
        <v>2023</v>
      </c>
      <c r="E1057" s="23" t="str">
        <f t="shared" si="50"/>
        <v>Q4</v>
      </c>
      <c r="F1057" t="s">
        <v>3806</v>
      </c>
      <c r="G1057" s="24" t="s">
        <v>16</v>
      </c>
      <c r="H1057" s="17">
        <v>4</v>
      </c>
      <c r="I1057" s="19">
        <v>274.82</v>
      </c>
      <c r="J1057" t="s">
        <v>2116</v>
      </c>
      <c r="K1057" s="24" t="s">
        <v>18</v>
      </c>
      <c r="L1057" s="24" t="s">
        <v>50</v>
      </c>
      <c r="M1057" t="s">
        <v>3807</v>
      </c>
      <c r="N1057" s="17">
        <v>9</v>
      </c>
      <c r="O1057" t="s">
        <v>81</v>
      </c>
      <c r="P1057" s="24" t="s">
        <v>38</v>
      </c>
      <c r="Q1057" s="19">
        <v>1099.28</v>
      </c>
    </row>
    <row r="1058" spans="1:17">
      <c r="A1058" t="s">
        <v>3808</v>
      </c>
      <c r="B1058" s="23">
        <v>45457</v>
      </c>
      <c r="C1058" s="23" t="str">
        <f t="shared" si="48"/>
        <v>Jun</v>
      </c>
      <c r="D1058" s="23" t="str">
        <f t="shared" si="49"/>
        <v>2024</v>
      </c>
      <c r="E1058" s="23" t="str">
        <f t="shared" si="50"/>
        <v>Q2</v>
      </c>
      <c r="F1058" t="s">
        <v>3809</v>
      </c>
      <c r="G1058" s="24" t="s">
        <v>25</v>
      </c>
      <c r="H1058" s="17">
        <v>2</v>
      </c>
      <c r="I1058" s="19">
        <v>486.35</v>
      </c>
      <c r="J1058" t="s">
        <v>719</v>
      </c>
      <c r="K1058" s="24" t="s">
        <v>27</v>
      </c>
      <c r="L1058" s="24" t="s">
        <v>89</v>
      </c>
      <c r="M1058" t="s">
        <v>3810</v>
      </c>
      <c r="N1058" s="17">
        <v>6</v>
      </c>
      <c r="O1058" t="s">
        <v>21</v>
      </c>
      <c r="P1058" s="24" t="s">
        <v>29</v>
      </c>
      <c r="Q1058" s="19">
        <v>972.7</v>
      </c>
    </row>
    <row r="1059" spans="1:17">
      <c r="A1059" t="s">
        <v>3811</v>
      </c>
      <c r="B1059" s="23">
        <v>45559</v>
      </c>
      <c r="C1059" s="23" t="str">
        <f t="shared" si="48"/>
        <v>Sep</v>
      </c>
      <c r="D1059" s="23" t="str">
        <f t="shared" si="49"/>
        <v>2024</v>
      </c>
      <c r="E1059" s="23" t="str">
        <f t="shared" si="50"/>
        <v>Q3</v>
      </c>
      <c r="F1059" t="s">
        <v>3812</v>
      </c>
      <c r="G1059" s="24" t="s">
        <v>58</v>
      </c>
      <c r="H1059" s="17">
        <v>3</v>
      </c>
      <c r="I1059" s="19">
        <v>428.88</v>
      </c>
      <c r="J1059" t="s">
        <v>704</v>
      </c>
      <c r="K1059" s="24" t="s">
        <v>18</v>
      </c>
      <c r="L1059" s="24" t="s">
        <v>19</v>
      </c>
      <c r="M1059" t="s">
        <v>3813</v>
      </c>
      <c r="N1059" s="17">
        <v>3</v>
      </c>
      <c r="O1059" t="s">
        <v>81</v>
      </c>
      <c r="P1059" s="24" t="s">
        <v>45</v>
      </c>
      <c r="Q1059" s="19">
        <v>1286.64</v>
      </c>
    </row>
    <row r="1060" spans="1:17">
      <c r="A1060" t="s">
        <v>3814</v>
      </c>
      <c r="B1060" s="23">
        <v>45177</v>
      </c>
      <c r="C1060" s="23" t="str">
        <f t="shared" si="48"/>
        <v>Sep</v>
      </c>
      <c r="D1060" s="23" t="str">
        <f t="shared" si="49"/>
        <v>2023</v>
      </c>
      <c r="E1060" s="23" t="str">
        <f t="shared" si="50"/>
        <v>Q3</v>
      </c>
      <c r="F1060" t="s">
        <v>3815</v>
      </c>
      <c r="G1060" s="24" t="s">
        <v>73</v>
      </c>
      <c r="H1060" s="17">
        <v>2</v>
      </c>
      <c r="I1060" s="19">
        <v>412.14</v>
      </c>
      <c r="J1060" t="s">
        <v>1081</v>
      </c>
      <c r="K1060" s="24" t="s">
        <v>34</v>
      </c>
      <c r="L1060" s="24" t="s">
        <v>43</v>
      </c>
      <c r="M1060" t="s">
        <v>3816</v>
      </c>
      <c r="N1060" s="17">
        <v>2</v>
      </c>
      <c r="O1060" t="s">
        <v>37</v>
      </c>
      <c r="P1060" s="24" t="s">
        <v>22</v>
      </c>
      <c r="Q1060" s="19">
        <v>824.28</v>
      </c>
    </row>
    <row r="1061" spans="1:17">
      <c r="A1061" t="s">
        <v>3817</v>
      </c>
      <c r="B1061" s="23">
        <v>45557</v>
      </c>
      <c r="C1061" s="23" t="str">
        <f t="shared" si="48"/>
        <v>Sep</v>
      </c>
      <c r="D1061" s="23" t="str">
        <f t="shared" si="49"/>
        <v>2024</v>
      </c>
      <c r="E1061" s="23" t="str">
        <f t="shared" si="50"/>
        <v>Q3</v>
      </c>
      <c r="F1061" t="s">
        <v>3818</v>
      </c>
      <c r="G1061" s="24" t="s">
        <v>73</v>
      </c>
      <c r="H1061" s="17">
        <v>1</v>
      </c>
      <c r="I1061" s="19">
        <v>265.64</v>
      </c>
      <c r="J1061" t="s">
        <v>3819</v>
      </c>
      <c r="K1061" s="24" t="s">
        <v>34</v>
      </c>
      <c r="L1061" s="24" t="s">
        <v>43</v>
      </c>
      <c r="M1061" t="s">
        <v>3820</v>
      </c>
      <c r="N1061" s="17">
        <v>3</v>
      </c>
      <c r="O1061" t="s">
        <v>81</v>
      </c>
      <c r="P1061" s="24" t="s">
        <v>22</v>
      </c>
      <c r="Q1061" s="19">
        <v>265.64</v>
      </c>
    </row>
    <row r="1062" spans="1:17">
      <c r="A1062" t="s">
        <v>3821</v>
      </c>
      <c r="B1062" s="23">
        <v>45419</v>
      </c>
      <c r="C1062" s="23" t="str">
        <f t="shared" si="48"/>
        <v>May</v>
      </c>
      <c r="D1062" s="23" t="str">
        <f t="shared" si="49"/>
        <v>2024</v>
      </c>
      <c r="E1062" s="23" t="str">
        <f t="shared" si="50"/>
        <v>Q2</v>
      </c>
      <c r="F1062" t="s">
        <v>3822</v>
      </c>
      <c r="G1062" s="24" t="s">
        <v>32</v>
      </c>
      <c r="H1062" s="17">
        <v>2</v>
      </c>
      <c r="I1062" s="19">
        <v>273.43</v>
      </c>
      <c r="J1062" t="s">
        <v>1380</v>
      </c>
      <c r="K1062" s="24" t="s">
        <v>65</v>
      </c>
      <c r="L1062" s="24" t="s">
        <v>19</v>
      </c>
      <c r="M1062" t="s">
        <v>3823</v>
      </c>
      <c r="N1062" s="17">
        <v>7</v>
      </c>
      <c r="O1062" t="s">
        <v>81</v>
      </c>
      <c r="P1062" s="24" t="s">
        <v>29</v>
      </c>
      <c r="Q1062" s="19">
        <v>546.86</v>
      </c>
    </row>
    <row r="1063" spans="1:17">
      <c r="A1063" t="s">
        <v>3824</v>
      </c>
      <c r="B1063" s="23">
        <v>45686</v>
      </c>
      <c r="C1063" s="23" t="str">
        <f t="shared" si="48"/>
        <v>Jan</v>
      </c>
      <c r="D1063" s="23" t="str">
        <f t="shared" si="49"/>
        <v>2025</v>
      </c>
      <c r="E1063" s="23" t="str">
        <f t="shared" si="50"/>
        <v>Q1</v>
      </c>
      <c r="F1063" t="s">
        <v>3825</v>
      </c>
      <c r="G1063" s="24" t="s">
        <v>58</v>
      </c>
      <c r="H1063" s="17">
        <v>5</v>
      </c>
      <c r="I1063" s="19">
        <v>131.7</v>
      </c>
      <c r="J1063" t="s">
        <v>169</v>
      </c>
      <c r="K1063" s="24" t="s">
        <v>65</v>
      </c>
      <c r="L1063" s="24" t="s">
        <v>19</v>
      </c>
      <c r="M1063" t="s">
        <v>3826</v>
      </c>
      <c r="N1063" s="17">
        <v>8</v>
      </c>
      <c r="O1063" t="s">
        <v>37</v>
      </c>
      <c r="P1063" s="24" t="s">
        <v>76</v>
      </c>
      <c r="Q1063" s="19">
        <v>658.5</v>
      </c>
    </row>
    <row r="1064" spans="1:17">
      <c r="A1064" t="s">
        <v>3827</v>
      </c>
      <c r="B1064" s="23">
        <v>45161</v>
      </c>
      <c r="C1064" s="23" t="str">
        <f t="shared" si="48"/>
        <v>Aug</v>
      </c>
      <c r="D1064" s="23" t="str">
        <f t="shared" si="49"/>
        <v>2023</v>
      </c>
      <c r="E1064" s="23" t="str">
        <f t="shared" si="50"/>
        <v>Q3</v>
      </c>
      <c r="F1064" t="s">
        <v>3828</v>
      </c>
      <c r="G1064" s="24" t="s">
        <v>41</v>
      </c>
      <c r="H1064" s="17">
        <v>5</v>
      </c>
      <c r="I1064" s="19">
        <v>85.52</v>
      </c>
      <c r="J1064" t="s">
        <v>1252</v>
      </c>
      <c r="K1064" s="24" t="s">
        <v>60</v>
      </c>
      <c r="L1064" s="24" t="s">
        <v>35</v>
      </c>
      <c r="M1064" t="s">
        <v>3829</v>
      </c>
      <c r="N1064" s="17">
        <v>5</v>
      </c>
      <c r="O1064" t="s">
        <v>4295</v>
      </c>
      <c r="P1064" s="24" t="s">
        <v>45</v>
      </c>
      <c r="Q1064" s="19">
        <v>427.6</v>
      </c>
    </row>
    <row r="1065" spans="1:17">
      <c r="A1065" t="s">
        <v>3830</v>
      </c>
      <c r="B1065" s="23">
        <v>45462</v>
      </c>
      <c r="C1065" s="23" t="str">
        <f t="shared" si="48"/>
        <v>Jun</v>
      </c>
      <c r="D1065" s="23" t="str">
        <f t="shared" si="49"/>
        <v>2024</v>
      </c>
      <c r="E1065" s="23" t="str">
        <f t="shared" si="50"/>
        <v>Q2</v>
      </c>
      <c r="F1065" t="s">
        <v>3831</v>
      </c>
      <c r="G1065" s="24" t="s">
        <v>73</v>
      </c>
      <c r="H1065" s="17">
        <v>2</v>
      </c>
      <c r="I1065" s="19">
        <v>320.68</v>
      </c>
      <c r="J1065" t="s">
        <v>708</v>
      </c>
      <c r="K1065" s="24" t="s">
        <v>34</v>
      </c>
      <c r="L1065" s="24" t="s">
        <v>19</v>
      </c>
      <c r="M1065" t="s">
        <v>3832</v>
      </c>
      <c r="N1065" s="17">
        <v>5</v>
      </c>
      <c r="O1065" t="s">
        <v>37</v>
      </c>
      <c r="P1065" s="24" t="s">
        <v>29</v>
      </c>
      <c r="Q1065" s="19">
        <v>641.36</v>
      </c>
    </row>
    <row r="1066" spans="1:17">
      <c r="A1066" t="s">
        <v>3833</v>
      </c>
      <c r="B1066" s="23">
        <v>45700</v>
      </c>
      <c r="C1066" s="23" t="str">
        <f t="shared" si="48"/>
        <v>Feb</v>
      </c>
      <c r="D1066" s="23" t="str">
        <f t="shared" si="49"/>
        <v>2025</v>
      </c>
      <c r="E1066" s="23" t="str">
        <f t="shared" si="50"/>
        <v>Q1</v>
      </c>
      <c r="F1066" t="s">
        <v>3834</v>
      </c>
      <c r="G1066" s="24" t="s">
        <v>58</v>
      </c>
      <c r="H1066" s="17">
        <v>4</v>
      </c>
      <c r="I1066" s="19">
        <v>198.81</v>
      </c>
      <c r="J1066" t="s">
        <v>1105</v>
      </c>
      <c r="K1066" s="24" t="s">
        <v>65</v>
      </c>
      <c r="L1066" s="24" t="s">
        <v>43</v>
      </c>
      <c r="M1066" t="s">
        <v>3835</v>
      </c>
      <c r="N1066" s="17">
        <v>9</v>
      </c>
      <c r="O1066" t="s">
        <v>37</v>
      </c>
      <c r="P1066" s="24" t="s">
        <v>29</v>
      </c>
      <c r="Q1066" s="19">
        <v>795.24</v>
      </c>
    </row>
    <row r="1067" spans="1:17">
      <c r="A1067" t="s">
        <v>3836</v>
      </c>
      <c r="B1067" s="23">
        <v>45229</v>
      </c>
      <c r="C1067" s="23" t="str">
        <f t="shared" si="48"/>
        <v>Oct</v>
      </c>
      <c r="D1067" s="23" t="str">
        <f t="shared" si="49"/>
        <v>2023</v>
      </c>
      <c r="E1067" s="23" t="str">
        <f t="shared" si="50"/>
        <v>Q4</v>
      </c>
      <c r="F1067" t="s">
        <v>3837</v>
      </c>
      <c r="G1067" s="24" t="s">
        <v>48</v>
      </c>
      <c r="H1067" s="17">
        <v>5</v>
      </c>
      <c r="I1067" s="19">
        <v>666.8</v>
      </c>
      <c r="J1067" t="s">
        <v>1652</v>
      </c>
      <c r="K1067" s="24" t="s">
        <v>18</v>
      </c>
      <c r="L1067" s="24" t="s">
        <v>50</v>
      </c>
      <c r="M1067" t="s">
        <v>3838</v>
      </c>
      <c r="N1067" s="17">
        <v>7</v>
      </c>
      <c r="O1067" t="s">
        <v>21</v>
      </c>
      <c r="P1067" s="24" t="s">
        <v>29</v>
      </c>
      <c r="Q1067" s="19">
        <v>3334</v>
      </c>
    </row>
    <row r="1068" spans="1:17">
      <c r="A1068" t="s">
        <v>3839</v>
      </c>
      <c r="B1068" s="23">
        <v>45280</v>
      </c>
      <c r="C1068" s="23" t="str">
        <f t="shared" si="48"/>
        <v>Dec</v>
      </c>
      <c r="D1068" s="23" t="str">
        <f t="shared" si="49"/>
        <v>2023</v>
      </c>
      <c r="E1068" s="23" t="str">
        <f t="shared" si="50"/>
        <v>Q4</v>
      </c>
      <c r="F1068" t="s">
        <v>3840</v>
      </c>
      <c r="G1068" s="24" t="s">
        <v>73</v>
      </c>
      <c r="H1068" s="17">
        <v>1</v>
      </c>
      <c r="I1068" s="19">
        <v>355.09</v>
      </c>
      <c r="J1068" t="s">
        <v>2586</v>
      </c>
      <c r="K1068" s="24" t="s">
        <v>18</v>
      </c>
      <c r="L1068" s="24" t="s">
        <v>35</v>
      </c>
      <c r="M1068" t="s">
        <v>3841</v>
      </c>
      <c r="N1068" s="17">
        <v>5</v>
      </c>
      <c r="O1068" t="s">
        <v>21</v>
      </c>
      <c r="P1068" s="24" t="s">
        <v>22</v>
      </c>
      <c r="Q1068" s="19">
        <v>355.09</v>
      </c>
    </row>
    <row r="1069" spans="1:17">
      <c r="A1069" t="s">
        <v>3842</v>
      </c>
      <c r="B1069" s="23">
        <v>45083</v>
      </c>
      <c r="C1069" s="23" t="str">
        <f t="shared" si="48"/>
        <v>Jun</v>
      </c>
      <c r="D1069" s="23" t="str">
        <f t="shared" si="49"/>
        <v>2023</v>
      </c>
      <c r="E1069" s="23" t="str">
        <f t="shared" si="50"/>
        <v>Q2</v>
      </c>
      <c r="F1069" t="s">
        <v>3843</v>
      </c>
      <c r="G1069" s="24" t="s">
        <v>25</v>
      </c>
      <c r="H1069" s="17">
        <v>2</v>
      </c>
      <c r="I1069" s="19">
        <v>316.2</v>
      </c>
      <c r="J1069" t="s">
        <v>316</v>
      </c>
      <c r="K1069" s="24" t="s">
        <v>27</v>
      </c>
      <c r="L1069" s="24" t="s">
        <v>43</v>
      </c>
      <c r="M1069" t="s">
        <v>3844</v>
      </c>
      <c r="N1069" s="17">
        <v>2</v>
      </c>
      <c r="O1069" t="s">
        <v>4295</v>
      </c>
      <c r="P1069" s="24" t="s">
        <v>22</v>
      </c>
      <c r="Q1069" s="19">
        <v>632.4</v>
      </c>
    </row>
    <row r="1070" spans="1:17">
      <c r="A1070" t="s">
        <v>3845</v>
      </c>
      <c r="B1070" s="23">
        <v>45507</v>
      </c>
      <c r="C1070" s="23" t="str">
        <f t="shared" si="48"/>
        <v>Aug</v>
      </c>
      <c r="D1070" s="23" t="str">
        <f t="shared" si="49"/>
        <v>2024</v>
      </c>
      <c r="E1070" s="23" t="str">
        <f t="shared" si="50"/>
        <v>Q3</v>
      </c>
      <c r="F1070" t="s">
        <v>3846</v>
      </c>
      <c r="G1070" s="24" t="s">
        <v>58</v>
      </c>
      <c r="H1070" s="17">
        <v>1</v>
      </c>
      <c r="I1070" s="19">
        <v>133.39</v>
      </c>
      <c r="J1070" t="s">
        <v>3847</v>
      </c>
      <c r="K1070" s="24" t="s">
        <v>18</v>
      </c>
      <c r="L1070" s="24" t="s">
        <v>19</v>
      </c>
      <c r="M1070" t="s">
        <v>3848</v>
      </c>
      <c r="N1070" s="17">
        <v>2</v>
      </c>
      <c r="O1070" t="s">
        <v>21</v>
      </c>
      <c r="P1070" s="24" t="s">
        <v>29</v>
      </c>
      <c r="Q1070" s="19">
        <v>133.39</v>
      </c>
    </row>
    <row r="1071" spans="1:17">
      <c r="A1071" t="s">
        <v>3849</v>
      </c>
      <c r="B1071" s="23">
        <v>44982</v>
      </c>
      <c r="C1071" s="23" t="str">
        <f t="shared" si="48"/>
        <v>Feb</v>
      </c>
      <c r="D1071" s="23" t="str">
        <f t="shared" si="49"/>
        <v>2023</v>
      </c>
      <c r="E1071" s="23" t="str">
        <f t="shared" si="50"/>
        <v>Q1</v>
      </c>
      <c r="F1071" t="s">
        <v>3850</v>
      </c>
      <c r="G1071" s="24" t="s">
        <v>16</v>
      </c>
      <c r="H1071" s="17">
        <v>1</v>
      </c>
      <c r="I1071" s="19">
        <v>454.23</v>
      </c>
      <c r="J1071" t="s">
        <v>968</v>
      </c>
      <c r="K1071" s="24" t="s">
        <v>60</v>
      </c>
      <c r="L1071" s="24" t="s">
        <v>43</v>
      </c>
      <c r="M1071" t="s">
        <v>3851</v>
      </c>
      <c r="N1071" s="17">
        <v>3</v>
      </c>
      <c r="O1071" t="s">
        <v>4295</v>
      </c>
      <c r="P1071" s="24" t="s">
        <v>45</v>
      </c>
      <c r="Q1071" s="19">
        <v>454.23</v>
      </c>
    </row>
    <row r="1072" spans="1:17">
      <c r="A1072" t="s">
        <v>3852</v>
      </c>
      <c r="B1072" s="23">
        <v>45541</v>
      </c>
      <c r="C1072" s="23" t="str">
        <f t="shared" si="48"/>
        <v>Sep</v>
      </c>
      <c r="D1072" s="23" t="str">
        <f t="shared" si="49"/>
        <v>2024</v>
      </c>
      <c r="E1072" s="23" t="str">
        <f t="shared" si="50"/>
        <v>Q3</v>
      </c>
      <c r="F1072" t="s">
        <v>3853</v>
      </c>
      <c r="G1072" s="24" t="s">
        <v>73</v>
      </c>
      <c r="H1072" s="17">
        <v>4</v>
      </c>
      <c r="I1072" s="19">
        <v>491.29</v>
      </c>
      <c r="J1072" t="s">
        <v>359</v>
      </c>
      <c r="K1072" s="24" t="s">
        <v>18</v>
      </c>
      <c r="L1072" s="24" t="s">
        <v>89</v>
      </c>
      <c r="M1072" t="s">
        <v>3854</v>
      </c>
      <c r="N1072" s="17">
        <v>6</v>
      </c>
      <c r="O1072" t="s">
        <v>4295</v>
      </c>
      <c r="P1072" s="24" t="s">
        <v>38</v>
      </c>
      <c r="Q1072" s="19">
        <v>1965.16</v>
      </c>
    </row>
    <row r="1073" spans="1:17">
      <c r="A1073" t="s">
        <v>3855</v>
      </c>
      <c r="B1073" s="23">
        <v>45832</v>
      </c>
      <c r="C1073" s="23" t="str">
        <f t="shared" si="48"/>
        <v>Jun</v>
      </c>
      <c r="D1073" s="23" t="str">
        <f t="shared" si="49"/>
        <v>2025</v>
      </c>
      <c r="E1073" s="23" t="str">
        <f t="shared" si="50"/>
        <v>Q2</v>
      </c>
      <c r="F1073" t="s">
        <v>3856</v>
      </c>
      <c r="G1073" s="24" t="s">
        <v>25</v>
      </c>
      <c r="H1073" s="17">
        <v>2</v>
      </c>
      <c r="I1073" s="19">
        <v>255.14</v>
      </c>
      <c r="J1073" t="s">
        <v>1455</v>
      </c>
      <c r="K1073" s="24" t="s">
        <v>65</v>
      </c>
      <c r="L1073" s="24" t="s">
        <v>19</v>
      </c>
      <c r="M1073" t="s">
        <v>3857</v>
      </c>
      <c r="N1073" s="17">
        <v>2</v>
      </c>
      <c r="O1073" t="s">
        <v>4295</v>
      </c>
      <c r="P1073" s="24" t="s">
        <v>76</v>
      </c>
      <c r="Q1073" s="19">
        <v>510.28</v>
      </c>
    </row>
    <row r="1074" spans="1:17">
      <c r="A1074" t="s">
        <v>3858</v>
      </c>
      <c r="B1074" s="23">
        <v>44983</v>
      </c>
      <c r="C1074" s="23" t="str">
        <f t="shared" si="48"/>
        <v>Feb</v>
      </c>
      <c r="D1074" s="23" t="str">
        <f t="shared" si="49"/>
        <v>2023</v>
      </c>
      <c r="E1074" s="23" t="str">
        <f t="shared" si="50"/>
        <v>Q1</v>
      </c>
      <c r="F1074" t="s">
        <v>3859</v>
      </c>
      <c r="G1074" s="24" t="s">
        <v>16</v>
      </c>
      <c r="H1074" s="17">
        <v>1</v>
      </c>
      <c r="I1074" s="19">
        <v>392.61</v>
      </c>
      <c r="J1074" t="s">
        <v>1058</v>
      </c>
      <c r="K1074" s="24" t="s">
        <v>60</v>
      </c>
      <c r="L1074" s="24" t="s">
        <v>35</v>
      </c>
      <c r="M1074" t="s">
        <v>3860</v>
      </c>
      <c r="N1074" s="17">
        <v>4</v>
      </c>
      <c r="O1074" t="s">
        <v>21</v>
      </c>
      <c r="P1074" s="24" t="s">
        <v>29</v>
      </c>
      <c r="Q1074" s="19">
        <v>392.61</v>
      </c>
    </row>
    <row r="1075" spans="1:17">
      <c r="A1075" t="s">
        <v>3861</v>
      </c>
      <c r="B1075" s="23">
        <v>45576</v>
      </c>
      <c r="C1075" s="23" t="str">
        <f t="shared" si="48"/>
        <v>Oct</v>
      </c>
      <c r="D1075" s="23" t="str">
        <f t="shared" si="49"/>
        <v>2024</v>
      </c>
      <c r="E1075" s="23" t="str">
        <f t="shared" si="50"/>
        <v>Q4</v>
      </c>
      <c r="F1075" t="s">
        <v>3862</v>
      </c>
      <c r="G1075" s="24" t="s">
        <v>32</v>
      </c>
      <c r="H1075" s="17">
        <v>4</v>
      </c>
      <c r="I1075" s="19">
        <v>362.06</v>
      </c>
      <c r="J1075" t="s">
        <v>1036</v>
      </c>
      <c r="K1075" s="24" t="s">
        <v>18</v>
      </c>
      <c r="L1075" s="24" t="s">
        <v>43</v>
      </c>
      <c r="M1075" t="s">
        <v>3863</v>
      </c>
      <c r="N1075" s="17">
        <v>4</v>
      </c>
      <c r="O1075" t="s">
        <v>4295</v>
      </c>
      <c r="P1075" s="24" t="s">
        <v>45</v>
      </c>
      <c r="Q1075" s="19">
        <v>1448.24</v>
      </c>
    </row>
    <row r="1076" spans="1:17">
      <c r="A1076" t="s">
        <v>3864</v>
      </c>
      <c r="B1076" s="23">
        <v>45422</v>
      </c>
      <c r="C1076" s="23" t="str">
        <f t="shared" si="48"/>
        <v>May</v>
      </c>
      <c r="D1076" s="23" t="str">
        <f t="shared" si="49"/>
        <v>2024</v>
      </c>
      <c r="E1076" s="23" t="str">
        <f t="shared" si="50"/>
        <v>Q2</v>
      </c>
      <c r="F1076" t="s">
        <v>3865</v>
      </c>
      <c r="G1076" s="24" t="s">
        <v>25</v>
      </c>
      <c r="H1076" s="17">
        <v>1</v>
      </c>
      <c r="I1076" s="19">
        <v>222.73</v>
      </c>
      <c r="J1076" t="s">
        <v>3866</v>
      </c>
      <c r="K1076" s="24" t="s">
        <v>27</v>
      </c>
      <c r="L1076" s="24" t="s">
        <v>43</v>
      </c>
      <c r="M1076" t="s">
        <v>3867</v>
      </c>
      <c r="N1076" s="17">
        <v>4</v>
      </c>
      <c r="O1076" t="s">
        <v>4295</v>
      </c>
      <c r="P1076" s="24" t="s">
        <v>76</v>
      </c>
      <c r="Q1076" s="19">
        <v>222.73</v>
      </c>
    </row>
    <row r="1077" spans="1:17">
      <c r="A1077" t="s">
        <v>3868</v>
      </c>
      <c r="B1077" s="23">
        <v>45535</v>
      </c>
      <c r="C1077" s="23" t="str">
        <f t="shared" si="48"/>
        <v>Aug</v>
      </c>
      <c r="D1077" s="23" t="str">
        <f t="shared" si="49"/>
        <v>2024</v>
      </c>
      <c r="E1077" s="23" t="str">
        <f t="shared" si="50"/>
        <v>Q3</v>
      </c>
      <c r="F1077" t="s">
        <v>3869</v>
      </c>
      <c r="G1077" s="24" t="s">
        <v>16</v>
      </c>
      <c r="H1077" s="17">
        <v>2</v>
      </c>
      <c r="I1077" s="19">
        <v>552.63</v>
      </c>
      <c r="J1077" t="s">
        <v>837</v>
      </c>
      <c r="K1077" s="24" t="s">
        <v>18</v>
      </c>
      <c r="L1077" s="24" t="s">
        <v>50</v>
      </c>
      <c r="M1077" t="s">
        <v>3870</v>
      </c>
      <c r="N1077" s="17">
        <v>7</v>
      </c>
      <c r="O1077" t="s">
        <v>81</v>
      </c>
      <c r="P1077" s="24" t="s">
        <v>22</v>
      </c>
      <c r="Q1077" s="19">
        <v>1105.26</v>
      </c>
    </row>
    <row r="1078" spans="1:17">
      <c r="A1078" t="s">
        <v>3871</v>
      </c>
      <c r="B1078" s="23">
        <v>45054</v>
      </c>
      <c r="C1078" s="23" t="str">
        <f t="shared" si="48"/>
        <v>May</v>
      </c>
      <c r="D1078" s="23" t="str">
        <f t="shared" si="49"/>
        <v>2023</v>
      </c>
      <c r="E1078" s="23" t="str">
        <f t="shared" si="50"/>
        <v>Q2</v>
      </c>
      <c r="F1078" t="s">
        <v>3872</v>
      </c>
      <c r="G1078" s="24" t="s">
        <v>58</v>
      </c>
      <c r="H1078" s="17">
        <v>4</v>
      </c>
      <c r="I1078" s="19">
        <v>686.61</v>
      </c>
      <c r="J1078" t="s">
        <v>3718</v>
      </c>
      <c r="K1078" s="24" t="s">
        <v>65</v>
      </c>
      <c r="L1078" s="24" t="s">
        <v>19</v>
      </c>
      <c r="M1078" t="s">
        <v>3873</v>
      </c>
      <c r="N1078" s="17">
        <v>6</v>
      </c>
      <c r="O1078" t="s">
        <v>4295</v>
      </c>
      <c r="P1078" s="24" t="s">
        <v>29</v>
      </c>
      <c r="Q1078" s="19">
        <v>2746.44</v>
      </c>
    </row>
    <row r="1079" spans="1:17">
      <c r="A1079" t="s">
        <v>3874</v>
      </c>
      <c r="B1079" s="23">
        <v>45723</v>
      </c>
      <c r="C1079" s="23" t="str">
        <f t="shared" si="48"/>
        <v>Mar</v>
      </c>
      <c r="D1079" s="23" t="str">
        <f t="shared" si="49"/>
        <v>2025</v>
      </c>
      <c r="E1079" s="23" t="str">
        <f t="shared" si="50"/>
        <v>Q1</v>
      </c>
      <c r="F1079" t="s">
        <v>3875</v>
      </c>
      <c r="G1079" s="24" t="s">
        <v>48</v>
      </c>
      <c r="H1079" s="17">
        <v>3</v>
      </c>
      <c r="I1079" s="19">
        <v>305.16</v>
      </c>
      <c r="J1079" t="s">
        <v>490</v>
      </c>
      <c r="K1079" s="24" t="s">
        <v>34</v>
      </c>
      <c r="L1079" s="24" t="s">
        <v>35</v>
      </c>
      <c r="M1079" t="s">
        <v>3876</v>
      </c>
      <c r="N1079" s="17">
        <v>8</v>
      </c>
      <c r="O1079" t="s">
        <v>21</v>
      </c>
      <c r="P1079" s="24" t="s">
        <v>29</v>
      </c>
      <c r="Q1079" s="19">
        <v>915.48</v>
      </c>
    </row>
    <row r="1080" spans="1:17">
      <c r="A1080" t="s">
        <v>3877</v>
      </c>
      <c r="B1080" s="23">
        <v>45003</v>
      </c>
      <c r="C1080" s="23" t="str">
        <f t="shared" si="48"/>
        <v>Mar</v>
      </c>
      <c r="D1080" s="23" t="str">
        <f t="shared" si="49"/>
        <v>2023</v>
      </c>
      <c r="E1080" s="23" t="str">
        <f t="shared" si="50"/>
        <v>Q1</v>
      </c>
      <c r="F1080" t="s">
        <v>3878</v>
      </c>
      <c r="G1080" s="24" t="s">
        <v>73</v>
      </c>
      <c r="H1080" s="17">
        <v>1</v>
      </c>
      <c r="I1080" s="19">
        <v>41.09</v>
      </c>
      <c r="J1080" t="s">
        <v>149</v>
      </c>
      <c r="K1080" s="24" t="s">
        <v>27</v>
      </c>
      <c r="L1080" s="24" t="s">
        <v>43</v>
      </c>
      <c r="M1080" t="s">
        <v>3879</v>
      </c>
      <c r="N1080" s="17">
        <v>4</v>
      </c>
      <c r="O1080" t="s">
        <v>81</v>
      </c>
      <c r="P1080" s="24" t="s">
        <v>38</v>
      </c>
      <c r="Q1080" s="19">
        <v>41.09</v>
      </c>
    </row>
    <row r="1081" spans="1:17">
      <c r="A1081" t="s">
        <v>3880</v>
      </c>
      <c r="B1081" s="23">
        <v>45463</v>
      </c>
      <c r="C1081" s="23" t="str">
        <f t="shared" si="48"/>
        <v>Jun</v>
      </c>
      <c r="D1081" s="23" t="str">
        <f t="shared" si="49"/>
        <v>2024</v>
      </c>
      <c r="E1081" s="23" t="str">
        <f t="shared" si="50"/>
        <v>Q2</v>
      </c>
      <c r="F1081" t="s">
        <v>3881</v>
      </c>
      <c r="G1081" s="24" t="s">
        <v>25</v>
      </c>
      <c r="H1081" s="17">
        <v>5</v>
      </c>
      <c r="I1081" s="19">
        <v>634</v>
      </c>
      <c r="J1081" t="s">
        <v>3370</v>
      </c>
      <c r="K1081" s="24" t="s">
        <v>60</v>
      </c>
      <c r="L1081" s="24" t="s">
        <v>50</v>
      </c>
      <c r="M1081" t="s">
        <v>3882</v>
      </c>
      <c r="N1081" s="17">
        <v>8</v>
      </c>
      <c r="O1081" t="s">
        <v>4295</v>
      </c>
      <c r="P1081" s="24" t="s">
        <v>38</v>
      </c>
      <c r="Q1081" s="19">
        <v>3170</v>
      </c>
    </row>
    <row r="1082" spans="1:17">
      <c r="A1082" t="s">
        <v>3883</v>
      </c>
      <c r="B1082" s="23">
        <v>44946</v>
      </c>
      <c r="C1082" s="23" t="str">
        <f t="shared" si="48"/>
        <v>Jan</v>
      </c>
      <c r="D1082" s="23" t="str">
        <f t="shared" si="49"/>
        <v>2023</v>
      </c>
      <c r="E1082" s="23" t="str">
        <f t="shared" si="50"/>
        <v>Q1</v>
      </c>
      <c r="F1082" t="s">
        <v>3884</v>
      </c>
      <c r="G1082" s="24" t="s">
        <v>58</v>
      </c>
      <c r="H1082" s="17">
        <v>5</v>
      </c>
      <c r="I1082" s="19">
        <v>464.74</v>
      </c>
      <c r="J1082" t="s">
        <v>3885</v>
      </c>
      <c r="K1082" s="24" t="s">
        <v>60</v>
      </c>
      <c r="L1082" s="24" t="s">
        <v>50</v>
      </c>
      <c r="M1082" t="s">
        <v>3886</v>
      </c>
      <c r="N1082" s="17">
        <v>7</v>
      </c>
      <c r="O1082" t="s">
        <v>4295</v>
      </c>
      <c r="P1082" s="24" t="s">
        <v>29</v>
      </c>
      <c r="Q1082" s="19">
        <v>2323.7</v>
      </c>
    </row>
    <row r="1083" spans="1:17">
      <c r="A1083" t="s">
        <v>3887</v>
      </c>
      <c r="B1083" s="23">
        <v>45037</v>
      </c>
      <c r="C1083" s="23" t="str">
        <f t="shared" si="48"/>
        <v>Apr</v>
      </c>
      <c r="D1083" s="23" t="str">
        <f t="shared" si="49"/>
        <v>2023</v>
      </c>
      <c r="E1083" s="23" t="str">
        <f t="shared" si="50"/>
        <v>Q2</v>
      </c>
      <c r="F1083" t="s">
        <v>3888</v>
      </c>
      <c r="G1083" s="24" t="s">
        <v>16</v>
      </c>
      <c r="H1083" s="17">
        <v>4</v>
      </c>
      <c r="I1083" s="19">
        <v>425.6</v>
      </c>
      <c r="J1083" t="s">
        <v>1388</v>
      </c>
      <c r="K1083" s="24" t="s">
        <v>34</v>
      </c>
      <c r="L1083" s="24" t="s">
        <v>89</v>
      </c>
      <c r="M1083" t="s">
        <v>3889</v>
      </c>
      <c r="N1083" s="17">
        <v>5</v>
      </c>
      <c r="O1083" t="s">
        <v>37</v>
      </c>
      <c r="P1083" s="24" t="s">
        <v>76</v>
      </c>
      <c r="Q1083" s="19">
        <v>1702.4</v>
      </c>
    </row>
    <row r="1084" spans="1:17">
      <c r="A1084" t="s">
        <v>3890</v>
      </c>
      <c r="B1084" s="23">
        <v>45205</v>
      </c>
      <c r="C1084" s="23" t="str">
        <f t="shared" si="48"/>
        <v>Oct</v>
      </c>
      <c r="D1084" s="23" t="str">
        <f t="shared" si="49"/>
        <v>2023</v>
      </c>
      <c r="E1084" s="23" t="str">
        <f t="shared" si="50"/>
        <v>Q4</v>
      </c>
      <c r="F1084" t="s">
        <v>3891</v>
      </c>
      <c r="G1084" s="24" t="s">
        <v>41</v>
      </c>
      <c r="H1084" s="17">
        <v>3</v>
      </c>
      <c r="I1084" s="19">
        <v>573.22</v>
      </c>
      <c r="J1084" t="s">
        <v>3751</v>
      </c>
      <c r="K1084" s="24" t="s">
        <v>18</v>
      </c>
      <c r="L1084" s="24" t="s">
        <v>89</v>
      </c>
      <c r="M1084" t="s">
        <v>3892</v>
      </c>
      <c r="N1084" s="17">
        <v>5</v>
      </c>
      <c r="O1084" t="s">
        <v>21</v>
      </c>
      <c r="P1084" s="24" t="s">
        <v>38</v>
      </c>
      <c r="Q1084" s="19">
        <v>1719.66</v>
      </c>
    </row>
    <row r="1085" spans="1:17">
      <c r="A1085" t="s">
        <v>3893</v>
      </c>
      <c r="B1085" s="23">
        <v>45482</v>
      </c>
      <c r="C1085" s="23" t="str">
        <f t="shared" si="48"/>
        <v>Jul</v>
      </c>
      <c r="D1085" s="23" t="str">
        <f t="shared" si="49"/>
        <v>2024</v>
      </c>
      <c r="E1085" s="23" t="str">
        <f t="shared" si="50"/>
        <v>Q3</v>
      </c>
      <c r="F1085" t="s">
        <v>3894</v>
      </c>
      <c r="G1085" s="24" t="s">
        <v>41</v>
      </c>
      <c r="H1085" s="17">
        <v>1</v>
      </c>
      <c r="I1085" s="19">
        <v>123.28</v>
      </c>
      <c r="J1085" t="s">
        <v>161</v>
      </c>
      <c r="K1085" s="24" t="s">
        <v>34</v>
      </c>
      <c r="L1085" s="24" t="s">
        <v>50</v>
      </c>
      <c r="M1085" t="s">
        <v>3895</v>
      </c>
      <c r="N1085" s="17">
        <v>3</v>
      </c>
      <c r="O1085" t="s">
        <v>21</v>
      </c>
      <c r="P1085" s="24" t="s">
        <v>38</v>
      </c>
      <c r="Q1085" s="19">
        <v>123.28</v>
      </c>
    </row>
    <row r="1086" spans="1:17">
      <c r="A1086" t="s">
        <v>3896</v>
      </c>
      <c r="B1086" s="23">
        <v>44934</v>
      </c>
      <c r="C1086" s="23" t="str">
        <f t="shared" si="48"/>
        <v>Jan</v>
      </c>
      <c r="D1086" s="23" t="str">
        <f t="shared" si="49"/>
        <v>2023</v>
      </c>
      <c r="E1086" s="23" t="str">
        <f t="shared" si="50"/>
        <v>Q1</v>
      </c>
      <c r="F1086" t="s">
        <v>3897</v>
      </c>
      <c r="G1086" s="24" t="s">
        <v>25</v>
      </c>
      <c r="H1086" s="17">
        <v>1</v>
      </c>
      <c r="I1086" s="19">
        <v>70.82</v>
      </c>
      <c r="J1086" t="s">
        <v>181</v>
      </c>
      <c r="K1086" s="24" t="s">
        <v>60</v>
      </c>
      <c r="L1086" s="24" t="s">
        <v>89</v>
      </c>
      <c r="M1086" t="s">
        <v>3898</v>
      </c>
      <c r="N1086" s="17">
        <v>1</v>
      </c>
      <c r="O1086" t="s">
        <v>81</v>
      </c>
      <c r="P1086" s="24" t="s">
        <v>22</v>
      </c>
      <c r="Q1086" s="19">
        <v>70.82</v>
      </c>
    </row>
    <row r="1087" spans="1:17">
      <c r="A1087" t="s">
        <v>3899</v>
      </c>
      <c r="B1087" s="23">
        <v>45067</v>
      </c>
      <c r="C1087" s="23" t="str">
        <f t="shared" si="48"/>
        <v>May</v>
      </c>
      <c r="D1087" s="23" t="str">
        <f t="shared" si="49"/>
        <v>2023</v>
      </c>
      <c r="E1087" s="23" t="str">
        <f t="shared" si="50"/>
        <v>Q2</v>
      </c>
      <c r="F1087" t="s">
        <v>3900</v>
      </c>
      <c r="G1087" s="24" t="s">
        <v>48</v>
      </c>
      <c r="H1087" s="17">
        <v>2</v>
      </c>
      <c r="I1087" s="19">
        <v>646.69</v>
      </c>
      <c r="J1087" t="s">
        <v>614</v>
      </c>
      <c r="K1087" s="24" t="s">
        <v>18</v>
      </c>
      <c r="L1087" s="24" t="s">
        <v>19</v>
      </c>
      <c r="M1087" t="s">
        <v>3901</v>
      </c>
      <c r="N1087" s="17">
        <v>7</v>
      </c>
      <c r="O1087" t="s">
        <v>81</v>
      </c>
      <c r="P1087" s="24" t="s">
        <v>22</v>
      </c>
      <c r="Q1087" s="19">
        <v>1293.38</v>
      </c>
    </row>
    <row r="1088" spans="1:17">
      <c r="A1088" t="s">
        <v>3902</v>
      </c>
      <c r="B1088" s="23">
        <v>45283</v>
      </c>
      <c r="C1088" s="23" t="str">
        <f t="shared" si="48"/>
        <v>Dec</v>
      </c>
      <c r="D1088" s="23" t="str">
        <f t="shared" si="49"/>
        <v>2023</v>
      </c>
      <c r="E1088" s="23" t="str">
        <f t="shared" si="50"/>
        <v>Q4</v>
      </c>
      <c r="F1088" t="s">
        <v>3903</v>
      </c>
      <c r="G1088" s="24" t="s">
        <v>32</v>
      </c>
      <c r="H1088" s="17">
        <v>2</v>
      </c>
      <c r="I1088" s="19">
        <v>513.42</v>
      </c>
      <c r="J1088" t="s">
        <v>3904</v>
      </c>
      <c r="K1088" s="24" t="s">
        <v>27</v>
      </c>
      <c r="L1088" s="24" t="s">
        <v>89</v>
      </c>
      <c r="M1088" t="s">
        <v>3905</v>
      </c>
      <c r="N1088" s="17">
        <v>5</v>
      </c>
      <c r="O1088" t="s">
        <v>81</v>
      </c>
      <c r="P1088" s="24" t="s">
        <v>22</v>
      </c>
      <c r="Q1088" s="19">
        <v>1026.84</v>
      </c>
    </row>
    <row r="1089" spans="1:17">
      <c r="A1089" t="s">
        <v>3906</v>
      </c>
      <c r="B1089" s="23">
        <v>45739</v>
      </c>
      <c r="C1089" s="23" t="str">
        <f t="shared" si="48"/>
        <v>Mar</v>
      </c>
      <c r="D1089" s="23" t="str">
        <f t="shared" si="49"/>
        <v>2025</v>
      </c>
      <c r="E1089" s="23" t="str">
        <f t="shared" si="50"/>
        <v>Q1</v>
      </c>
      <c r="F1089" t="s">
        <v>3907</v>
      </c>
      <c r="G1089" s="24" t="s">
        <v>58</v>
      </c>
      <c r="H1089" s="17">
        <v>4</v>
      </c>
      <c r="I1089" s="19">
        <v>693.07</v>
      </c>
      <c r="J1089" t="s">
        <v>3908</v>
      </c>
      <c r="K1089" s="24" t="s">
        <v>27</v>
      </c>
      <c r="L1089" s="24" t="s">
        <v>19</v>
      </c>
      <c r="M1089" t="s">
        <v>3909</v>
      </c>
      <c r="N1089" s="17">
        <v>8</v>
      </c>
      <c r="O1089" t="s">
        <v>21</v>
      </c>
      <c r="P1089" s="24" t="s">
        <v>22</v>
      </c>
      <c r="Q1089" s="19">
        <v>2772.28</v>
      </c>
    </row>
    <row r="1090" spans="1:17">
      <c r="A1090" t="s">
        <v>3910</v>
      </c>
      <c r="B1090" s="23">
        <v>45260</v>
      </c>
      <c r="C1090" s="23" t="str">
        <f t="shared" ref="C1090:C1153" si="51">TEXT(B1090,"MMM")</f>
        <v>Nov</v>
      </c>
      <c r="D1090" s="23" t="str">
        <f t="shared" ref="D1090:D1153" si="52">TEXT(B1090,"YYYY")</f>
        <v>2023</v>
      </c>
      <c r="E1090" s="23" t="str">
        <f t="shared" ref="E1090:E1153" si="53">"Q"&amp;ROUNDUP(MONTH(B1090)/3,0)</f>
        <v>Q4</v>
      </c>
      <c r="F1090" t="s">
        <v>3911</v>
      </c>
      <c r="G1090" s="24" t="s">
        <v>73</v>
      </c>
      <c r="H1090" s="17">
        <v>3</v>
      </c>
      <c r="I1090" s="19">
        <v>491.43</v>
      </c>
      <c r="J1090" t="s">
        <v>3912</v>
      </c>
      <c r="K1090" s="24" t="s">
        <v>60</v>
      </c>
      <c r="L1090" s="24" t="s">
        <v>19</v>
      </c>
      <c r="M1090" t="s">
        <v>3913</v>
      </c>
      <c r="N1090" s="17">
        <v>6</v>
      </c>
      <c r="O1090" t="s">
        <v>81</v>
      </c>
      <c r="P1090" s="24" t="s">
        <v>22</v>
      </c>
      <c r="Q1090" s="19">
        <v>1474.29</v>
      </c>
    </row>
    <row r="1091" spans="1:17">
      <c r="A1091" t="s">
        <v>3914</v>
      </c>
      <c r="B1091" s="23">
        <v>45731</v>
      </c>
      <c r="C1091" s="23" t="str">
        <f t="shared" si="51"/>
        <v>Mar</v>
      </c>
      <c r="D1091" s="23" t="str">
        <f t="shared" si="52"/>
        <v>2025</v>
      </c>
      <c r="E1091" s="23" t="str">
        <f t="shared" si="53"/>
        <v>Q1</v>
      </c>
      <c r="F1091" t="s">
        <v>3915</v>
      </c>
      <c r="G1091" s="24" t="s">
        <v>32</v>
      </c>
      <c r="H1091" s="17">
        <v>2</v>
      </c>
      <c r="I1091" s="19">
        <v>599.74</v>
      </c>
      <c r="J1091" t="s">
        <v>305</v>
      </c>
      <c r="K1091" s="24" t="s">
        <v>60</v>
      </c>
      <c r="L1091" s="24" t="s">
        <v>19</v>
      </c>
      <c r="M1091" t="s">
        <v>3916</v>
      </c>
      <c r="N1091" s="17">
        <v>2</v>
      </c>
      <c r="O1091" t="s">
        <v>4295</v>
      </c>
      <c r="P1091" s="24" t="s">
        <v>22</v>
      </c>
      <c r="Q1091" s="19">
        <v>1199.48</v>
      </c>
    </row>
    <row r="1092" spans="1:17">
      <c r="A1092" t="s">
        <v>3917</v>
      </c>
      <c r="B1092" s="23">
        <v>44982</v>
      </c>
      <c r="C1092" s="23" t="str">
        <f t="shared" si="51"/>
        <v>Feb</v>
      </c>
      <c r="D1092" s="23" t="str">
        <f t="shared" si="52"/>
        <v>2023</v>
      </c>
      <c r="E1092" s="23" t="str">
        <f t="shared" si="53"/>
        <v>Q1</v>
      </c>
      <c r="F1092" t="s">
        <v>3918</v>
      </c>
      <c r="G1092" s="24" t="s">
        <v>16</v>
      </c>
      <c r="H1092" s="17">
        <v>2</v>
      </c>
      <c r="I1092" s="19">
        <v>650.25</v>
      </c>
      <c r="J1092" t="s">
        <v>165</v>
      </c>
      <c r="K1092" s="24" t="s">
        <v>60</v>
      </c>
      <c r="L1092" s="24" t="s">
        <v>43</v>
      </c>
      <c r="M1092" t="s">
        <v>3919</v>
      </c>
      <c r="N1092" s="17">
        <v>6</v>
      </c>
      <c r="O1092" t="s">
        <v>4295</v>
      </c>
      <c r="P1092" s="24" t="s">
        <v>22</v>
      </c>
      <c r="Q1092" s="19">
        <v>1300.5</v>
      </c>
    </row>
    <row r="1093" spans="1:17">
      <c r="A1093" t="s">
        <v>3920</v>
      </c>
      <c r="B1093" s="23">
        <v>45573</v>
      </c>
      <c r="C1093" s="23" t="str">
        <f t="shared" si="51"/>
        <v>Oct</v>
      </c>
      <c r="D1093" s="23" t="str">
        <f t="shared" si="52"/>
        <v>2024</v>
      </c>
      <c r="E1093" s="23" t="str">
        <f t="shared" si="53"/>
        <v>Q4</v>
      </c>
      <c r="F1093" t="s">
        <v>3921</v>
      </c>
      <c r="G1093" s="24" t="s">
        <v>58</v>
      </c>
      <c r="H1093" s="17">
        <v>3</v>
      </c>
      <c r="I1093" s="19">
        <v>209.48</v>
      </c>
      <c r="J1093" t="s">
        <v>1609</v>
      </c>
      <c r="K1093" s="24" t="s">
        <v>18</v>
      </c>
      <c r="L1093" s="24" t="s">
        <v>89</v>
      </c>
      <c r="M1093" t="s">
        <v>3922</v>
      </c>
      <c r="N1093" s="17">
        <v>4</v>
      </c>
      <c r="O1093" t="s">
        <v>4295</v>
      </c>
      <c r="P1093" s="24" t="s">
        <v>38</v>
      </c>
      <c r="Q1093" s="19">
        <v>628.44</v>
      </c>
    </row>
    <row r="1094" spans="1:17">
      <c r="A1094" t="s">
        <v>3923</v>
      </c>
      <c r="B1094" s="23">
        <v>45159</v>
      </c>
      <c r="C1094" s="23" t="str">
        <f t="shared" si="51"/>
        <v>Aug</v>
      </c>
      <c r="D1094" s="23" t="str">
        <f t="shared" si="52"/>
        <v>2023</v>
      </c>
      <c r="E1094" s="23" t="str">
        <f t="shared" si="53"/>
        <v>Q3</v>
      </c>
      <c r="F1094" t="s">
        <v>3924</v>
      </c>
      <c r="G1094" s="24" t="s">
        <v>58</v>
      </c>
      <c r="H1094" s="17">
        <v>5</v>
      </c>
      <c r="I1094" s="19">
        <v>209.2</v>
      </c>
      <c r="J1094" t="s">
        <v>157</v>
      </c>
      <c r="K1094" s="24" t="s">
        <v>18</v>
      </c>
      <c r="L1094" s="24" t="s">
        <v>50</v>
      </c>
      <c r="M1094" t="s">
        <v>3925</v>
      </c>
      <c r="N1094" s="17">
        <v>6</v>
      </c>
      <c r="O1094" t="s">
        <v>81</v>
      </c>
      <c r="P1094" s="24" t="s">
        <v>38</v>
      </c>
      <c r="Q1094" s="19">
        <v>1046</v>
      </c>
    </row>
    <row r="1095" spans="1:17">
      <c r="A1095" t="s">
        <v>3926</v>
      </c>
      <c r="B1095" s="23">
        <v>45086</v>
      </c>
      <c r="C1095" s="23" t="str">
        <f t="shared" si="51"/>
        <v>Jun</v>
      </c>
      <c r="D1095" s="23" t="str">
        <f t="shared" si="52"/>
        <v>2023</v>
      </c>
      <c r="E1095" s="23" t="str">
        <f t="shared" si="53"/>
        <v>Q2</v>
      </c>
      <c r="F1095" t="s">
        <v>3927</v>
      </c>
      <c r="G1095" s="24" t="s">
        <v>25</v>
      </c>
      <c r="H1095" s="17">
        <v>4</v>
      </c>
      <c r="I1095" s="19">
        <v>197.36</v>
      </c>
      <c r="J1095" t="s">
        <v>3928</v>
      </c>
      <c r="K1095" s="24" t="s">
        <v>60</v>
      </c>
      <c r="L1095" s="24" t="s">
        <v>43</v>
      </c>
      <c r="M1095" t="s">
        <v>3929</v>
      </c>
      <c r="N1095" s="17">
        <v>9</v>
      </c>
      <c r="O1095" t="s">
        <v>37</v>
      </c>
      <c r="P1095" s="24" t="s">
        <v>22</v>
      </c>
      <c r="Q1095" s="19">
        <v>789.44</v>
      </c>
    </row>
    <row r="1096" spans="1:17">
      <c r="A1096" t="s">
        <v>3930</v>
      </c>
      <c r="B1096" s="23">
        <v>45105</v>
      </c>
      <c r="C1096" s="23" t="str">
        <f t="shared" si="51"/>
        <v>Jun</v>
      </c>
      <c r="D1096" s="23" t="str">
        <f t="shared" si="52"/>
        <v>2023</v>
      </c>
      <c r="E1096" s="23" t="str">
        <f t="shared" si="53"/>
        <v>Q2</v>
      </c>
      <c r="F1096" t="s">
        <v>3931</v>
      </c>
      <c r="G1096" s="24" t="s">
        <v>48</v>
      </c>
      <c r="H1096" s="17">
        <v>4</v>
      </c>
      <c r="I1096" s="19">
        <v>648.91</v>
      </c>
      <c r="J1096" t="s">
        <v>3932</v>
      </c>
      <c r="K1096" s="24" t="s">
        <v>34</v>
      </c>
      <c r="L1096" s="24" t="s">
        <v>19</v>
      </c>
      <c r="M1096" t="s">
        <v>3933</v>
      </c>
      <c r="N1096" s="17">
        <v>6</v>
      </c>
      <c r="O1096" t="s">
        <v>21</v>
      </c>
      <c r="P1096" s="24" t="s">
        <v>22</v>
      </c>
      <c r="Q1096" s="19">
        <v>2595.64</v>
      </c>
    </row>
    <row r="1097" spans="1:17">
      <c r="A1097" t="s">
        <v>3934</v>
      </c>
      <c r="B1097" s="23">
        <v>45405</v>
      </c>
      <c r="C1097" s="23" t="str">
        <f t="shared" si="51"/>
        <v>Apr</v>
      </c>
      <c r="D1097" s="23" t="str">
        <f t="shared" si="52"/>
        <v>2024</v>
      </c>
      <c r="E1097" s="23" t="str">
        <f t="shared" si="53"/>
        <v>Q2</v>
      </c>
      <c r="F1097" t="s">
        <v>3935</v>
      </c>
      <c r="G1097" s="24" t="s">
        <v>25</v>
      </c>
      <c r="H1097" s="17">
        <v>2</v>
      </c>
      <c r="I1097" s="19">
        <v>441.54</v>
      </c>
      <c r="J1097" t="s">
        <v>3936</v>
      </c>
      <c r="K1097" s="24" t="s">
        <v>27</v>
      </c>
      <c r="L1097" s="24" t="s">
        <v>50</v>
      </c>
      <c r="M1097" t="s">
        <v>3937</v>
      </c>
      <c r="N1097" s="17">
        <v>2</v>
      </c>
      <c r="O1097" t="s">
        <v>21</v>
      </c>
      <c r="P1097" s="24" t="s">
        <v>38</v>
      </c>
      <c r="Q1097" s="19">
        <v>883.08</v>
      </c>
    </row>
    <row r="1098" spans="1:17">
      <c r="A1098" t="s">
        <v>3938</v>
      </c>
      <c r="B1098" s="23">
        <v>45780</v>
      </c>
      <c r="C1098" s="23" t="str">
        <f t="shared" si="51"/>
        <v>May</v>
      </c>
      <c r="D1098" s="23" t="str">
        <f t="shared" si="52"/>
        <v>2025</v>
      </c>
      <c r="E1098" s="23" t="str">
        <f t="shared" si="53"/>
        <v>Q2</v>
      </c>
      <c r="F1098" t="s">
        <v>3939</v>
      </c>
      <c r="G1098" s="24" t="s">
        <v>32</v>
      </c>
      <c r="H1098" s="17">
        <v>2</v>
      </c>
      <c r="I1098" s="19">
        <v>464.92</v>
      </c>
      <c r="J1098" t="s">
        <v>3940</v>
      </c>
      <c r="K1098" s="24" t="s">
        <v>18</v>
      </c>
      <c r="L1098" s="24" t="s">
        <v>43</v>
      </c>
      <c r="M1098" t="s">
        <v>3941</v>
      </c>
      <c r="N1098" s="17">
        <v>2</v>
      </c>
      <c r="O1098" t="s">
        <v>4295</v>
      </c>
      <c r="P1098" s="24" t="s">
        <v>45</v>
      </c>
      <c r="Q1098" s="19">
        <v>929.84</v>
      </c>
    </row>
    <row r="1099" spans="1:17">
      <c r="A1099" t="s">
        <v>3942</v>
      </c>
      <c r="B1099" s="23">
        <v>45652</v>
      </c>
      <c r="C1099" s="23" t="str">
        <f t="shared" si="51"/>
        <v>Dec</v>
      </c>
      <c r="D1099" s="23" t="str">
        <f t="shared" si="52"/>
        <v>2024</v>
      </c>
      <c r="E1099" s="23" t="str">
        <f t="shared" si="53"/>
        <v>Q4</v>
      </c>
      <c r="F1099" t="s">
        <v>3943</v>
      </c>
      <c r="G1099" s="24" t="s">
        <v>16</v>
      </c>
      <c r="H1099" s="17">
        <v>5</v>
      </c>
      <c r="I1099" s="19">
        <v>506.45</v>
      </c>
      <c r="J1099" t="s">
        <v>3944</v>
      </c>
      <c r="K1099" s="24" t="s">
        <v>60</v>
      </c>
      <c r="L1099" s="24" t="s">
        <v>19</v>
      </c>
      <c r="M1099" t="s">
        <v>3945</v>
      </c>
      <c r="N1099" s="17">
        <v>7</v>
      </c>
      <c r="O1099" t="s">
        <v>81</v>
      </c>
      <c r="P1099" s="24" t="s">
        <v>76</v>
      </c>
      <c r="Q1099" s="19">
        <v>2532.25</v>
      </c>
    </row>
    <row r="1100" spans="1:17">
      <c r="A1100" t="s">
        <v>3946</v>
      </c>
      <c r="B1100" s="23">
        <v>45094</v>
      </c>
      <c r="C1100" s="23" t="str">
        <f t="shared" si="51"/>
        <v>Jun</v>
      </c>
      <c r="D1100" s="23" t="str">
        <f t="shared" si="52"/>
        <v>2023</v>
      </c>
      <c r="E1100" s="23" t="str">
        <f t="shared" si="53"/>
        <v>Q2</v>
      </c>
      <c r="F1100" t="s">
        <v>3947</v>
      </c>
      <c r="G1100" s="24" t="s">
        <v>16</v>
      </c>
      <c r="H1100" s="17">
        <v>4</v>
      </c>
      <c r="I1100" s="19">
        <v>255.86</v>
      </c>
      <c r="J1100" t="s">
        <v>3948</v>
      </c>
      <c r="K1100" s="24" t="s">
        <v>34</v>
      </c>
      <c r="L1100" s="24" t="s">
        <v>50</v>
      </c>
      <c r="M1100" t="s">
        <v>3949</v>
      </c>
      <c r="N1100" s="17">
        <v>7</v>
      </c>
      <c r="O1100" t="s">
        <v>4295</v>
      </c>
      <c r="P1100" s="24" t="s">
        <v>38</v>
      </c>
      <c r="Q1100" s="19">
        <v>1023.44</v>
      </c>
    </row>
    <row r="1101" spans="1:17">
      <c r="A1101" t="s">
        <v>3950</v>
      </c>
      <c r="B1101" s="23">
        <v>45554</v>
      </c>
      <c r="C1101" s="23" t="str">
        <f t="shared" si="51"/>
        <v>Sep</v>
      </c>
      <c r="D1101" s="23" t="str">
        <f t="shared" si="52"/>
        <v>2024</v>
      </c>
      <c r="E1101" s="23" t="str">
        <f t="shared" si="53"/>
        <v>Q3</v>
      </c>
      <c r="F1101" t="s">
        <v>3951</v>
      </c>
      <c r="G1101" s="24" t="s">
        <v>58</v>
      </c>
      <c r="H1101" s="17">
        <v>2</v>
      </c>
      <c r="I1101" s="19">
        <v>125.23</v>
      </c>
      <c r="J1101" t="s">
        <v>1501</v>
      </c>
      <c r="K1101" s="24" t="s">
        <v>65</v>
      </c>
      <c r="L1101" s="24" t="s">
        <v>35</v>
      </c>
      <c r="M1101" t="s">
        <v>3952</v>
      </c>
      <c r="N1101" s="17">
        <v>3</v>
      </c>
      <c r="O1101" t="s">
        <v>37</v>
      </c>
      <c r="P1101" s="24" t="s">
        <v>38</v>
      </c>
      <c r="Q1101" s="19">
        <v>250.46</v>
      </c>
    </row>
    <row r="1102" spans="1:17">
      <c r="A1102" t="s">
        <v>3953</v>
      </c>
      <c r="B1102" s="23">
        <v>45155</v>
      </c>
      <c r="C1102" s="23" t="str">
        <f t="shared" si="51"/>
        <v>Aug</v>
      </c>
      <c r="D1102" s="23" t="str">
        <f t="shared" si="52"/>
        <v>2023</v>
      </c>
      <c r="E1102" s="23" t="str">
        <f t="shared" si="53"/>
        <v>Q3</v>
      </c>
      <c r="F1102" t="s">
        <v>3954</v>
      </c>
      <c r="G1102" s="24" t="s">
        <v>58</v>
      </c>
      <c r="H1102" s="17">
        <v>5</v>
      </c>
      <c r="I1102" s="19">
        <v>38.11</v>
      </c>
      <c r="J1102" t="s">
        <v>3955</v>
      </c>
      <c r="K1102" s="24" t="s">
        <v>18</v>
      </c>
      <c r="L1102" s="24" t="s">
        <v>35</v>
      </c>
      <c r="M1102" t="s">
        <v>3956</v>
      </c>
      <c r="N1102" s="17">
        <v>6</v>
      </c>
      <c r="O1102" t="s">
        <v>81</v>
      </c>
      <c r="P1102" s="24" t="s">
        <v>22</v>
      </c>
      <c r="Q1102" s="19">
        <v>190.55</v>
      </c>
    </row>
    <row r="1103" spans="1:17">
      <c r="A1103" t="s">
        <v>3957</v>
      </c>
      <c r="B1103" s="23">
        <v>45816</v>
      </c>
      <c r="C1103" s="23" t="str">
        <f t="shared" si="51"/>
        <v>Jun</v>
      </c>
      <c r="D1103" s="23" t="str">
        <f t="shared" si="52"/>
        <v>2025</v>
      </c>
      <c r="E1103" s="23" t="str">
        <f t="shared" si="53"/>
        <v>Q2</v>
      </c>
      <c r="F1103" t="s">
        <v>3958</v>
      </c>
      <c r="G1103" s="24" t="s">
        <v>16</v>
      </c>
      <c r="H1103" s="17">
        <v>3</v>
      </c>
      <c r="I1103" s="19">
        <v>161.97</v>
      </c>
      <c r="J1103" t="s">
        <v>69</v>
      </c>
      <c r="K1103" s="24" t="s">
        <v>65</v>
      </c>
      <c r="L1103" s="24" t="s">
        <v>89</v>
      </c>
      <c r="M1103" t="s">
        <v>3959</v>
      </c>
      <c r="N1103" s="17">
        <v>4</v>
      </c>
      <c r="O1103" t="s">
        <v>21</v>
      </c>
      <c r="P1103" s="24" t="s">
        <v>38</v>
      </c>
      <c r="Q1103" s="19">
        <v>485.91</v>
      </c>
    </row>
    <row r="1104" spans="1:17">
      <c r="A1104" t="s">
        <v>3960</v>
      </c>
      <c r="B1104" s="23">
        <v>45446</v>
      </c>
      <c r="C1104" s="23" t="str">
        <f t="shared" si="51"/>
        <v>Jun</v>
      </c>
      <c r="D1104" s="23" t="str">
        <f t="shared" si="52"/>
        <v>2024</v>
      </c>
      <c r="E1104" s="23" t="str">
        <f t="shared" si="53"/>
        <v>Q2</v>
      </c>
      <c r="F1104" t="s">
        <v>96</v>
      </c>
      <c r="G1104" s="24" t="s">
        <v>41</v>
      </c>
      <c r="H1104" s="17">
        <v>4</v>
      </c>
      <c r="I1104" s="19">
        <v>347.17</v>
      </c>
      <c r="J1104" t="s">
        <v>2779</v>
      </c>
      <c r="K1104" s="24" t="s">
        <v>18</v>
      </c>
      <c r="L1104" s="24" t="s">
        <v>19</v>
      </c>
      <c r="M1104" t="s">
        <v>3961</v>
      </c>
      <c r="N1104" s="17">
        <v>8</v>
      </c>
      <c r="O1104" t="s">
        <v>4295</v>
      </c>
      <c r="P1104" s="24" t="s">
        <v>22</v>
      </c>
      <c r="Q1104" s="19">
        <v>1388.68</v>
      </c>
    </row>
    <row r="1105" spans="1:17">
      <c r="A1105" t="s">
        <v>3962</v>
      </c>
      <c r="B1105" s="23">
        <v>45040</v>
      </c>
      <c r="C1105" s="23" t="str">
        <f t="shared" si="51"/>
        <v>Apr</v>
      </c>
      <c r="D1105" s="23" t="str">
        <f t="shared" si="52"/>
        <v>2023</v>
      </c>
      <c r="E1105" s="23" t="str">
        <f t="shared" si="53"/>
        <v>Q2</v>
      </c>
      <c r="F1105" t="s">
        <v>3963</v>
      </c>
      <c r="G1105" s="24" t="s">
        <v>58</v>
      </c>
      <c r="H1105" s="17">
        <v>4</v>
      </c>
      <c r="I1105" s="19">
        <v>276.32</v>
      </c>
      <c r="J1105" t="s">
        <v>327</v>
      </c>
      <c r="K1105" s="24" t="s">
        <v>27</v>
      </c>
      <c r="L1105" s="24" t="s">
        <v>50</v>
      </c>
      <c r="M1105" t="s">
        <v>3964</v>
      </c>
      <c r="N1105" s="17">
        <v>5</v>
      </c>
      <c r="O1105" t="s">
        <v>4295</v>
      </c>
      <c r="P1105" s="24" t="s">
        <v>76</v>
      </c>
      <c r="Q1105" s="19">
        <v>1105.28</v>
      </c>
    </row>
    <row r="1106" spans="1:17">
      <c r="A1106" t="s">
        <v>3965</v>
      </c>
      <c r="B1106" s="23">
        <v>45498</v>
      </c>
      <c r="C1106" s="23" t="str">
        <f t="shared" si="51"/>
        <v>Jul</v>
      </c>
      <c r="D1106" s="23" t="str">
        <f t="shared" si="52"/>
        <v>2024</v>
      </c>
      <c r="E1106" s="23" t="str">
        <f t="shared" si="53"/>
        <v>Q3</v>
      </c>
      <c r="F1106" t="s">
        <v>3966</v>
      </c>
      <c r="G1106" s="24" t="s">
        <v>32</v>
      </c>
      <c r="H1106" s="17">
        <v>4</v>
      </c>
      <c r="I1106" s="19">
        <v>314.76</v>
      </c>
      <c r="J1106" t="s">
        <v>3967</v>
      </c>
      <c r="K1106" s="24" t="s">
        <v>27</v>
      </c>
      <c r="L1106" s="24" t="s">
        <v>19</v>
      </c>
      <c r="M1106" t="s">
        <v>3968</v>
      </c>
      <c r="N1106" s="17">
        <v>8</v>
      </c>
      <c r="O1106" t="s">
        <v>4295</v>
      </c>
      <c r="P1106" s="24" t="s">
        <v>22</v>
      </c>
      <c r="Q1106" s="19">
        <v>1259.04</v>
      </c>
    </row>
    <row r="1107" spans="1:17">
      <c r="A1107" t="s">
        <v>3969</v>
      </c>
      <c r="B1107" s="23">
        <v>45299</v>
      </c>
      <c r="C1107" s="23" t="str">
        <f t="shared" si="51"/>
        <v>Jan</v>
      </c>
      <c r="D1107" s="23" t="str">
        <f t="shared" si="52"/>
        <v>2024</v>
      </c>
      <c r="E1107" s="23" t="str">
        <f t="shared" si="53"/>
        <v>Q1</v>
      </c>
      <c r="F1107" t="s">
        <v>3970</v>
      </c>
      <c r="G1107" s="24" t="s">
        <v>32</v>
      </c>
      <c r="H1107" s="17">
        <v>3</v>
      </c>
      <c r="I1107" s="19">
        <v>475.69</v>
      </c>
      <c r="J1107" t="s">
        <v>1097</v>
      </c>
      <c r="K1107" s="24" t="s">
        <v>60</v>
      </c>
      <c r="L1107" s="24" t="s">
        <v>35</v>
      </c>
      <c r="M1107" t="s">
        <v>3971</v>
      </c>
      <c r="N1107" s="17">
        <v>3</v>
      </c>
      <c r="O1107" t="s">
        <v>37</v>
      </c>
      <c r="P1107" s="24" t="s">
        <v>76</v>
      </c>
      <c r="Q1107" s="19">
        <v>1427.07</v>
      </c>
    </row>
    <row r="1108" spans="1:17">
      <c r="A1108" t="s">
        <v>3972</v>
      </c>
      <c r="B1108" s="23">
        <v>44997</v>
      </c>
      <c r="C1108" s="23" t="str">
        <f t="shared" si="51"/>
        <v>Mar</v>
      </c>
      <c r="D1108" s="23" t="str">
        <f t="shared" si="52"/>
        <v>2023</v>
      </c>
      <c r="E1108" s="23" t="str">
        <f t="shared" si="53"/>
        <v>Q1</v>
      </c>
      <c r="F1108" t="s">
        <v>3973</v>
      </c>
      <c r="G1108" s="24" t="s">
        <v>41</v>
      </c>
      <c r="H1108" s="17">
        <v>1</v>
      </c>
      <c r="I1108" s="19">
        <v>372.8</v>
      </c>
      <c r="J1108" t="s">
        <v>93</v>
      </c>
      <c r="K1108" s="24" t="s">
        <v>65</v>
      </c>
      <c r="L1108" s="24" t="s">
        <v>35</v>
      </c>
      <c r="M1108" t="s">
        <v>3974</v>
      </c>
      <c r="N1108" s="17">
        <v>6</v>
      </c>
      <c r="O1108" t="s">
        <v>21</v>
      </c>
      <c r="P1108" s="24" t="s">
        <v>45</v>
      </c>
      <c r="Q1108" s="19">
        <v>372.8</v>
      </c>
    </row>
    <row r="1109" spans="1:17">
      <c r="A1109" t="s">
        <v>3975</v>
      </c>
      <c r="B1109" s="23">
        <v>45838</v>
      </c>
      <c r="C1109" s="23" t="str">
        <f t="shared" si="51"/>
        <v>Jun</v>
      </c>
      <c r="D1109" s="23" t="str">
        <f t="shared" si="52"/>
        <v>2025</v>
      </c>
      <c r="E1109" s="23" t="str">
        <f t="shared" si="53"/>
        <v>Q2</v>
      </c>
      <c r="F1109" t="s">
        <v>3976</v>
      </c>
      <c r="G1109" s="24" t="s">
        <v>32</v>
      </c>
      <c r="H1109" s="17">
        <v>2</v>
      </c>
      <c r="I1109" s="19">
        <v>63.21</v>
      </c>
      <c r="J1109" t="s">
        <v>2290</v>
      </c>
      <c r="K1109" s="24" t="s">
        <v>27</v>
      </c>
      <c r="L1109" s="24" t="s">
        <v>35</v>
      </c>
      <c r="M1109" t="s">
        <v>3977</v>
      </c>
      <c r="N1109" s="17">
        <v>4</v>
      </c>
      <c r="O1109" t="s">
        <v>21</v>
      </c>
      <c r="P1109" s="24" t="s">
        <v>76</v>
      </c>
      <c r="Q1109" s="19">
        <v>126.42</v>
      </c>
    </row>
    <row r="1110" spans="1:17">
      <c r="A1110" t="s">
        <v>3978</v>
      </c>
      <c r="B1110" s="23">
        <v>45005</v>
      </c>
      <c r="C1110" s="23" t="str">
        <f t="shared" si="51"/>
        <v>Mar</v>
      </c>
      <c r="D1110" s="23" t="str">
        <f t="shared" si="52"/>
        <v>2023</v>
      </c>
      <c r="E1110" s="23" t="str">
        <f t="shared" si="53"/>
        <v>Q1</v>
      </c>
      <c r="F1110" t="s">
        <v>3979</v>
      </c>
      <c r="G1110" s="24" t="s">
        <v>58</v>
      </c>
      <c r="H1110" s="17">
        <v>1</v>
      </c>
      <c r="I1110" s="19">
        <v>634.94</v>
      </c>
      <c r="J1110" t="s">
        <v>3980</v>
      </c>
      <c r="K1110" s="24" t="s">
        <v>27</v>
      </c>
      <c r="L1110" s="24" t="s">
        <v>35</v>
      </c>
      <c r="M1110" t="s">
        <v>3981</v>
      </c>
      <c r="N1110" s="17">
        <v>5</v>
      </c>
      <c r="O1110" t="s">
        <v>81</v>
      </c>
      <c r="P1110" s="24" t="s">
        <v>22</v>
      </c>
      <c r="Q1110" s="19">
        <v>634.94</v>
      </c>
    </row>
    <row r="1111" spans="1:17">
      <c r="A1111" t="s">
        <v>3982</v>
      </c>
      <c r="B1111" s="23">
        <v>45390</v>
      </c>
      <c r="C1111" s="23" t="str">
        <f t="shared" si="51"/>
        <v>Apr</v>
      </c>
      <c r="D1111" s="23" t="str">
        <f t="shared" si="52"/>
        <v>2024</v>
      </c>
      <c r="E1111" s="23" t="str">
        <f t="shared" si="53"/>
        <v>Q2</v>
      </c>
      <c r="F1111" t="s">
        <v>3983</v>
      </c>
      <c r="G1111" s="24" t="s">
        <v>48</v>
      </c>
      <c r="H1111" s="17">
        <v>4</v>
      </c>
      <c r="I1111" s="19">
        <v>77.47</v>
      </c>
      <c r="J1111" t="s">
        <v>1779</v>
      </c>
      <c r="K1111" s="24" t="s">
        <v>60</v>
      </c>
      <c r="L1111" s="24" t="s">
        <v>43</v>
      </c>
      <c r="M1111" t="s">
        <v>3984</v>
      </c>
      <c r="N1111" s="17">
        <v>7</v>
      </c>
      <c r="O1111" t="s">
        <v>21</v>
      </c>
      <c r="P1111" s="24" t="s">
        <v>22</v>
      </c>
      <c r="Q1111" s="19">
        <v>309.88</v>
      </c>
    </row>
    <row r="1112" spans="1:17">
      <c r="A1112" t="s">
        <v>3985</v>
      </c>
      <c r="B1112" s="23">
        <v>45347</v>
      </c>
      <c r="C1112" s="23" t="str">
        <f t="shared" si="51"/>
        <v>Feb</v>
      </c>
      <c r="D1112" s="23" t="str">
        <f t="shared" si="52"/>
        <v>2024</v>
      </c>
      <c r="E1112" s="23" t="str">
        <f t="shared" si="53"/>
        <v>Q1</v>
      </c>
      <c r="F1112" t="s">
        <v>3986</v>
      </c>
      <c r="G1112" s="24" t="s">
        <v>41</v>
      </c>
      <c r="H1112" s="17">
        <v>3</v>
      </c>
      <c r="I1112" s="19">
        <v>84.31</v>
      </c>
      <c r="J1112" t="s">
        <v>173</v>
      </c>
      <c r="K1112" s="24" t="s">
        <v>34</v>
      </c>
      <c r="L1112" s="24" t="s">
        <v>19</v>
      </c>
      <c r="M1112" t="s">
        <v>3987</v>
      </c>
      <c r="N1112" s="17">
        <v>3</v>
      </c>
      <c r="O1112" t="s">
        <v>21</v>
      </c>
      <c r="P1112" s="24" t="s">
        <v>38</v>
      </c>
      <c r="Q1112" s="19">
        <v>252.93</v>
      </c>
    </row>
    <row r="1113" spans="1:17">
      <c r="A1113" t="s">
        <v>3988</v>
      </c>
      <c r="B1113" s="23">
        <v>45052</v>
      </c>
      <c r="C1113" s="23" t="str">
        <f t="shared" si="51"/>
        <v>May</v>
      </c>
      <c r="D1113" s="23" t="str">
        <f t="shared" si="52"/>
        <v>2023</v>
      </c>
      <c r="E1113" s="23" t="str">
        <f t="shared" si="53"/>
        <v>Q2</v>
      </c>
      <c r="F1113" t="s">
        <v>3989</v>
      </c>
      <c r="G1113" s="24" t="s">
        <v>16</v>
      </c>
      <c r="H1113" s="17">
        <v>4</v>
      </c>
      <c r="I1113" s="19">
        <v>234.45</v>
      </c>
      <c r="J1113" t="s">
        <v>3990</v>
      </c>
      <c r="K1113" s="24" t="s">
        <v>27</v>
      </c>
      <c r="L1113" s="24" t="s">
        <v>35</v>
      </c>
      <c r="M1113" t="s">
        <v>3991</v>
      </c>
      <c r="N1113" s="17">
        <v>9</v>
      </c>
      <c r="O1113" t="s">
        <v>37</v>
      </c>
      <c r="P1113" s="24" t="s">
        <v>22</v>
      </c>
      <c r="Q1113" s="19">
        <v>937.8</v>
      </c>
    </row>
    <row r="1114" spans="1:17">
      <c r="A1114" t="s">
        <v>3992</v>
      </c>
      <c r="B1114" s="23">
        <v>45212</v>
      </c>
      <c r="C1114" s="23" t="str">
        <f t="shared" si="51"/>
        <v>Oct</v>
      </c>
      <c r="D1114" s="23" t="str">
        <f t="shared" si="52"/>
        <v>2023</v>
      </c>
      <c r="E1114" s="23" t="str">
        <f t="shared" si="53"/>
        <v>Q4</v>
      </c>
      <c r="F1114" t="s">
        <v>3993</v>
      </c>
      <c r="G1114" s="24" t="s">
        <v>73</v>
      </c>
      <c r="H1114" s="17">
        <v>1</v>
      </c>
      <c r="I1114" s="19">
        <v>356.81</v>
      </c>
      <c r="J1114" t="s">
        <v>529</v>
      </c>
      <c r="K1114" s="24" t="s">
        <v>27</v>
      </c>
      <c r="L1114" s="24" t="s">
        <v>50</v>
      </c>
      <c r="M1114" t="s">
        <v>3994</v>
      </c>
      <c r="N1114" s="17">
        <v>1</v>
      </c>
      <c r="O1114" t="s">
        <v>81</v>
      </c>
      <c r="P1114" s="24" t="s">
        <v>22</v>
      </c>
      <c r="Q1114" s="19">
        <v>356.81</v>
      </c>
    </row>
    <row r="1115" spans="1:17">
      <c r="A1115" t="s">
        <v>3995</v>
      </c>
      <c r="B1115" s="23">
        <v>45004</v>
      </c>
      <c r="C1115" s="23" t="str">
        <f t="shared" si="51"/>
        <v>Mar</v>
      </c>
      <c r="D1115" s="23" t="str">
        <f t="shared" si="52"/>
        <v>2023</v>
      </c>
      <c r="E1115" s="23" t="str">
        <f t="shared" si="53"/>
        <v>Q1</v>
      </c>
      <c r="F1115" t="s">
        <v>3996</v>
      </c>
      <c r="G1115" s="24" t="s">
        <v>73</v>
      </c>
      <c r="H1115" s="17">
        <v>4</v>
      </c>
      <c r="I1115" s="19">
        <v>209.99</v>
      </c>
      <c r="J1115" t="s">
        <v>3405</v>
      </c>
      <c r="K1115" s="24" t="s">
        <v>65</v>
      </c>
      <c r="L1115" s="24" t="s">
        <v>50</v>
      </c>
      <c r="M1115" t="s">
        <v>3997</v>
      </c>
      <c r="N1115" s="17">
        <v>8</v>
      </c>
      <c r="O1115" t="s">
        <v>4295</v>
      </c>
      <c r="P1115" s="24" t="s">
        <v>76</v>
      </c>
      <c r="Q1115" s="19">
        <v>839.96</v>
      </c>
    </row>
    <row r="1116" spans="1:17">
      <c r="A1116" t="s">
        <v>3998</v>
      </c>
      <c r="B1116" s="23">
        <v>45001</v>
      </c>
      <c r="C1116" s="23" t="str">
        <f t="shared" si="51"/>
        <v>Mar</v>
      </c>
      <c r="D1116" s="23" t="str">
        <f t="shared" si="52"/>
        <v>2023</v>
      </c>
      <c r="E1116" s="23" t="str">
        <f t="shared" si="53"/>
        <v>Q1</v>
      </c>
      <c r="F1116" t="s">
        <v>3999</v>
      </c>
      <c r="G1116" s="24" t="s">
        <v>32</v>
      </c>
      <c r="H1116" s="17">
        <v>3</v>
      </c>
      <c r="I1116" s="19">
        <v>659.88</v>
      </c>
      <c r="J1116" t="s">
        <v>837</v>
      </c>
      <c r="K1116" s="24" t="s">
        <v>60</v>
      </c>
      <c r="L1116" s="24" t="s">
        <v>35</v>
      </c>
      <c r="M1116" t="s">
        <v>4000</v>
      </c>
      <c r="N1116" s="17">
        <v>3</v>
      </c>
      <c r="O1116" t="s">
        <v>4295</v>
      </c>
      <c r="P1116" s="24" t="s">
        <v>76</v>
      </c>
      <c r="Q1116" s="19">
        <v>1979.64</v>
      </c>
    </row>
    <row r="1117" spans="1:17">
      <c r="A1117" t="s">
        <v>4001</v>
      </c>
      <c r="B1117" s="23">
        <v>45828</v>
      </c>
      <c r="C1117" s="23" t="str">
        <f t="shared" si="51"/>
        <v>Jun</v>
      </c>
      <c r="D1117" s="23" t="str">
        <f t="shared" si="52"/>
        <v>2025</v>
      </c>
      <c r="E1117" s="23" t="str">
        <f t="shared" si="53"/>
        <v>Q2</v>
      </c>
      <c r="F1117" t="s">
        <v>4002</v>
      </c>
      <c r="G1117" s="24" t="s">
        <v>58</v>
      </c>
      <c r="H1117" s="17">
        <v>2</v>
      </c>
      <c r="I1117" s="19">
        <v>336.32</v>
      </c>
      <c r="J1117" t="s">
        <v>952</v>
      </c>
      <c r="K1117" s="24" t="s">
        <v>27</v>
      </c>
      <c r="L1117" s="24" t="s">
        <v>43</v>
      </c>
      <c r="M1117" t="s">
        <v>4003</v>
      </c>
      <c r="N1117" s="17">
        <v>3</v>
      </c>
      <c r="O1117" t="s">
        <v>4295</v>
      </c>
      <c r="P1117" s="24" t="s">
        <v>76</v>
      </c>
      <c r="Q1117" s="19">
        <v>672.64</v>
      </c>
    </row>
    <row r="1118" spans="1:17">
      <c r="A1118" t="s">
        <v>4004</v>
      </c>
      <c r="B1118" s="23">
        <v>45213</v>
      </c>
      <c r="C1118" s="23" t="str">
        <f t="shared" si="51"/>
        <v>Oct</v>
      </c>
      <c r="D1118" s="23" t="str">
        <f t="shared" si="52"/>
        <v>2023</v>
      </c>
      <c r="E1118" s="23" t="str">
        <f t="shared" si="53"/>
        <v>Q4</v>
      </c>
      <c r="F1118" t="s">
        <v>4005</v>
      </c>
      <c r="G1118" s="24" t="s">
        <v>48</v>
      </c>
      <c r="H1118" s="17">
        <v>2</v>
      </c>
      <c r="I1118" s="19">
        <v>531.49</v>
      </c>
      <c r="J1118" t="s">
        <v>952</v>
      </c>
      <c r="K1118" s="24" t="s">
        <v>34</v>
      </c>
      <c r="L1118" s="24" t="s">
        <v>50</v>
      </c>
      <c r="M1118" t="s">
        <v>4006</v>
      </c>
      <c r="N1118" s="17">
        <v>7</v>
      </c>
      <c r="O1118" t="s">
        <v>81</v>
      </c>
      <c r="P1118" s="24" t="s">
        <v>45</v>
      </c>
      <c r="Q1118" s="19">
        <v>1062.98</v>
      </c>
    </row>
    <row r="1119" spans="1:17">
      <c r="A1119" t="s">
        <v>4007</v>
      </c>
      <c r="B1119" s="23">
        <v>45432</v>
      </c>
      <c r="C1119" s="23" t="str">
        <f t="shared" si="51"/>
        <v>May</v>
      </c>
      <c r="D1119" s="23" t="str">
        <f t="shared" si="52"/>
        <v>2024</v>
      </c>
      <c r="E1119" s="23" t="str">
        <f t="shared" si="53"/>
        <v>Q2</v>
      </c>
      <c r="F1119" t="s">
        <v>4008</v>
      </c>
      <c r="G1119" s="24" t="s">
        <v>41</v>
      </c>
      <c r="H1119" s="17">
        <v>3</v>
      </c>
      <c r="I1119" s="19">
        <v>588.44</v>
      </c>
      <c r="J1119" t="s">
        <v>1571</v>
      </c>
      <c r="K1119" s="24" t="s">
        <v>60</v>
      </c>
      <c r="L1119" s="24" t="s">
        <v>19</v>
      </c>
      <c r="M1119" t="s">
        <v>4009</v>
      </c>
      <c r="N1119" s="17">
        <v>8</v>
      </c>
      <c r="O1119" t="s">
        <v>81</v>
      </c>
      <c r="P1119" s="24" t="s">
        <v>76</v>
      </c>
      <c r="Q1119" s="19">
        <v>1765.32</v>
      </c>
    </row>
    <row r="1120" spans="1:17">
      <c r="A1120" t="s">
        <v>4010</v>
      </c>
      <c r="B1120" s="23">
        <v>45436</v>
      </c>
      <c r="C1120" s="23" t="str">
        <f t="shared" si="51"/>
        <v>May</v>
      </c>
      <c r="D1120" s="23" t="str">
        <f t="shared" si="52"/>
        <v>2024</v>
      </c>
      <c r="E1120" s="23" t="str">
        <f t="shared" si="53"/>
        <v>Q2</v>
      </c>
      <c r="F1120" t="s">
        <v>4011</v>
      </c>
      <c r="G1120" s="24" t="s">
        <v>25</v>
      </c>
      <c r="H1120" s="17">
        <v>3</v>
      </c>
      <c r="I1120" s="19">
        <v>251.48</v>
      </c>
      <c r="J1120" t="s">
        <v>1542</v>
      </c>
      <c r="K1120" s="24" t="s">
        <v>34</v>
      </c>
      <c r="L1120" s="24" t="s">
        <v>43</v>
      </c>
      <c r="M1120" t="s">
        <v>4012</v>
      </c>
      <c r="N1120" s="17">
        <v>4</v>
      </c>
      <c r="O1120" t="s">
        <v>4295</v>
      </c>
      <c r="P1120" s="24" t="s">
        <v>38</v>
      </c>
      <c r="Q1120" s="19">
        <v>754.44</v>
      </c>
    </row>
    <row r="1121" spans="1:17">
      <c r="A1121" t="s">
        <v>4013</v>
      </c>
      <c r="B1121" s="23">
        <v>45620</v>
      </c>
      <c r="C1121" s="23" t="str">
        <f t="shared" si="51"/>
        <v>Nov</v>
      </c>
      <c r="D1121" s="23" t="str">
        <f t="shared" si="52"/>
        <v>2024</v>
      </c>
      <c r="E1121" s="23" t="str">
        <f t="shared" si="53"/>
        <v>Q4</v>
      </c>
      <c r="F1121" t="s">
        <v>4014</v>
      </c>
      <c r="G1121" s="24" t="s">
        <v>58</v>
      </c>
      <c r="H1121" s="17">
        <v>1</v>
      </c>
      <c r="I1121" s="19">
        <v>684.65</v>
      </c>
      <c r="J1121" t="s">
        <v>1054</v>
      </c>
      <c r="K1121" s="24" t="s">
        <v>34</v>
      </c>
      <c r="L1121" s="24" t="s">
        <v>50</v>
      </c>
      <c r="M1121" t="s">
        <v>4015</v>
      </c>
      <c r="N1121" s="17">
        <v>1</v>
      </c>
      <c r="O1121" t="s">
        <v>37</v>
      </c>
      <c r="P1121" s="24" t="s">
        <v>38</v>
      </c>
      <c r="Q1121" s="19">
        <v>684.65</v>
      </c>
    </row>
    <row r="1122" spans="1:17">
      <c r="A1122" t="s">
        <v>4016</v>
      </c>
      <c r="B1122" s="23">
        <v>45787</v>
      </c>
      <c r="C1122" s="23" t="str">
        <f t="shared" si="51"/>
        <v>May</v>
      </c>
      <c r="D1122" s="23" t="str">
        <f t="shared" si="52"/>
        <v>2025</v>
      </c>
      <c r="E1122" s="23" t="str">
        <f t="shared" si="53"/>
        <v>Q2</v>
      </c>
      <c r="F1122" t="s">
        <v>4017</v>
      </c>
      <c r="G1122" s="24" t="s">
        <v>32</v>
      </c>
      <c r="H1122" s="17">
        <v>1</v>
      </c>
      <c r="I1122" s="19">
        <v>195.86</v>
      </c>
      <c r="J1122" t="s">
        <v>201</v>
      </c>
      <c r="K1122" s="24" t="s">
        <v>27</v>
      </c>
      <c r="L1122" s="24" t="s">
        <v>89</v>
      </c>
      <c r="M1122" t="s">
        <v>4018</v>
      </c>
      <c r="N1122" s="17">
        <v>3</v>
      </c>
      <c r="O1122" t="s">
        <v>4295</v>
      </c>
      <c r="P1122" s="24" t="s">
        <v>45</v>
      </c>
      <c r="Q1122" s="19">
        <v>195.86</v>
      </c>
    </row>
    <row r="1123" spans="1:17">
      <c r="A1123" t="s">
        <v>4019</v>
      </c>
      <c r="B1123" s="23">
        <v>45074</v>
      </c>
      <c r="C1123" s="23" t="str">
        <f t="shared" si="51"/>
        <v>May</v>
      </c>
      <c r="D1123" s="23" t="str">
        <f t="shared" si="52"/>
        <v>2023</v>
      </c>
      <c r="E1123" s="23" t="str">
        <f t="shared" si="53"/>
        <v>Q2</v>
      </c>
      <c r="F1123" t="s">
        <v>4020</v>
      </c>
      <c r="G1123" s="24" t="s">
        <v>25</v>
      </c>
      <c r="H1123" s="17">
        <v>3</v>
      </c>
      <c r="I1123" s="19">
        <v>50.34</v>
      </c>
      <c r="J1123" t="s">
        <v>3226</v>
      </c>
      <c r="K1123" s="24" t="s">
        <v>60</v>
      </c>
      <c r="L1123" s="24" t="s">
        <v>43</v>
      </c>
      <c r="M1123" t="s">
        <v>4021</v>
      </c>
      <c r="N1123" s="17">
        <v>3</v>
      </c>
      <c r="O1123" t="s">
        <v>37</v>
      </c>
      <c r="P1123" s="24" t="s">
        <v>22</v>
      </c>
      <c r="Q1123" s="19">
        <v>151.02</v>
      </c>
    </row>
    <row r="1124" spans="1:17">
      <c r="A1124" t="s">
        <v>4022</v>
      </c>
      <c r="B1124" s="23">
        <v>45084</v>
      </c>
      <c r="C1124" s="23" t="str">
        <f t="shared" si="51"/>
        <v>Jun</v>
      </c>
      <c r="D1124" s="23" t="str">
        <f t="shared" si="52"/>
        <v>2023</v>
      </c>
      <c r="E1124" s="23" t="str">
        <f t="shared" si="53"/>
        <v>Q2</v>
      </c>
      <c r="F1124" t="s">
        <v>1065</v>
      </c>
      <c r="G1124" s="24" t="s">
        <v>16</v>
      </c>
      <c r="H1124" s="17">
        <v>5</v>
      </c>
      <c r="I1124" s="19">
        <v>678.19</v>
      </c>
      <c r="J1124" t="s">
        <v>3733</v>
      </c>
      <c r="K1124" s="24" t="s">
        <v>27</v>
      </c>
      <c r="L1124" s="24" t="s">
        <v>43</v>
      </c>
      <c r="M1124" t="s">
        <v>4023</v>
      </c>
      <c r="N1124" s="17">
        <v>8</v>
      </c>
      <c r="O1124" t="s">
        <v>4295</v>
      </c>
      <c r="P1124" s="24" t="s">
        <v>45</v>
      </c>
      <c r="Q1124" s="19">
        <v>3390.95</v>
      </c>
    </row>
    <row r="1125" spans="1:17">
      <c r="A1125" t="s">
        <v>4024</v>
      </c>
      <c r="B1125" s="23">
        <v>45030</v>
      </c>
      <c r="C1125" s="23" t="str">
        <f t="shared" si="51"/>
        <v>Apr</v>
      </c>
      <c r="D1125" s="23" t="str">
        <f t="shared" si="52"/>
        <v>2023</v>
      </c>
      <c r="E1125" s="23" t="str">
        <f t="shared" si="53"/>
        <v>Q2</v>
      </c>
      <c r="F1125" t="s">
        <v>4025</v>
      </c>
      <c r="G1125" s="24" t="s">
        <v>32</v>
      </c>
      <c r="H1125" s="17">
        <v>3</v>
      </c>
      <c r="I1125" s="19">
        <v>554.25</v>
      </c>
      <c r="J1125" t="s">
        <v>4026</v>
      </c>
      <c r="K1125" s="24" t="s">
        <v>18</v>
      </c>
      <c r="L1125" s="24" t="s">
        <v>19</v>
      </c>
      <c r="M1125" t="s">
        <v>4027</v>
      </c>
      <c r="N1125" s="17">
        <v>6</v>
      </c>
      <c r="O1125" t="s">
        <v>81</v>
      </c>
      <c r="P1125" s="24" t="s">
        <v>29</v>
      </c>
      <c r="Q1125" s="19">
        <v>1662.75</v>
      </c>
    </row>
    <row r="1126" spans="1:17">
      <c r="A1126" t="s">
        <v>4028</v>
      </c>
      <c r="B1126" s="23">
        <v>45055</v>
      </c>
      <c r="C1126" s="23" t="str">
        <f t="shared" si="51"/>
        <v>May</v>
      </c>
      <c r="D1126" s="23" t="str">
        <f t="shared" si="52"/>
        <v>2023</v>
      </c>
      <c r="E1126" s="23" t="str">
        <f t="shared" si="53"/>
        <v>Q2</v>
      </c>
      <c r="F1126" t="s">
        <v>4029</v>
      </c>
      <c r="G1126" s="24" t="s">
        <v>41</v>
      </c>
      <c r="H1126" s="17">
        <v>4</v>
      </c>
      <c r="I1126" s="19">
        <v>576.87</v>
      </c>
      <c r="J1126" t="s">
        <v>4030</v>
      </c>
      <c r="K1126" s="24" t="s">
        <v>60</v>
      </c>
      <c r="L1126" s="24" t="s">
        <v>43</v>
      </c>
      <c r="M1126" t="s">
        <v>4031</v>
      </c>
      <c r="N1126" s="17">
        <v>5</v>
      </c>
      <c r="O1126" t="s">
        <v>4295</v>
      </c>
      <c r="P1126" s="24" t="s">
        <v>22</v>
      </c>
      <c r="Q1126" s="19">
        <v>2307.48</v>
      </c>
    </row>
    <row r="1127" spans="1:17">
      <c r="A1127" t="s">
        <v>4032</v>
      </c>
      <c r="B1127" s="23">
        <v>45215</v>
      </c>
      <c r="C1127" s="23" t="str">
        <f t="shared" si="51"/>
        <v>Oct</v>
      </c>
      <c r="D1127" s="23" t="str">
        <f t="shared" si="52"/>
        <v>2023</v>
      </c>
      <c r="E1127" s="23" t="str">
        <f t="shared" si="53"/>
        <v>Q4</v>
      </c>
      <c r="F1127" t="s">
        <v>4033</v>
      </c>
      <c r="G1127" s="24" t="s">
        <v>73</v>
      </c>
      <c r="H1127" s="17">
        <v>4</v>
      </c>
      <c r="I1127" s="19">
        <v>408.36</v>
      </c>
      <c r="J1127" t="s">
        <v>3180</v>
      </c>
      <c r="K1127" s="24" t="s">
        <v>60</v>
      </c>
      <c r="L1127" s="24" t="s">
        <v>35</v>
      </c>
      <c r="M1127" t="s">
        <v>4034</v>
      </c>
      <c r="N1127" s="17">
        <v>4</v>
      </c>
      <c r="O1127" t="s">
        <v>37</v>
      </c>
      <c r="P1127" s="24" t="s">
        <v>29</v>
      </c>
      <c r="Q1127" s="19">
        <v>1633.44</v>
      </c>
    </row>
    <row r="1128" spans="1:17">
      <c r="A1128" t="s">
        <v>4035</v>
      </c>
      <c r="B1128" s="23">
        <v>45495</v>
      </c>
      <c r="C1128" s="23" t="str">
        <f t="shared" si="51"/>
        <v>Jul</v>
      </c>
      <c r="D1128" s="23" t="str">
        <f t="shared" si="52"/>
        <v>2024</v>
      </c>
      <c r="E1128" s="23" t="str">
        <f t="shared" si="53"/>
        <v>Q3</v>
      </c>
      <c r="F1128" t="s">
        <v>4036</v>
      </c>
      <c r="G1128" s="24" t="s">
        <v>25</v>
      </c>
      <c r="H1128" s="17">
        <v>5</v>
      </c>
      <c r="I1128" s="19">
        <v>190.11</v>
      </c>
      <c r="J1128" t="s">
        <v>4037</v>
      </c>
      <c r="K1128" s="24" t="s">
        <v>65</v>
      </c>
      <c r="L1128" s="24" t="s">
        <v>50</v>
      </c>
      <c r="M1128" t="s">
        <v>4038</v>
      </c>
      <c r="N1128" s="17">
        <v>7</v>
      </c>
      <c r="O1128" t="s">
        <v>21</v>
      </c>
      <c r="P1128" s="24" t="s">
        <v>76</v>
      </c>
      <c r="Q1128" s="19">
        <v>950.55</v>
      </c>
    </row>
    <row r="1129" spans="1:17">
      <c r="A1129" t="s">
        <v>4039</v>
      </c>
      <c r="B1129" s="23">
        <v>45731</v>
      </c>
      <c r="C1129" s="23" t="str">
        <f t="shared" si="51"/>
        <v>Mar</v>
      </c>
      <c r="D1129" s="23" t="str">
        <f t="shared" si="52"/>
        <v>2025</v>
      </c>
      <c r="E1129" s="23" t="str">
        <f t="shared" si="53"/>
        <v>Q1</v>
      </c>
      <c r="F1129" t="s">
        <v>4040</v>
      </c>
      <c r="G1129" s="24" t="s">
        <v>48</v>
      </c>
      <c r="H1129" s="17">
        <v>3</v>
      </c>
      <c r="I1129" s="19">
        <v>602.75</v>
      </c>
      <c r="J1129" t="s">
        <v>3011</v>
      </c>
      <c r="K1129" s="24" t="s">
        <v>34</v>
      </c>
      <c r="L1129" s="24" t="s">
        <v>19</v>
      </c>
      <c r="M1129" t="s">
        <v>4041</v>
      </c>
      <c r="N1129" s="17">
        <v>6</v>
      </c>
      <c r="O1129" t="s">
        <v>21</v>
      </c>
      <c r="P1129" s="24" t="s">
        <v>38</v>
      </c>
      <c r="Q1129" s="19">
        <v>1808.25</v>
      </c>
    </row>
    <row r="1130" spans="1:17">
      <c r="A1130" t="s">
        <v>4042</v>
      </c>
      <c r="B1130" s="23">
        <v>45155</v>
      </c>
      <c r="C1130" s="23" t="str">
        <f t="shared" si="51"/>
        <v>Aug</v>
      </c>
      <c r="D1130" s="23" t="str">
        <f t="shared" si="52"/>
        <v>2023</v>
      </c>
      <c r="E1130" s="23" t="str">
        <f t="shared" si="53"/>
        <v>Q3</v>
      </c>
      <c r="F1130" t="s">
        <v>4043</v>
      </c>
      <c r="G1130" s="24" t="s">
        <v>16</v>
      </c>
      <c r="H1130" s="17">
        <v>3</v>
      </c>
      <c r="I1130" s="19">
        <v>646.79</v>
      </c>
      <c r="J1130" t="s">
        <v>379</v>
      </c>
      <c r="K1130" s="24" t="s">
        <v>65</v>
      </c>
      <c r="L1130" s="24" t="s">
        <v>35</v>
      </c>
      <c r="M1130" t="s">
        <v>4044</v>
      </c>
      <c r="N1130" s="17">
        <v>5</v>
      </c>
      <c r="O1130" t="s">
        <v>81</v>
      </c>
      <c r="P1130" s="24" t="s">
        <v>76</v>
      </c>
      <c r="Q1130" s="19">
        <v>1940.37</v>
      </c>
    </row>
    <row r="1131" spans="1:17">
      <c r="A1131" t="s">
        <v>4045</v>
      </c>
      <c r="B1131" s="23">
        <v>45088</v>
      </c>
      <c r="C1131" s="23" t="str">
        <f t="shared" si="51"/>
        <v>Jun</v>
      </c>
      <c r="D1131" s="23" t="str">
        <f t="shared" si="52"/>
        <v>2023</v>
      </c>
      <c r="E1131" s="23" t="str">
        <f t="shared" si="53"/>
        <v>Q2</v>
      </c>
      <c r="F1131" t="s">
        <v>4046</v>
      </c>
      <c r="G1131" s="24" t="s">
        <v>41</v>
      </c>
      <c r="H1131" s="17">
        <v>4</v>
      </c>
      <c r="I1131" s="19">
        <v>418.71</v>
      </c>
      <c r="J1131" t="s">
        <v>339</v>
      </c>
      <c r="K1131" s="24" t="s">
        <v>65</v>
      </c>
      <c r="L1131" s="24" t="s">
        <v>89</v>
      </c>
      <c r="M1131" t="s">
        <v>4047</v>
      </c>
      <c r="N1131" s="17">
        <v>8</v>
      </c>
      <c r="O1131" t="s">
        <v>37</v>
      </c>
      <c r="P1131" s="24" t="s">
        <v>22</v>
      </c>
      <c r="Q1131" s="19">
        <v>1674.84</v>
      </c>
    </row>
    <row r="1132" spans="1:17">
      <c r="A1132" t="s">
        <v>4048</v>
      </c>
      <c r="B1132" s="23">
        <v>45704</v>
      </c>
      <c r="C1132" s="23" t="str">
        <f t="shared" si="51"/>
        <v>Feb</v>
      </c>
      <c r="D1132" s="23" t="str">
        <f t="shared" si="52"/>
        <v>2025</v>
      </c>
      <c r="E1132" s="23" t="str">
        <f t="shared" si="53"/>
        <v>Q1</v>
      </c>
      <c r="F1132" t="s">
        <v>4049</v>
      </c>
      <c r="G1132" s="24" t="s">
        <v>58</v>
      </c>
      <c r="H1132" s="17">
        <v>2</v>
      </c>
      <c r="I1132" s="19">
        <v>323.45</v>
      </c>
      <c r="J1132" t="s">
        <v>426</v>
      </c>
      <c r="K1132" s="24" t="s">
        <v>34</v>
      </c>
      <c r="L1132" s="24" t="s">
        <v>43</v>
      </c>
      <c r="M1132" t="s">
        <v>4050</v>
      </c>
      <c r="N1132" s="17">
        <v>5</v>
      </c>
      <c r="O1132" t="s">
        <v>37</v>
      </c>
      <c r="P1132" s="24" t="s">
        <v>22</v>
      </c>
      <c r="Q1132" s="19">
        <v>646.9</v>
      </c>
    </row>
    <row r="1133" spans="1:17">
      <c r="A1133" t="s">
        <v>4051</v>
      </c>
      <c r="B1133" s="23">
        <v>45491</v>
      </c>
      <c r="C1133" s="23" t="str">
        <f t="shared" si="51"/>
        <v>Jul</v>
      </c>
      <c r="D1133" s="23" t="str">
        <f t="shared" si="52"/>
        <v>2024</v>
      </c>
      <c r="E1133" s="23" t="str">
        <f t="shared" si="53"/>
        <v>Q3</v>
      </c>
      <c r="F1133" t="s">
        <v>4052</v>
      </c>
      <c r="G1133" s="24" t="s">
        <v>25</v>
      </c>
      <c r="H1133" s="17">
        <v>1</v>
      </c>
      <c r="I1133" s="19">
        <v>694.5</v>
      </c>
      <c r="J1133" t="s">
        <v>1125</v>
      </c>
      <c r="K1133" s="24" t="s">
        <v>34</v>
      </c>
      <c r="L1133" s="24" t="s">
        <v>89</v>
      </c>
      <c r="M1133" t="s">
        <v>4053</v>
      </c>
      <c r="N1133" s="17">
        <v>3</v>
      </c>
      <c r="O1133" t="s">
        <v>81</v>
      </c>
      <c r="P1133" s="24" t="s">
        <v>45</v>
      </c>
      <c r="Q1133" s="19">
        <v>694.5</v>
      </c>
    </row>
    <row r="1134" spans="1:17">
      <c r="A1134" t="s">
        <v>4054</v>
      </c>
      <c r="B1134" s="23">
        <v>45628</v>
      </c>
      <c r="C1134" s="23" t="str">
        <f t="shared" si="51"/>
        <v>Dec</v>
      </c>
      <c r="D1134" s="23" t="str">
        <f t="shared" si="52"/>
        <v>2024</v>
      </c>
      <c r="E1134" s="23" t="str">
        <f t="shared" si="53"/>
        <v>Q4</v>
      </c>
      <c r="F1134" t="s">
        <v>4055</v>
      </c>
      <c r="G1134" s="24" t="s">
        <v>41</v>
      </c>
      <c r="H1134" s="17">
        <v>2</v>
      </c>
      <c r="I1134" s="19">
        <v>337.32</v>
      </c>
      <c r="J1134" t="s">
        <v>929</v>
      </c>
      <c r="K1134" s="24" t="s">
        <v>34</v>
      </c>
      <c r="L1134" s="24" t="s">
        <v>35</v>
      </c>
      <c r="M1134" t="s">
        <v>4056</v>
      </c>
      <c r="N1134" s="17">
        <v>4</v>
      </c>
      <c r="O1134" t="s">
        <v>21</v>
      </c>
      <c r="P1134" s="24" t="s">
        <v>38</v>
      </c>
      <c r="Q1134" s="19">
        <v>674.64</v>
      </c>
    </row>
    <row r="1135" spans="1:17">
      <c r="A1135" t="s">
        <v>4057</v>
      </c>
      <c r="B1135" s="23">
        <v>45391</v>
      </c>
      <c r="C1135" s="23" t="str">
        <f t="shared" si="51"/>
        <v>Apr</v>
      </c>
      <c r="D1135" s="23" t="str">
        <f t="shared" si="52"/>
        <v>2024</v>
      </c>
      <c r="E1135" s="23" t="str">
        <f t="shared" si="53"/>
        <v>Q2</v>
      </c>
      <c r="F1135" t="s">
        <v>4058</v>
      </c>
      <c r="G1135" s="24" t="s">
        <v>48</v>
      </c>
      <c r="H1135" s="17">
        <v>2</v>
      </c>
      <c r="I1135" s="19">
        <v>467.91</v>
      </c>
      <c r="J1135" t="s">
        <v>873</v>
      </c>
      <c r="K1135" s="24" t="s">
        <v>60</v>
      </c>
      <c r="L1135" s="24" t="s">
        <v>43</v>
      </c>
      <c r="M1135" t="s">
        <v>4059</v>
      </c>
      <c r="N1135" s="17">
        <v>5</v>
      </c>
      <c r="O1135" t="s">
        <v>81</v>
      </c>
      <c r="P1135" s="24" t="s">
        <v>45</v>
      </c>
      <c r="Q1135" s="19">
        <v>935.82</v>
      </c>
    </row>
    <row r="1136" spans="1:17">
      <c r="A1136" t="s">
        <v>4060</v>
      </c>
      <c r="B1136" s="23">
        <v>45451</v>
      </c>
      <c r="C1136" s="23" t="str">
        <f t="shared" si="51"/>
        <v>Jun</v>
      </c>
      <c r="D1136" s="23" t="str">
        <f t="shared" si="52"/>
        <v>2024</v>
      </c>
      <c r="E1136" s="23" t="str">
        <f t="shared" si="53"/>
        <v>Q2</v>
      </c>
      <c r="F1136" t="s">
        <v>4061</v>
      </c>
      <c r="G1136" s="24" t="s">
        <v>73</v>
      </c>
      <c r="H1136" s="17">
        <v>4</v>
      </c>
      <c r="I1136" s="19">
        <v>38.28</v>
      </c>
      <c r="J1136" t="s">
        <v>4062</v>
      </c>
      <c r="K1136" s="24" t="s">
        <v>18</v>
      </c>
      <c r="L1136" s="24" t="s">
        <v>35</v>
      </c>
      <c r="M1136" t="s">
        <v>4063</v>
      </c>
      <c r="N1136" s="17">
        <v>4</v>
      </c>
      <c r="O1136" t="s">
        <v>81</v>
      </c>
      <c r="P1136" s="24" t="s">
        <v>45</v>
      </c>
      <c r="Q1136" s="19">
        <v>153.12</v>
      </c>
    </row>
    <row r="1137" spans="1:17">
      <c r="A1137" t="s">
        <v>4064</v>
      </c>
      <c r="B1137" s="23">
        <v>45288</v>
      </c>
      <c r="C1137" s="23" t="str">
        <f t="shared" si="51"/>
        <v>Dec</v>
      </c>
      <c r="D1137" s="23" t="str">
        <f t="shared" si="52"/>
        <v>2023</v>
      </c>
      <c r="E1137" s="23" t="str">
        <f t="shared" si="53"/>
        <v>Q4</v>
      </c>
      <c r="F1137" t="s">
        <v>4065</v>
      </c>
      <c r="G1137" s="24" t="s">
        <v>48</v>
      </c>
      <c r="H1137" s="17">
        <v>2</v>
      </c>
      <c r="I1137" s="19">
        <v>73.41</v>
      </c>
      <c r="J1137" t="s">
        <v>952</v>
      </c>
      <c r="K1137" s="24" t="s">
        <v>27</v>
      </c>
      <c r="L1137" s="24" t="s">
        <v>19</v>
      </c>
      <c r="M1137" t="s">
        <v>4066</v>
      </c>
      <c r="N1137" s="17">
        <v>2</v>
      </c>
      <c r="O1137" t="s">
        <v>21</v>
      </c>
      <c r="P1137" s="24" t="s">
        <v>76</v>
      </c>
      <c r="Q1137" s="19">
        <v>146.82</v>
      </c>
    </row>
    <row r="1138" spans="1:17">
      <c r="A1138" t="s">
        <v>4067</v>
      </c>
      <c r="B1138" s="23">
        <v>45193</v>
      </c>
      <c r="C1138" s="23" t="str">
        <f t="shared" si="51"/>
        <v>Sep</v>
      </c>
      <c r="D1138" s="23" t="str">
        <f t="shared" si="52"/>
        <v>2023</v>
      </c>
      <c r="E1138" s="23" t="str">
        <f t="shared" si="53"/>
        <v>Q3</v>
      </c>
      <c r="F1138" t="s">
        <v>4068</v>
      </c>
      <c r="G1138" s="24" t="s">
        <v>32</v>
      </c>
      <c r="H1138" s="17">
        <v>3</v>
      </c>
      <c r="I1138" s="19">
        <v>668.33</v>
      </c>
      <c r="J1138" t="s">
        <v>2620</v>
      </c>
      <c r="K1138" s="24" t="s">
        <v>60</v>
      </c>
      <c r="L1138" s="24" t="s">
        <v>89</v>
      </c>
      <c r="M1138" t="s">
        <v>4069</v>
      </c>
      <c r="N1138" s="17">
        <v>4</v>
      </c>
      <c r="O1138" t="s">
        <v>81</v>
      </c>
      <c r="P1138" s="24" t="s">
        <v>45</v>
      </c>
      <c r="Q1138" s="19">
        <v>2004.99</v>
      </c>
    </row>
    <row r="1139" spans="1:17">
      <c r="A1139" t="s">
        <v>4070</v>
      </c>
      <c r="B1139" s="23">
        <v>45502</v>
      </c>
      <c r="C1139" s="23" t="str">
        <f t="shared" si="51"/>
        <v>Jul</v>
      </c>
      <c r="D1139" s="23" t="str">
        <f t="shared" si="52"/>
        <v>2024</v>
      </c>
      <c r="E1139" s="23" t="str">
        <f t="shared" si="53"/>
        <v>Q3</v>
      </c>
      <c r="F1139" t="s">
        <v>4071</v>
      </c>
      <c r="G1139" s="24" t="s">
        <v>48</v>
      </c>
      <c r="H1139" s="17">
        <v>4</v>
      </c>
      <c r="I1139" s="19">
        <v>410.21</v>
      </c>
      <c r="J1139" t="s">
        <v>4072</v>
      </c>
      <c r="K1139" s="24" t="s">
        <v>65</v>
      </c>
      <c r="L1139" s="24" t="s">
        <v>89</v>
      </c>
      <c r="M1139" t="s">
        <v>4073</v>
      </c>
      <c r="N1139" s="17">
        <v>5</v>
      </c>
      <c r="O1139" t="s">
        <v>81</v>
      </c>
      <c r="P1139" s="24" t="s">
        <v>22</v>
      </c>
      <c r="Q1139" s="19">
        <v>1640.84</v>
      </c>
    </row>
    <row r="1140" spans="1:17">
      <c r="A1140" t="s">
        <v>4074</v>
      </c>
      <c r="B1140" s="23">
        <v>45278</v>
      </c>
      <c r="C1140" s="23" t="str">
        <f t="shared" si="51"/>
        <v>Dec</v>
      </c>
      <c r="D1140" s="23" t="str">
        <f t="shared" si="52"/>
        <v>2023</v>
      </c>
      <c r="E1140" s="23" t="str">
        <f t="shared" si="53"/>
        <v>Q4</v>
      </c>
      <c r="F1140" t="s">
        <v>4075</v>
      </c>
      <c r="G1140" s="24" t="s">
        <v>73</v>
      </c>
      <c r="H1140" s="17">
        <v>4</v>
      </c>
      <c r="I1140" s="19">
        <v>294.41</v>
      </c>
      <c r="J1140" t="s">
        <v>2486</v>
      </c>
      <c r="K1140" s="24" t="s">
        <v>18</v>
      </c>
      <c r="L1140" s="24" t="s">
        <v>89</v>
      </c>
      <c r="M1140" t="s">
        <v>4076</v>
      </c>
      <c r="N1140" s="17">
        <v>4</v>
      </c>
      <c r="O1140" t="s">
        <v>4295</v>
      </c>
      <c r="P1140" s="24" t="s">
        <v>22</v>
      </c>
      <c r="Q1140" s="19">
        <v>1177.64</v>
      </c>
    </row>
    <row r="1141" spans="1:17">
      <c r="A1141" t="s">
        <v>4077</v>
      </c>
      <c r="B1141" s="23">
        <v>45717</v>
      </c>
      <c r="C1141" s="23" t="str">
        <f t="shared" si="51"/>
        <v>Mar</v>
      </c>
      <c r="D1141" s="23" t="str">
        <f t="shared" si="52"/>
        <v>2025</v>
      </c>
      <c r="E1141" s="23" t="str">
        <f t="shared" si="53"/>
        <v>Q1</v>
      </c>
      <c r="F1141" t="s">
        <v>3789</v>
      </c>
      <c r="G1141" s="24" t="s">
        <v>41</v>
      </c>
      <c r="H1141" s="17">
        <v>3</v>
      </c>
      <c r="I1141" s="19">
        <v>501.82</v>
      </c>
      <c r="J1141" t="s">
        <v>153</v>
      </c>
      <c r="K1141" s="24" t="s">
        <v>60</v>
      </c>
      <c r="L1141" s="24" t="s">
        <v>35</v>
      </c>
      <c r="M1141" t="s">
        <v>4078</v>
      </c>
      <c r="N1141" s="17">
        <v>4</v>
      </c>
      <c r="O1141" t="s">
        <v>37</v>
      </c>
      <c r="P1141" s="24" t="s">
        <v>38</v>
      </c>
      <c r="Q1141" s="19">
        <v>1505.46</v>
      </c>
    </row>
    <row r="1142" spans="1:17">
      <c r="A1142" t="s">
        <v>4079</v>
      </c>
      <c r="B1142" s="23">
        <v>45467</v>
      </c>
      <c r="C1142" s="23" t="str">
        <f t="shared" si="51"/>
        <v>Jun</v>
      </c>
      <c r="D1142" s="23" t="str">
        <f t="shared" si="52"/>
        <v>2024</v>
      </c>
      <c r="E1142" s="23" t="str">
        <f t="shared" si="53"/>
        <v>Q2</v>
      </c>
      <c r="F1142" t="s">
        <v>4080</v>
      </c>
      <c r="G1142" s="24" t="s">
        <v>48</v>
      </c>
      <c r="H1142" s="17">
        <v>2</v>
      </c>
      <c r="I1142" s="19">
        <v>552.83</v>
      </c>
      <c r="J1142" t="s">
        <v>69</v>
      </c>
      <c r="K1142" s="24" t="s">
        <v>34</v>
      </c>
      <c r="L1142" s="24" t="s">
        <v>35</v>
      </c>
      <c r="M1142" t="s">
        <v>4081</v>
      </c>
      <c r="N1142" s="17">
        <v>3</v>
      </c>
      <c r="O1142" t="s">
        <v>4295</v>
      </c>
      <c r="P1142" s="24" t="s">
        <v>29</v>
      </c>
      <c r="Q1142" s="19">
        <v>1105.66</v>
      </c>
    </row>
    <row r="1143" spans="1:17">
      <c r="A1143" t="s">
        <v>4082</v>
      </c>
      <c r="B1143" s="23">
        <v>45704</v>
      </c>
      <c r="C1143" s="23" t="str">
        <f t="shared" si="51"/>
        <v>Feb</v>
      </c>
      <c r="D1143" s="23" t="str">
        <f t="shared" si="52"/>
        <v>2025</v>
      </c>
      <c r="E1143" s="23" t="str">
        <f t="shared" si="53"/>
        <v>Q1</v>
      </c>
      <c r="F1143" t="s">
        <v>4083</v>
      </c>
      <c r="G1143" s="24" t="s">
        <v>41</v>
      </c>
      <c r="H1143" s="17">
        <v>3</v>
      </c>
      <c r="I1143" s="19">
        <v>498.66</v>
      </c>
      <c r="J1143" t="s">
        <v>109</v>
      </c>
      <c r="K1143" s="24" t="s">
        <v>65</v>
      </c>
      <c r="L1143" s="24" t="s">
        <v>35</v>
      </c>
      <c r="M1143" t="s">
        <v>4084</v>
      </c>
      <c r="N1143" s="17">
        <v>6</v>
      </c>
      <c r="O1143" t="s">
        <v>4295</v>
      </c>
      <c r="P1143" s="24" t="s">
        <v>38</v>
      </c>
      <c r="Q1143" s="19">
        <v>1495.98</v>
      </c>
    </row>
    <row r="1144" spans="1:17">
      <c r="A1144" t="s">
        <v>4085</v>
      </c>
      <c r="B1144" s="23">
        <v>45527</v>
      </c>
      <c r="C1144" s="23" t="str">
        <f t="shared" si="51"/>
        <v>Aug</v>
      </c>
      <c r="D1144" s="23" t="str">
        <f t="shared" si="52"/>
        <v>2024</v>
      </c>
      <c r="E1144" s="23" t="str">
        <f t="shared" si="53"/>
        <v>Q3</v>
      </c>
      <c r="F1144" t="s">
        <v>4086</v>
      </c>
      <c r="G1144" s="24" t="s">
        <v>25</v>
      </c>
      <c r="H1144" s="17">
        <v>4</v>
      </c>
      <c r="I1144" s="19">
        <v>695.1</v>
      </c>
      <c r="J1144" t="s">
        <v>4087</v>
      </c>
      <c r="K1144" s="24" t="s">
        <v>18</v>
      </c>
      <c r="L1144" s="24" t="s">
        <v>43</v>
      </c>
      <c r="M1144" t="s">
        <v>4088</v>
      </c>
      <c r="N1144" s="17">
        <v>8</v>
      </c>
      <c r="O1144" t="s">
        <v>4295</v>
      </c>
      <c r="P1144" s="24" t="s">
        <v>38</v>
      </c>
      <c r="Q1144" s="19">
        <v>2780.4</v>
      </c>
    </row>
    <row r="1145" spans="1:17">
      <c r="A1145" t="s">
        <v>4089</v>
      </c>
      <c r="B1145" s="23">
        <v>45019</v>
      </c>
      <c r="C1145" s="23" t="str">
        <f t="shared" si="51"/>
        <v>Apr</v>
      </c>
      <c r="D1145" s="23" t="str">
        <f t="shared" si="52"/>
        <v>2023</v>
      </c>
      <c r="E1145" s="23" t="str">
        <f t="shared" si="53"/>
        <v>Q2</v>
      </c>
      <c r="F1145" t="s">
        <v>4090</v>
      </c>
      <c r="G1145" s="24" t="s">
        <v>41</v>
      </c>
      <c r="H1145" s="17">
        <v>1</v>
      </c>
      <c r="I1145" s="19">
        <v>381.61</v>
      </c>
      <c r="J1145" t="s">
        <v>4091</v>
      </c>
      <c r="K1145" s="24" t="s">
        <v>18</v>
      </c>
      <c r="L1145" s="24" t="s">
        <v>89</v>
      </c>
      <c r="M1145" t="s">
        <v>4092</v>
      </c>
      <c r="N1145" s="17">
        <v>5</v>
      </c>
      <c r="O1145" t="s">
        <v>4295</v>
      </c>
      <c r="P1145" s="24" t="s">
        <v>38</v>
      </c>
      <c r="Q1145" s="19">
        <v>381.61</v>
      </c>
    </row>
    <row r="1146" spans="1:17">
      <c r="A1146" t="s">
        <v>4093</v>
      </c>
      <c r="B1146" s="23">
        <v>44973</v>
      </c>
      <c r="C1146" s="23" t="str">
        <f t="shared" si="51"/>
        <v>Feb</v>
      </c>
      <c r="D1146" s="23" t="str">
        <f t="shared" si="52"/>
        <v>2023</v>
      </c>
      <c r="E1146" s="23" t="str">
        <f t="shared" si="53"/>
        <v>Q1</v>
      </c>
      <c r="F1146" t="s">
        <v>4094</v>
      </c>
      <c r="G1146" s="24" t="s">
        <v>73</v>
      </c>
      <c r="H1146" s="17">
        <v>5</v>
      </c>
      <c r="I1146" s="19">
        <v>507.94</v>
      </c>
      <c r="J1146" t="s">
        <v>4095</v>
      </c>
      <c r="K1146" s="24" t="s">
        <v>27</v>
      </c>
      <c r="L1146" s="24" t="s">
        <v>35</v>
      </c>
      <c r="M1146" t="s">
        <v>4096</v>
      </c>
      <c r="N1146" s="17">
        <v>9</v>
      </c>
      <c r="O1146" t="s">
        <v>4295</v>
      </c>
      <c r="P1146" s="24" t="s">
        <v>45</v>
      </c>
      <c r="Q1146" s="19">
        <v>2539.7</v>
      </c>
    </row>
    <row r="1147" spans="1:17">
      <c r="A1147" t="s">
        <v>4097</v>
      </c>
      <c r="B1147" s="23">
        <v>45789</v>
      </c>
      <c r="C1147" s="23" t="str">
        <f t="shared" si="51"/>
        <v>May</v>
      </c>
      <c r="D1147" s="23" t="str">
        <f t="shared" si="52"/>
        <v>2025</v>
      </c>
      <c r="E1147" s="23" t="str">
        <f t="shared" si="53"/>
        <v>Q2</v>
      </c>
      <c r="F1147" t="s">
        <v>4098</v>
      </c>
      <c r="G1147" s="24" t="s">
        <v>73</v>
      </c>
      <c r="H1147" s="17">
        <v>3</v>
      </c>
      <c r="I1147" s="19">
        <v>571.53</v>
      </c>
      <c r="J1147" t="s">
        <v>1015</v>
      </c>
      <c r="K1147" s="24" t="s">
        <v>18</v>
      </c>
      <c r="L1147" s="24" t="s">
        <v>50</v>
      </c>
      <c r="M1147" t="s">
        <v>4099</v>
      </c>
      <c r="N1147" s="17">
        <v>6</v>
      </c>
      <c r="O1147" t="s">
        <v>37</v>
      </c>
      <c r="P1147" s="24" t="s">
        <v>45</v>
      </c>
      <c r="Q1147" s="19">
        <v>1714.59</v>
      </c>
    </row>
    <row r="1148" spans="1:17">
      <c r="A1148" t="s">
        <v>4100</v>
      </c>
      <c r="B1148" s="23">
        <v>45568</v>
      </c>
      <c r="C1148" s="23" t="str">
        <f t="shared" si="51"/>
        <v>Oct</v>
      </c>
      <c r="D1148" s="23" t="str">
        <f t="shared" si="52"/>
        <v>2024</v>
      </c>
      <c r="E1148" s="23" t="str">
        <f t="shared" si="53"/>
        <v>Q4</v>
      </c>
      <c r="F1148" t="s">
        <v>4101</v>
      </c>
      <c r="G1148" s="24" t="s">
        <v>16</v>
      </c>
      <c r="H1148" s="17">
        <v>5</v>
      </c>
      <c r="I1148" s="19">
        <v>421.44</v>
      </c>
      <c r="J1148" t="s">
        <v>1739</v>
      </c>
      <c r="K1148" s="24" t="s">
        <v>65</v>
      </c>
      <c r="L1148" s="24" t="s">
        <v>89</v>
      </c>
      <c r="M1148" t="s">
        <v>4102</v>
      </c>
      <c r="N1148" s="17">
        <v>5</v>
      </c>
      <c r="O1148" t="s">
        <v>21</v>
      </c>
      <c r="P1148" s="24" t="s">
        <v>22</v>
      </c>
      <c r="Q1148" s="19">
        <v>2107.2</v>
      </c>
    </row>
    <row r="1149" spans="1:17">
      <c r="A1149" t="s">
        <v>4103</v>
      </c>
      <c r="B1149" s="23">
        <v>45659</v>
      </c>
      <c r="C1149" s="23" t="str">
        <f t="shared" si="51"/>
        <v>Jan</v>
      </c>
      <c r="D1149" s="23" t="str">
        <f t="shared" si="52"/>
        <v>2025</v>
      </c>
      <c r="E1149" s="23" t="str">
        <f t="shared" si="53"/>
        <v>Q1</v>
      </c>
      <c r="F1149" t="s">
        <v>4104</v>
      </c>
      <c r="G1149" s="24" t="s">
        <v>41</v>
      </c>
      <c r="H1149" s="17">
        <v>2</v>
      </c>
      <c r="I1149" s="19">
        <v>588.3</v>
      </c>
      <c r="J1149" t="s">
        <v>4105</v>
      </c>
      <c r="K1149" s="24" t="s">
        <v>27</v>
      </c>
      <c r="L1149" s="24" t="s">
        <v>89</v>
      </c>
      <c r="M1149" t="s">
        <v>4106</v>
      </c>
      <c r="N1149" s="17">
        <v>2</v>
      </c>
      <c r="O1149" t="s">
        <v>37</v>
      </c>
      <c r="P1149" s="24" t="s">
        <v>38</v>
      </c>
      <c r="Q1149" s="19">
        <v>1176.6</v>
      </c>
    </row>
    <row r="1150" spans="1:17">
      <c r="A1150" t="s">
        <v>4107</v>
      </c>
      <c r="B1150" s="23">
        <v>45468</v>
      </c>
      <c r="C1150" s="23" t="str">
        <f t="shared" si="51"/>
        <v>Jun</v>
      </c>
      <c r="D1150" s="23" t="str">
        <f t="shared" si="52"/>
        <v>2024</v>
      </c>
      <c r="E1150" s="23" t="str">
        <f t="shared" si="53"/>
        <v>Q2</v>
      </c>
      <c r="F1150" t="s">
        <v>4108</v>
      </c>
      <c r="G1150" s="24" t="s">
        <v>25</v>
      </c>
      <c r="H1150" s="17">
        <v>1</v>
      </c>
      <c r="I1150" s="19">
        <v>355.15</v>
      </c>
      <c r="J1150" t="s">
        <v>4109</v>
      </c>
      <c r="K1150" s="24" t="s">
        <v>65</v>
      </c>
      <c r="L1150" s="24" t="s">
        <v>43</v>
      </c>
      <c r="M1150" t="s">
        <v>4110</v>
      </c>
      <c r="N1150" s="17">
        <v>2</v>
      </c>
      <c r="O1150" t="s">
        <v>21</v>
      </c>
      <c r="P1150" s="24" t="s">
        <v>38</v>
      </c>
      <c r="Q1150" s="19">
        <v>355.15</v>
      </c>
    </row>
    <row r="1151" spans="1:17">
      <c r="A1151" t="s">
        <v>4111</v>
      </c>
      <c r="B1151" s="23">
        <v>45498</v>
      </c>
      <c r="C1151" s="23" t="str">
        <f t="shared" si="51"/>
        <v>Jul</v>
      </c>
      <c r="D1151" s="23" t="str">
        <f t="shared" si="52"/>
        <v>2024</v>
      </c>
      <c r="E1151" s="23" t="str">
        <f t="shared" si="53"/>
        <v>Q3</v>
      </c>
      <c r="F1151" t="s">
        <v>4112</v>
      </c>
      <c r="G1151" s="24" t="s">
        <v>41</v>
      </c>
      <c r="H1151" s="17">
        <v>2</v>
      </c>
      <c r="I1151" s="19">
        <v>695.29</v>
      </c>
      <c r="J1151" t="s">
        <v>4113</v>
      </c>
      <c r="K1151" s="24" t="s">
        <v>34</v>
      </c>
      <c r="L1151" s="24" t="s">
        <v>89</v>
      </c>
      <c r="M1151" t="s">
        <v>4114</v>
      </c>
      <c r="N1151" s="17">
        <v>6</v>
      </c>
      <c r="O1151" t="s">
        <v>37</v>
      </c>
      <c r="P1151" s="24" t="s">
        <v>22</v>
      </c>
      <c r="Q1151" s="19">
        <v>1390.58</v>
      </c>
    </row>
    <row r="1152" spans="1:17">
      <c r="A1152" t="s">
        <v>4115</v>
      </c>
      <c r="B1152" s="23">
        <v>44977</v>
      </c>
      <c r="C1152" s="23" t="str">
        <f t="shared" si="51"/>
        <v>Feb</v>
      </c>
      <c r="D1152" s="23" t="str">
        <f t="shared" si="52"/>
        <v>2023</v>
      </c>
      <c r="E1152" s="23" t="str">
        <f t="shared" si="53"/>
        <v>Q1</v>
      </c>
      <c r="F1152" t="s">
        <v>4116</v>
      </c>
      <c r="G1152" s="24" t="s">
        <v>73</v>
      </c>
      <c r="H1152" s="17">
        <v>4</v>
      </c>
      <c r="I1152" s="19">
        <v>302.65</v>
      </c>
      <c r="J1152" t="s">
        <v>1089</v>
      </c>
      <c r="K1152" s="24" t="s">
        <v>34</v>
      </c>
      <c r="L1152" s="24" t="s">
        <v>35</v>
      </c>
      <c r="M1152" t="s">
        <v>4117</v>
      </c>
      <c r="N1152" s="17">
        <v>8</v>
      </c>
      <c r="O1152" t="s">
        <v>21</v>
      </c>
      <c r="P1152" s="24" t="s">
        <v>29</v>
      </c>
      <c r="Q1152" s="19">
        <v>1210.6</v>
      </c>
    </row>
    <row r="1153" spans="1:17">
      <c r="A1153" t="s">
        <v>4118</v>
      </c>
      <c r="B1153" s="23">
        <v>44955</v>
      </c>
      <c r="C1153" s="23" t="str">
        <f t="shared" si="51"/>
        <v>Jan</v>
      </c>
      <c r="D1153" s="23" t="str">
        <f t="shared" si="52"/>
        <v>2023</v>
      </c>
      <c r="E1153" s="23" t="str">
        <f t="shared" si="53"/>
        <v>Q1</v>
      </c>
      <c r="F1153" t="s">
        <v>4119</v>
      </c>
      <c r="G1153" s="24" t="s">
        <v>41</v>
      </c>
      <c r="H1153" s="17">
        <v>2</v>
      </c>
      <c r="I1153" s="19">
        <v>608.04</v>
      </c>
      <c r="J1153" t="s">
        <v>4120</v>
      </c>
      <c r="K1153" s="24" t="s">
        <v>65</v>
      </c>
      <c r="L1153" s="24" t="s">
        <v>35</v>
      </c>
      <c r="M1153" t="s">
        <v>4121</v>
      </c>
      <c r="N1153" s="17">
        <v>4</v>
      </c>
      <c r="O1153" t="s">
        <v>4295</v>
      </c>
      <c r="P1153" s="24" t="s">
        <v>76</v>
      </c>
      <c r="Q1153" s="19">
        <v>1216.08</v>
      </c>
    </row>
    <row r="1154" spans="1:17">
      <c r="A1154" t="s">
        <v>4122</v>
      </c>
      <c r="B1154" s="23">
        <v>45239</v>
      </c>
      <c r="C1154" s="23" t="str">
        <f t="shared" ref="C1154:C1201" si="54">TEXT(B1154,"MMM")</f>
        <v>Nov</v>
      </c>
      <c r="D1154" s="23" t="str">
        <f t="shared" ref="D1154:D1201" si="55">TEXT(B1154,"YYYY")</f>
        <v>2023</v>
      </c>
      <c r="E1154" s="23" t="str">
        <f t="shared" ref="E1154:E1201" si="56">"Q"&amp;ROUNDUP(MONTH(B1154)/3,0)</f>
        <v>Q4</v>
      </c>
      <c r="F1154" t="s">
        <v>4123</v>
      </c>
      <c r="G1154" s="24" t="s">
        <v>32</v>
      </c>
      <c r="H1154" s="17">
        <v>2</v>
      </c>
      <c r="I1154" s="19">
        <v>344.18</v>
      </c>
      <c r="J1154" t="s">
        <v>426</v>
      </c>
      <c r="K1154" s="24" t="s">
        <v>34</v>
      </c>
      <c r="L1154" s="24" t="s">
        <v>19</v>
      </c>
      <c r="M1154" t="s">
        <v>4124</v>
      </c>
      <c r="N1154" s="17">
        <v>7</v>
      </c>
      <c r="O1154" t="s">
        <v>4295</v>
      </c>
      <c r="P1154" s="24" t="s">
        <v>29</v>
      </c>
      <c r="Q1154" s="19">
        <v>688.36</v>
      </c>
    </row>
    <row r="1155" spans="1:17">
      <c r="A1155" t="s">
        <v>4125</v>
      </c>
      <c r="B1155" s="23">
        <v>45642</v>
      </c>
      <c r="C1155" s="23" t="str">
        <f t="shared" si="54"/>
        <v>Dec</v>
      </c>
      <c r="D1155" s="23" t="str">
        <f t="shared" si="55"/>
        <v>2024</v>
      </c>
      <c r="E1155" s="23" t="str">
        <f t="shared" si="56"/>
        <v>Q4</v>
      </c>
      <c r="F1155" t="s">
        <v>4126</v>
      </c>
      <c r="G1155" s="24" t="s">
        <v>16</v>
      </c>
      <c r="H1155" s="17">
        <v>4</v>
      </c>
      <c r="I1155" s="19">
        <v>696.71</v>
      </c>
      <c r="J1155" t="s">
        <v>4127</v>
      </c>
      <c r="K1155" s="24" t="s">
        <v>18</v>
      </c>
      <c r="L1155" s="24" t="s">
        <v>19</v>
      </c>
      <c r="M1155" t="s">
        <v>4128</v>
      </c>
      <c r="N1155" s="17">
        <v>4</v>
      </c>
      <c r="O1155" t="s">
        <v>4295</v>
      </c>
      <c r="P1155" s="24" t="s">
        <v>22</v>
      </c>
      <c r="Q1155" s="19">
        <v>2786.84</v>
      </c>
    </row>
    <row r="1156" spans="1:17">
      <c r="A1156" t="s">
        <v>4129</v>
      </c>
      <c r="B1156" s="23">
        <v>45819</v>
      </c>
      <c r="C1156" s="23" t="str">
        <f t="shared" si="54"/>
        <v>Jun</v>
      </c>
      <c r="D1156" s="23" t="str">
        <f t="shared" si="55"/>
        <v>2025</v>
      </c>
      <c r="E1156" s="23" t="str">
        <f t="shared" si="56"/>
        <v>Q2</v>
      </c>
      <c r="F1156" t="s">
        <v>4130</v>
      </c>
      <c r="G1156" s="24" t="s">
        <v>16</v>
      </c>
      <c r="H1156" s="17">
        <v>3</v>
      </c>
      <c r="I1156" s="19">
        <v>198.63</v>
      </c>
      <c r="J1156" t="s">
        <v>502</v>
      </c>
      <c r="K1156" s="24" t="s">
        <v>65</v>
      </c>
      <c r="L1156" s="24" t="s">
        <v>89</v>
      </c>
      <c r="M1156" t="s">
        <v>4131</v>
      </c>
      <c r="N1156" s="17">
        <v>8</v>
      </c>
      <c r="O1156" t="s">
        <v>21</v>
      </c>
      <c r="P1156" s="24" t="s">
        <v>22</v>
      </c>
      <c r="Q1156" s="19">
        <v>595.89</v>
      </c>
    </row>
    <row r="1157" spans="1:17">
      <c r="A1157" t="s">
        <v>4132</v>
      </c>
      <c r="B1157" s="23">
        <v>45151</v>
      </c>
      <c r="C1157" s="23" t="str">
        <f t="shared" si="54"/>
        <v>Aug</v>
      </c>
      <c r="D1157" s="23" t="str">
        <f t="shared" si="55"/>
        <v>2023</v>
      </c>
      <c r="E1157" s="23" t="str">
        <f t="shared" si="56"/>
        <v>Q3</v>
      </c>
      <c r="F1157" t="s">
        <v>4133</v>
      </c>
      <c r="G1157" s="24" t="s">
        <v>48</v>
      </c>
      <c r="H1157" s="17">
        <v>4</v>
      </c>
      <c r="I1157" s="19">
        <v>534.57</v>
      </c>
      <c r="J1157" t="s">
        <v>681</v>
      </c>
      <c r="K1157" s="24" t="s">
        <v>34</v>
      </c>
      <c r="L1157" s="24" t="s">
        <v>50</v>
      </c>
      <c r="M1157" t="s">
        <v>4134</v>
      </c>
      <c r="N1157" s="17">
        <v>6</v>
      </c>
      <c r="O1157" t="s">
        <v>37</v>
      </c>
      <c r="P1157" s="24" t="s">
        <v>45</v>
      </c>
      <c r="Q1157" s="19">
        <v>2138.28</v>
      </c>
    </row>
    <row r="1158" spans="1:17">
      <c r="A1158" t="s">
        <v>4135</v>
      </c>
      <c r="B1158" s="23">
        <v>45126</v>
      </c>
      <c r="C1158" s="23" t="str">
        <f t="shared" si="54"/>
        <v>Jul</v>
      </c>
      <c r="D1158" s="23" t="str">
        <f t="shared" si="55"/>
        <v>2023</v>
      </c>
      <c r="E1158" s="23" t="str">
        <f t="shared" si="56"/>
        <v>Q3</v>
      </c>
      <c r="F1158" t="s">
        <v>4136</v>
      </c>
      <c r="G1158" s="24" t="s">
        <v>58</v>
      </c>
      <c r="H1158" s="17">
        <v>4</v>
      </c>
      <c r="I1158" s="19">
        <v>690.78</v>
      </c>
      <c r="J1158" t="s">
        <v>97</v>
      </c>
      <c r="K1158" s="24" t="s">
        <v>34</v>
      </c>
      <c r="L1158" s="24" t="s">
        <v>19</v>
      </c>
      <c r="M1158" t="s">
        <v>4137</v>
      </c>
      <c r="N1158" s="17">
        <v>9</v>
      </c>
      <c r="O1158" t="s">
        <v>4295</v>
      </c>
      <c r="P1158" s="24" t="s">
        <v>29</v>
      </c>
      <c r="Q1158" s="19">
        <v>2763.12</v>
      </c>
    </row>
    <row r="1159" spans="1:17">
      <c r="A1159" t="s">
        <v>4138</v>
      </c>
      <c r="B1159" s="23">
        <v>45441</v>
      </c>
      <c r="C1159" s="23" t="str">
        <f t="shared" si="54"/>
        <v>May</v>
      </c>
      <c r="D1159" s="23" t="str">
        <f t="shared" si="55"/>
        <v>2024</v>
      </c>
      <c r="E1159" s="23" t="str">
        <f t="shared" si="56"/>
        <v>Q2</v>
      </c>
      <c r="F1159" t="s">
        <v>4139</v>
      </c>
      <c r="G1159" s="24" t="s">
        <v>16</v>
      </c>
      <c r="H1159" s="17">
        <v>3</v>
      </c>
      <c r="I1159" s="19">
        <v>301.55</v>
      </c>
      <c r="J1159" t="s">
        <v>914</v>
      </c>
      <c r="K1159" s="24" t="s">
        <v>18</v>
      </c>
      <c r="L1159" s="24" t="s">
        <v>50</v>
      </c>
      <c r="M1159" t="s">
        <v>4140</v>
      </c>
      <c r="N1159" s="17">
        <v>5</v>
      </c>
      <c r="O1159" t="s">
        <v>37</v>
      </c>
      <c r="P1159" s="24" t="s">
        <v>76</v>
      </c>
      <c r="Q1159" s="19">
        <v>904.65</v>
      </c>
    </row>
    <row r="1160" spans="1:17">
      <c r="A1160" t="s">
        <v>4141</v>
      </c>
      <c r="B1160" s="23">
        <v>45036</v>
      </c>
      <c r="C1160" s="23" t="str">
        <f t="shared" si="54"/>
        <v>Apr</v>
      </c>
      <c r="D1160" s="23" t="str">
        <f t="shared" si="55"/>
        <v>2023</v>
      </c>
      <c r="E1160" s="23" t="str">
        <f t="shared" si="56"/>
        <v>Q2</v>
      </c>
      <c r="F1160" t="s">
        <v>4142</v>
      </c>
      <c r="G1160" s="24" t="s">
        <v>16</v>
      </c>
      <c r="H1160" s="17">
        <v>4</v>
      </c>
      <c r="I1160" s="19">
        <v>27.42</v>
      </c>
      <c r="J1160" t="s">
        <v>1712</v>
      </c>
      <c r="K1160" s="24" t="s">
        <v>18</v>
      </c>
      <c r="L1160" s="24" t="s">
        <v>89</v>
      </c>
      <c r="M1160" t="s">
        <v>4143</v>
      </c>
      <c r="N1160" s="17">
        <v>4</v>
      </c>
      <c r="O1160" t="s">
        <v>21</v>
      </c>
      <c r="P1160" s="24" t="s">
        <v>29</v>
      </c>
      <c r="Q1160" s="19">
        <v>109.68</v>
      </c>
    </row>
    <row r="1161" spans="1:17">
      <c r="A1161" t="s">
        <v>4144</v>
      </c>
      <c r="B1161" s="23">
        <v>45345</v>
      </c>
      <c r="C1161" s="23" t="str">
        <f t="shared" si="54"/>
        <v>Feb</v>
      </c>
      <c r="D1161" s="23" t="str">
        <f t="shared" si="55"/>
        <v>2024</v>
      </c>
      <c r="E1161" s="23" t="str">
        <f t="shared" si="56"/>
        <v>Q1</v>
      </c>
      <c r="F1161" t="s">
        <v>4145</v>
      </c>
      <c r="G1161" s="24" t="s">
        <v>73</v>
      </c>
      <c r="H1161" s="17">
        <v>4</v>
      </c>
      <c r="I1161" s="19">
        <v>466.7</v>
      </c>
      <c r="J1161" t="s">
        <v>1762</v>
      </c>
      <c r="K1161" s="24" t="s">
        <v>18</v>
      </c>
      <c r="L1161" s="24" t="s">
        <v>43</v>
      </c>
      <c r="M1161" t="s">
        <v>4146</v>
      </c>
      <c r="N1161" s="17">
        <v>8</v>
      </c>
      <c r="O1161" t="s">
        <v>4295</v>
      </c>
      <c r="P1161" s="24" t="s">
        <v>22</v>
      </c>
      <c r="Q1161" s="19">
        <v>1866.8</v>
      </c>
    </row>
    <row r="1162" spans="1:17">
      <c r="A1162" t="s">
        <v>4147</v>
      </c>
      <c r="B1162" s="23">
        <v>45539</v>
      </c>
      <c r="C1162" s="23" t="str">
        <f t="shared" si="54"/>
        <v>Sep</v>
      </c>
      <c r="D1162" s="23" t="str">
        <f t="shared" si="55"/>
        <v>2024</v>
      </c>
      <c r="E1162" s="23" t="str">
        <f t="shared" si="56"/>
        <v>Q3</v>
      </c>
      <c r="F1162" t="s">
        <v>4148</v>
      </c>
      <c r="G1162" s="24" t="s">
        <v>73</v>
      </c>
      <c r="H1162" s="17">
        <v>1</v>
      </c>
      <c r="I1162" s="19">
        <v>541.64</v>
      </c>
      <c r="J1162" t="s">
        <v>1827</v>
      </c>
      <c r="K1162" s="24" t="s">
        <v>18</v>
      </c>
      <c r="L1162" s="24" t="s">
        <v>19</v>
      </c>
      <c r="M1162" t="s">
        <v>4149</v>
      </c>
      <c r="N1162" s="17">
        <v>5</v>
      </c>
      <c r="O1162" t="s">
        <v>21</v>
      </c>
      <c r="P1162" s="24" t="s">
        <v>38</v>
      </c>
      <c r="Q1162" s="19">
        <v>541.64</v>
      </c>
    </row>
    <row r="1163" spans="1:17">
      <c r="A1163" t="s">
        <v>4150</v>
      </c>
      <c r="B1163" s="23">
        <v>45215</v>
      </c>
      <c r="C1163" s="23" t="str">
        <f t="shared" si="54"/>
        <v>Oct</v>
      </c>
      <c r="D1163" s="23" t="str">
        <f t="shared" si="55"/>
        <v>2023</v>
      </c>
      <c r="E1163" s="23" t="str">
        <f t="shared" si="56"/>
        <v>Q4</v>
      </c>
      <c r="F1163" t="s">
        <v>4151</v>
      </c>
      <c r="G1163" s="24" t="s">
        <v>25</v>
      </c>
      <c r="H1163" s="17">
        <v>1</v>
      </c>
      <c r="I1163" s="19">
        <v>11.39</v>
      </c>
      <c r="J1163" t="s">
        <v>1344</v>
      </c>
      <c r="K1163" s="24" t="s">
        <v>65</v>
      </c>
      <c r="L1163" s="24" t="s">
        <v>35</v>
      </c>
      <c r="M1163" t="s">
        <v>4152</v>
      </c>
      <c r="N1163" s="17">
        <v>6</v>
      </c>
      <c r="O1163" t="s">
        <v>81</v>
      </c>
      <c r="P1163" s="24" t="s">
        <v>38</v>
      </c>
      <c r="Q1163" s="19">
        <v>11.39</v>
      </c>
    </row>
    <row r="1164" spans="1:17">
      <c r="A1164" t="s">
        <v>4153</v>
      </c>
      <c r="B1164" s="23">
        <v>45727</v>
      </c>
      <c r="C1164" s="23" t="str">
        <f t="shared" si="54"/>
        <v>Mar</v>
      </c>
      <c r="D1164" s="23" t="str">
        <f t="shared" si="55"/>
        <v>2025</v>
      </c>
      <c r="E1164" s="23" t="str">
        <f t="shared" si="56"/>
        <v>Q1</v>
      </c>
      <c r="F1164" t="s">
        <v>4154</v>
      </c>
      <c r="G1164" s="24" t="s">
        <v>25</v>
      </c>
      <c r="H1164" s="17">
        <v>2</v>
      </c>
      <c r="I1164" s="19">
        <v>224.37</v>
      </c>
      <c r="J1164" t="s">
        <v>4155</v>
      </c>
      <c r="K1164" s="24" t="s">
        <v>18</v>
      </c>
      <c r="L1164" s="24" t="s">
        <v>50</v>
      </c>
      <c r="M1164" t="s">
        <v>4156</v>
      </c>
      <c r="N1164" s="17">
        <v>3</v>
      </c>
      <c r="O1164" t="s">
        <v>81</v>
      </c>
      <c r="P1164" s="24" t="s">
        <v>29</v>
      </c>
      <c r="Q1164" s="19">
        <v>448.74</v>
      </c>
    </row>
    <row r="1165" spans="1:17">
      <c r="A1165" t="s">
        <v>4157</v>
      </c>
      <c r="B1165" s="23">
        <v>45454</v>
      </c>
      <c r="C1165" s="23" t="str">
        <f t="shared" si="54"/>
        <v>Jun</v>
      </c>
      <c r="D1165" s="23" t="str">
        <f t="shared" si="55"/>
        <v>2024</v>
      </c>
      <c r="E1165" s="23" t="str">
        <f t="shared" si="56"/>
        <v>Q2</v>
      </c>
      <c r="F1165" t="s">
        <v>4158</v>
      </c>
      <c r="G1165" s="24" t="s">
        <v>58</v>
      </c>
      <c r="H1165" s="17">
        <v>3</v>
      </c>
      <c r="I1165" s="19">
        <v>306.29</v>
      </c>
      <c r="J1165" t="s">
        <v>4159</v>
      </c>
      <c r="K1165" s="24" t="s">
        <v>34</v>
      </c>
      <c r="L1165" s="24" t="s">
        <v>43</v>
      </c>
      <c r="M1165" t="s">
        <v>4160</v>
      </c>
      <c r="N1165" s="17">
        <v>7</v>
      </c>
      <c r="O1165" t="s">
        <v>81</v>
      </c>
      <c r="P1165" s="24" t="s">
        <v>22</v>
      </c>
      <c r="Q1165" s="19">
        <v>918.87</v>
      </c>
    </row>
    <row r="1166" spans="1:17">
      <c r="A1166" t="s">
        <v>4161</v>
      </c>
      <c r="B1166" s="23">
        <v>45299</v>
      </c>
      <c r="C1166" s="23" t="str">
        <f t="shared" si="54"/>
        <v>Jan</v>
      </c>
      <c r="D1166" s="23" t="str">
        <f t="shared" si="55"/>
        <v>2024</v>
      </c>
      <c r="E1166" s="23" t="str">
        <f t="shared" si="56"/>
        <v>Q1</v>
      </c>
      <c r="F1166" t="s">
        <v>4162</v>
      </c>
      <c r="G1166" s="24" t="s">
        <v>32</v>
      </c>
      <c r="H1166" s="17">
        <v>5</v>
      </c>
      <c r="I1166" s="19">
        <v>315.57</v>
      </c>
      <c r="J1166" t="s">
        <v>2197</v>
      </c>
      <c r="K1166" s="24" t="s">
        <v>18</v>
      </c>
      <c r="L1166" s="24" t="s">
        <v>50</v>
      </c>
      <c r="M1166" t="s">
        <v>4163</v>
      </c>
      <c r="N1166" s="17">
        <v>6</v>
      </c>
      <c r="O1166" t="s">
        <v>81</v>
      </c>
      <c r="P1166" s="24" t="s">
        <v>38</v>
      </c>
      <c r="Q1166" s="19">
        <v>1577.85</v>
      </c>
    </row>
    <row r="1167" spans="1:17">
      <c r="A1167" t="s">
        <v>4164</v>
      </c>
      <c r="B1167" s="23">
        <v>45121</v>
      </c>
      <c r="C1167" s="23" t="str">
        <f t="shared" si="54"/>
        <v>Jul</v>
      </c>
      <c r="D1167" s="23" t="str">
        <f t="shared" si="55"/>
        <v>2023</v>
      </c>
      <c r="E1167" s="23" t="str">
        <f t="shared" si="56"/>
        <v>Q3</v>
      </c>
      <c r="F1167" t="s">
        <v>4165</v>
      </c>
      <c r="G1167" s="24" t="s">
        <v>41</v>
      </c>
      <c r="H1167" s="17">
        <v>3</v>
      </c>
      <c r="I1167" s="19">
        <v>223.79</v>
      </c>
      <c r="J1167" t="s">
        <v>4166</v>
      </c>
      <c r="K1167" s="24" t="s">
        <v>18</v>
      </c>
      <c r="L1167" s="24" t="s">
        <v>89</v>
      </c>
      <c r="M1167" t="s">
        <v>4167</v>
      </c>
      <c r="N1167" s="17">
        <v>3</v>
      </c>
      <c r="O1167" t="s">
        <v>4295</v>
      </c>
      <c r="P1167" s="24" t="s">
        <v>76</v>
      </c>
      <c r="Q1167" s="19">
        <v>671.37</v>
      </c>
    </row>
    <row r="1168" spans="1:17">
      <c r="A1168" t="s">
        <v>4168</v>
      </c>
      <c r="B1168" s="23">
        <v>45138</v>
      </c>
      <c r="C1168" s="23" t="str">
        <f t="shared" si="54"/>
        <v>Jul</v>
      </c>
      <c r="D1168" s="23" t="str">
        <f t="shared" si="55"/>
        <v>2023</v>
      </c>
      <c r="E1168" s="23" t="str">
        <f t="shared" si="56"/>
        <v>Q3</v>
      </c>
      <c r="F1168" t="s">
        <v>4169</v>
      </c>
      <c r="G1168" s="24" t="s">
        <v>41</v>
      </c>
      <c r="H1168" s="17">
        <v>3</v>
      </c>
      <c r="I1168" s="19">
        <v>324.47</v>
      </c>
      <c r="J1168" t="s">
        <v>363</v>
      </c>
      <c r="K1168" s="24" t="s">
        <v>65</v>
      </c>
      <c r="L1168" s="24" t="s">
        <v>50</v>
      </c>
      <c r="M1168" t="s">
        <v>4170</v>
      </c>
      <c r="N1168" s="17">
        <v>4</v>
      </c>
      <c r="O1168" t="s">
        <v>81</v>
      </c>
      <c r="P1168" s="24" t="s">
        <v>38</v>
      </c>
      <c r="Q1168" s="19">
        <v>973.41</v>
      </c>
    </row>
    <row r="1169" spans="1:17">
      <c r="A1169" t="s">
        <v>4171</v>
      </c>
      <c r="B1169" s="23">
        <v>45216</v>
      </c>
      <c r="C1169" s="23" t="str">
        <f t="shared" si="54"/>
        <v>Oct</v>
      </c>
      <c r="D1169" s="23" t="str">
        <f t="shared" si="55"/>
        <v>2023</v>
      </c>
      <c r="E1169" s="23" t="str">
        <f t="shared" si="56"/>
        <v>Q4</v>
      </c>
      <c r="F1169" t="s">
        <v>4172</v>
      </c>
      <c r="G1169" s="24" t="s">
        <v>48</v>
      </c>
      <c r="H1169" s="17">
        <v>2</v>
      </c>
      <c r="I1169" s="19">
        <v>92.87</v>
      </c>
      <c r="J1169" t="s">
        <v>1101</v>
      </c>
      <c r="K1169" s="24" t="s">
        <v>34</v>
      </c>
      <c r="L1169" s="24" t="s">
        <v>89</v>
      </c>
      <c r="M1169" t="s">
        <v>4173</v>
      </c>
      <c r="N1169" s="17">
        <v>5</v>
      </c>
      <c r="O1169" t="s">
        <v>37</v>
      </c>
      <c r="P1169" s="24" t="s">
        <v>45</v>
      </c>
      <c r="Q1169" s="19">
        <v>185.74</v>
      </c>
    </row>
    <row r="1170" spans="1:17">
      <c r="A1170" t="s">
        <v>4174</v>
      </c>
      <c r="B1170" s="23">
        <v>45024</v>
      </c>
      <c r="C1170" s="23" t="str">
        <f t="shared" si="54"/>
        <v>Apr</v>
      </c>
      <c r="D1170" s="23" t="str">
        <f t="shared" si="55"/>
        <v>2023</v>
      </c>
      <c r="E1170" s="23" t="str">
        <f t="shared" si="56"/>
        <v>Q2</v>
      </c>
      <c r="F1170" t="s">
        <v>4175</v>
      </c>
      <c r="G1170" s="24" t="s">
        <v>58</v>
      </c>
      <c r="H1170" s="17">
        <v>2</v>
      </c>
      <c r="I1170" s="19">
        <v>331.42</v>
      </c>
      <c r="J1170" t="s">
        <v>4176</v>
      </c>
      <c r="K1170" s="24" t="s">
        <v>34</v>
      </c>
      <c r="L1170" s="24" t="s">
        <v>50</v>
      </c>
      <c r="M1170" t="s">
        <v>4177</v>
      </c>
      <c r="N1170" s="17">
        <v>6</v>
      </c>
      <c r="O1170" t="s">
        <v>81</v>
      </c>
      <c r="P1170" s="24" t="s">
        <v>76</v>
      </c>
      <c r="Q1170" s="19">
        <v>662.84</v>
      </c>
    </row>
    <row r="1171" spans="1:17">
      <c r="A1171" t="s">
        <v>4178</v>
      </c>
      <c r="B1171" s="23">
        <v>45649</v>
      </c>
      <c r="C1171" s="23" t="str">
        <f t="shared" si="54"/>
        <v>Dec</v>
      </c>
      <c r="D1171" s="23" t="str">
        <f t="shared" si="55"/>
        <v>2024</v>
      </c>
      <c r="E1171" s="23" t="str">
        <f t="shared" si="56"/>
        <v>Q4</v>
      </c>
      <c r="F1171" t="s">
        <v>4179</v>
      </c>
      <c r="G1171" s="24" t="s">
        <v>41</v>
      </c>
      <c r="H1171" s="17">
        <v>1</v>
      </c>
      <c r="I1171" s="19">
        <v>525.43</v>
      </c>
      <c r="J1171" t="s">
        <v>4180</v>
      </c>
      <c r="K1171" s="24" t="s">
        <v>65</v>
      </c>
      <c r="L1171" s="24" t="s">
        <v>35</v>
      </c>
      <c r="M1171" t="s">
        <v>4181</v>
      </c>
      <c r="N1171" s="17">
        <v>2</v>
      </c>
      <c r="O1171" t="s">
        <v>21</v>
      </c>
      <c r="P1171" s="24" t="s">
        <v>22</v>
      </c>
      <c r="Q1171" s="19">
        <v>525.43</v>
      </c>
    </row>
    <row r="1172" spans="1:17">
      <c r="A1172" t="s">
        <v>4182</v>
      </c>
      <c r="B1172" s="23">
        <v>45141</v>
      </c>
      <c r="C1172" s="23" t="str">
        <f t="shared" si="54"/>
        <v>Aug</v>
      </c>
      <c r="D1172" s="23" t="str">
        <f t="shared" si="55"/>
        <v>2023</v>
      </c>
      <c r="E1172" s="23" t="str">
        <f t="shared" si="56"/>
        <v>Q3</v>
      </c>
      <c r="F1172" t="s">
        <v>4183</v>
      </c>
      <c r="G1172" s="24" t="s">
        <v>48</v>
      </c>
      <c r="H1172" s="17">
        <v>2</v>
      </c>
      <c r="I1172" s="19">
        <v>697.19</v>
      </c>
      <c r="J1172" t="s">
        <v>925</v>
      </c>
      <c r="K1172" s="24" t="s">
        <v>65</v>
      </c>
      <c r="L1172" s="24" t="s">
        <v>43</v>
      </c>
      <c r="M1172" t="s">
        <v>4184</v>
      </c>
      <c r="N1172" s="17">
        <v>7</v>
      </c>
      <c r="O1172" t="s">
        <v>37</v>
      </c>
      <c r="P1172" s="24" t="s">
        <v>38</v>
      </c>
      <c r="Q1172" s="19">
        <v>1394.38</v>
      </c>
    </row>
    <row r="1173" spans="1:17">
      <c r="A1173" t="s">
        <v>4185</v>
      </c>
      <c r="B1173" s="23">
        <v>45166</v>
      </c>
      <c r="C1173" s="23" t="str">
        <f t="shared" si="54"/>
        <v>Aug</v>
      </c>
      <c r="D1173" s="23" t="str">
        <f t="shared" si="55"/>
        <v>2023</v>
      </c>
      <c r="E1173" s="23" t="str">
        <f t="shared" si="56"/>
        <v>Q3</v>
      </c>
      <c r="F1173" t="s">
        <v>4186</v>
      </c>
      <c r="G1173" s="24" t="s">
        <v>25</v>
      </c>
      <c r="H1173" s="17">
        <v>4</v>
      </c>
      <c r="I1173" s="19">
        <v>518.4</v>
      </c>
      <c r="J1173" t="s">
        <v>4187</v>
      </c>
      <c r="K1173" s="24" t="s">
        <v>34</v>
      </c>
      <c r="L1173" s="24" t="s">
        <v>50</v>
      </c>
      <c r="M1173" t="s">
        <v>4188</v>
      </c>
      <c r="N1173" s="17">
        <v>7</v>
      </c>
      <c r="O1173" t="s">
        <v>21</v>
      </c>
      <c r="P1173" s="24" t="s">
        <v>45</v>
      </c>
      <c r="Q1173" s="19">
        <v>2073.6</v>
      </c>
    </row>
    <row r="1174" spans="1:17">
      <c r="A1174" t="s">
        <v>4189</v>
      </c>
      <c r="B1174" s="23">
        <v>45692</v>
      </c>
      <c r="C1174" s="23" t="str">
        <f t="shared" si="54"/>
        <v>Feb</v>
      </c>
      <c r="D1174" s="23" t="str">
        <f t="shared" si="55"/>
        <v>2025</v>
      </c>
      <c r="E1174" s="23" t="str">
        <f t="shared" si="56"/>
        <v>Q1</v>
      </c>
      <c r="F1174" t="s">
        <v>4190</v>
      </c>
      <c r="G1174" s="24" t="s">
        <v>73</v>
      </c>
      <c r="H1174" s="17">
        <v>3</v>
      </c>
      <c r="I1174" s="19">
        <v>131.96</v>
      </c>
      <c r="J1174" t="s">
        <v>1930</v>
      </c>
      <c r="K1174" s="24" t="s">
        <v>34</v>
      </c>
      <c r="L1174" s="24" t="s">
        <v>89</v>
      </c>
      <c r="M1174" t="s">
        <v>4191</v>
      </c>
      <c r="N1174" s="17">
        <v>8</v>
      </c>
      <c r="O1174" t="s">
        <v>4295</v>
      </c>
      <c r="P1174" s="24" t="s">
        <v>22</v>
      </c>
      <c r="Q1174" s="19">
        <v>395.88</v>
      </c>
    </row>
    <row r="1175" spans="1:17">
      <c r="A1175" t="s">
        <v>4192</v>
      </c>
      <c r="B1175" s="23">
        <v>45569</v>
      </c>
      <c r="C1175" s="23" t="str">
        <f t="shared" si="54"/>
        <v>Oct</v>
      </c>
      <c r="D1175" s="23" t="str">
        <f t="shared" si="55"/>
        <v>2024</v>
      </c>
      <c r="E1175" s="23" t="str">
        <f t="shared" si="56"/>
        <v>Q4</v>
      </c>
      <c r="F1175" t="s">
        <v>4193</v>
      </c>
      <c r="G1175" s="24" t="s">
        <v>16</v>
      </c>
      <c r="H1175" s="17">
        <v>1</v>
      </c>
      <c r="I1175" s="19">
        <v>208.36</v>
      </c>
      <c r="J1175" t="s">
        <v>2676</v>
      </c>
      <c r="K1175" s="24" t="s">
        <v>27</v>
      </c>
      <c r="L1175" s="24" t="s">
        <v>19</v>
      </c>
      <c r="M1175" t="s">
        <v>4194</v>
      </c>
      <c r="N1175" s="17">
        <v>4</v>
      </c>
      <c r="O1175" t="s">
        <v>37</v>
      </c>
      <c r="P1175" s="24" t="s">
        <v>38</v>
      </c>
      <c r="Q1175" s="19">
        <v>208.36</v>
      </c>
    </row>
    <row r="1176" spans="1:17">
      <c r="A1176" t="s">
        <v>4195</v>
      </c>
      <c r="B1176" s="23">
        <v>45257</v>
      </c>
      <c r="C1176" s="23" t="str">
        <f t="shared" si="54"/>
        <v>Nov</v>
      </c>
      <c r="D1176" s="23" t="str">
        <f t="shared" si="55"/>
        <v>2023</v>
      </c>
      <c r="E1176" s="23" t="str">
        <f t="shared" si="56"/>
        <v>Q4</v>
      </c>
      <c r="F1176" t="s">
        <v>4196</v>
      </c>
      <c r="G1176" s="24" t="s">
        <v>48</v>
      </c>
      <c r="H1176" s="17">
        <v>3</v>
      </c>
      <c r="I1176" s="19">
        <v>222.34</v>
      </c>
      <c r="J1176" t="s">
        <v>4197</v>
      </c>
      <c r="K1176" s="24" t="s">
        <v>34</v>
      </c>
      <c r="L1176" s="24" t="s">
        <v>43</v>
      </c>
      <c r="M1176" t="s">
        <v>4198</v>
      </c>
      <c r="N1176" s="17">
        <v>5</v>
      </c>
      <c r="O1176" t="s">
        <v>81</v>
      </c>
      <c r="P1176" s="24" t="s">
        <v>38</v>
      </c>
      <c r="Q1176" s="19">
        <v>667.02</v>
      </c>
    </row>
    <row r="1177" spans="1:17">
      <c r="A1177" t="s">
        <v>4199</v>
      </c>
      <c r="B1177" s="23">
        <v>45545</v>
      </c>
      <c r="C1177" s="23" t="str">
        <f t="shared" si="54"/>
        <v>Sep</v>
      </c>
      <c r="D1177" s="23" t="str">
        <f t="shared" si="55"/>
        <v>2024</v>
      </c>
      <c r="E1177" s="23" t="str">
        <f t="shared" si="56"/>
        <v>Q3</v>
      </c>
      <c r="F1177" t="s">
        <v>4200</v>
      </c>
      <c r="G1177" s="24" t="s">
        <v>48</v>
      </c>
      <c r="H1177" s="17">
        <v>3</v>
      </c>
      <c r="I1177" s="19">
        <v>91.74</v>
      </c>
      <c r="J1177" t="s">
        <v>1206</v>
      </c>
      <c r="K1177" s="24" t="s">
        <v>18</v>
      </c>
      <c r="L1177" s="24" t="s">
        <v>43</v>
      </c>
      <c r="M1177" t="s">
        <v>4201</v>
      </c>
      <c r="N1177" s="17">
        <v>8</v>
      </c>
      <c r="O1177" t="s">
        <v>37</v>
      </c>
      <c r="P1177" s="24" t="s">
        <v>29</v>
      </c>
      <c r="Q1177" s="19">
        <v>275.22</v>
      </c>
    </row>
    <row r="1178" spans="1:17">
      <c r="A1178" t="s">
        <v>4202</v>
      </c>
      <c r="B1178" s="23">
        <v>45151</v>
      </c>
      <c r="C1178" s="23" t="str">
        <f t="shared" si="54"/>
        <v>Aug</v>
      </c>
      <c r="D1178" s="23" t="str">
        <f t="shared" si="55"/>
        <v>2023</v>
      </c>
      <c r="E1178" s="23" t="str">
        <f t="shared" si="56"/>
        <v>Q3</v>
      </c>
      <c r="F1178" t="s">
        <v>4203</v>
      </c>
      <c r="G1178" s="24" t="s">
        <v>32</v>
      </c>
      <c r="H1178" s="17">
        <v>2</v>
      </c>
      <c r="I1178" s="19">
        <v>213.83</v>
      </c>
      <c r="J1178" t="s">
        <v>4204</v>
      </c>
      <c r="K1178" s="24" t="s">
        <v>18</v>
      </c>
      <c r="L1178" s="24" t="s">
        <v>35</v>
      </c>
      <c r="M1178" t="s">
        <v>4205</v>
      </c>
      <c r="N1178" s="17">
        <v>2</v>
      </c>
      <c r="O1178" t="s">
        <v>81</v>
      </c>
      <c r="P1178" s="24" t="s">
        <v>38</v>
      </c>
      <c r="Q1178" s="19">
        <v>427.66</v>
      </c>
    </row>
    <row r="1179" spans="1:17">
      <c r="A1179" t="s">
        <v>4206</v>
      </c>
      <c r="B1179" s="23">
        <v>45043</v>
      </c>
      <c r="C1179" s="23" t="str">
        <f t="shared" si="54"/>
        <v>Apr</v>
      </c>
      <c r="D1179" s="23" t="str">
        <f t="shared" si="55"/>
        <v>2023</v>
      </c>
      <c r="E1179" s="23" t="str">
        <f t="shared" si="56"/>
        <v>Q2</v>
      </c>
      <c r="F1179" t="s">
        <v>4207</v>
      </c>
      <c r="G1179" s="24" t="s">
        <v>48</v>
      </c>
      <c r="H1179" s="17">
        <v>1</v>
      </c>
      <c r="I1179" s="19">
        <v>127.55</v>
      </c>
      <c r="J1179" t="s">
        <v>1670</v>
      </c>
      <c r="K1179" s="24" t="s">
        <v>65</v>
      </c>
      <c r="L1179" s="24" t="s">
        <v>19</v>
      </c>
      <c r="M1179" t="s">
        <v>4208</v>
      </c>
      <c r="N1179" s="17">
        <v>3</v>
      </c>
      <c r="O1179" t="s">
        <v>21</v>
      </c>
      <c r="P1179" s="24" t="s">
        <v>29</v>
      </c>
      <c r="Q1179" s="19">
        <v>127.55</v>
      </c>
    </row>
    <row r="1180" spans="1:17">
      <c r="A1180" t="s">
        <v>4209</v>
      </c>
      <c r="B1180" s="23">
        <v>45543</v>
      </c>
      <c r="C1180" s="23" t="str">
        <f t="shared" si="54"/>
        <v>Sep</v>
      </c>
      <c r="D1180" s="23" t="str">
        <f t="shared" si="55"/>
        <v>2024</v>
      </c>
      <c r="E1180" s="23" t="str">
        <f t="shared" si="56"/>
        <v>Q3</v>
      </c>
      <c r="F1180" t="s">
        <v>4210</v>
      </c>
      <c r="G1180" s="24" t="s">
        <v>16</v>
      </c>
      <c r="H1180" s="17">
        <v>1</v>
      </c>
      <c r="I1180" s="19">
        <v>70.24</v>
      </c>
      <c r="J1180" t="s">
        <v>964</v>
      </c>
      <c r="K1180" s="24" t="s">
        <v>34</v>
      </c>
      <c r="L1180" s="24" t="s">
        <v>35</v>
      </c>
      <c r="M1180" t="s">
        <v>4211</v>
      </c>
      <c r="N1180" s="17">
        <v>4</v>
      </c>
      <c r="O1180" t="s">
        <v>37</v>
      </c>
      <c r="P1180" s="24" t="s">
        <v>76</v>
      </c>
      <c r="Q1180" s="19">
        <v>70.24</v>
      </c>
    </row>
    <row r="1181" spans="1:17">
      <c r="A1181" t="s">
        <v>4212</v>
      </c>
      <c r="B1181" s="23">
        <v>44934</v>
      </c>
      <c r="C1181" s="23" t="str">
        <f t="shared" si="54"/>
        <v>Jan</v>
      </c>
      <c r="D1181" s="23" t="str">
        <f t="shared" si="55"/>
        <v>2023</v>
      </c>
      <c r="E1181" s="23" t="str">
        <f t="shared" si="56"/>
        <v>Q1</v>
      </c>
      <c r="F1181" t="s">
        <v>4213</v>
      </c>
      <c r="G1181" s="24" t="s">
        <v>58</v>
      </c>
      <c r="H1181" s="17">
        <v>5</v>
      </c>
      <c r="I1181" s="19">
        <v>518.55</v>
      </c>
      <c r="J1181" t="s">
        <v>1408</v>
      </c>
      <c r="K1181" s="24" t="s">
        <v>34</v>
      </c>
      <c r="L1181" s="24" t="s">
        <v>35</v>
      </c>
      <c r="M1181" t="s">
        <v>4214</v>
      </c>
      <c r="N1181" s="17">
        <v>6</v>
      </c>
      <c r="O1181" t="s">
        <v>81</v>
      </c>
      <c r="P1181" s="24" t="s">
        <v>22</v>
      </c>
      <c r="Q1181" s="19">
        <v>2592.75</v>
      </c>
    </row>
    <row r="1182" spans="1:17">
      <c r="A1182" t="s">
        <v>4215</v>
      </c>
      <c r="B1182" s="23">
        <v>45230</v>
      </c>
      <c r="C1182" s="23" t="str">
        <f t="shared" si="54"/>
        <v>Oct</v>
      </c>
      <c r="D1182" s="23" t="str">
        <f t="shared" si="55"/>
        <v>2023</v>
      </c>
      <c r="E1182" s="23" t="str">
        <f t="shared" si="56"/>
        <v>Q4</v>
      </c>
      <c r="F1182" t="s">
        <v>4216</v>
      </c>
      <c r="G1182" s="24" t="s">
        <v>41</v>
      </c>
      <c r="H1182" s="17">
        <v>4</v>
      </c>
      <c r="I1182" s="19">
        <v>298.36</v>
      </c>
      <c r="J1182" t="s">
        <v>2029</v>
      </c>
      <c r="K1182" s="24" t="s">
        <v>18</v>
      </c>
      <c r="L1182" s="24" t="s">
        <v>89</v>
      </c>
      <c r="M1182" t="s">
        <v>4217</v>
      </c>
      <c r="N1182" s="17">
        <v>8</v>
      </c>
      <c r="O1182" t="s">
        <v>37</v>
      </c>
      <c r="P1182" s="24" t="s">
        <v>76</v>
      </c>
      <c r="Q1182" s="19">
        <v>1193.44</v>
      </c>
    </row>
    <row r="1183" spans="1:17">
      <c r="A1183" t="s">
        <v>4218</v>
      </c>
      <c r="B1183" s="23">
        <v>45134</v>
      </c>
      <c r="C1183" s="23" t="str">
        <f t="shared" si="54"/>
        <v>Jul</v>
      </c>
      <c r="D1183" s="23" t="str">
        <f t="shared" si="55"/>
        <v>2023</v>
      </c>
      <c r="E1183" s="23" t="str">
        <f t="shared" si="56"/>
        <v>Q3</v>
      </c>
      <c r="F1183" t="s">
        <v>4219</v>
      </c>
      <c r="G1183" s="24" t="s">
        <v>73</v>
      </c>
      <c r="H1183" s="17">
        <v>3</v>
      </c>
      <c r="I1183" s="19">
        <v>158.74</v>
      </c>
      <c r="J1183" t="s">
        <v>1348</v>
      </c>
      <c r="K1183" s="24" t="s">
        <v>27</v>
      </c>
      <c r="L1183" s="24" t="s">
        <v>89</v>
      </c>
      <c r="M1183" t="s">
        <v>4220</v>
      </c>
      <c r="N1183" s="17">
        <v>7</v>
      </c>
      <c r="O1183" t="s">
        <v>37</v>
      </c>
      <c r="P1183" s="24" t="s">
        <v>22</v>
      </c>
      <c r="Q1183" s="19">
        <v>476.22</v>
      </c>
    </row>
    <row r="1184" spans="1:17">
      <c r="A1184" t="s">
        <v>4221</v>
      </c>
      <c r="B1184" s="23">
        <v>45822</v>
      </c>
      <c r="C1184" s="23" t="str">
        <f t="shared" si="54"/>
        <v>Jun</v>
      </c>
      <c r="D1184" s="23" t="str">
        <f t="shared" si="55"/>
        <v>2025</v>
      </c>
      <c r="E1184" s="23" t="str">
        <f t="shared" si="56"/>
        <v>Q2</v>
      </c>
      <c r="F1184" t="s">
        <v>4222</v>
      </c>
      <c r="G1184" s="24" t="s">
        <v>41</v>
      </c>
      <c r="H1184" s="17">
        <v>2</v>
      </c>
      <c r="I1184" s="19">
        <v>420.29</v>
      </c>
      <c r="J1184" t="s">
        <v>2257</v>
      </c>
      <c r="K1184" s="24" t="s">
        <v>60</v>
      </c>
      <c r="L1184" s="24" t="s">
        <v>43</v>
      </c>
      <c r="M1184" t="s">
        <v>4223</v>
      </c>
      <c r="N1184" s="17">
        <v>3</v>
      </c>
      <c r="O1184" t="s">
        <v>21</v>
      </c>
      <c r="P1184" s="24" t="s">
        <v>76</v>
      </c>
      <c r="Q1184" s="19">
        <v>840.58</v>
      </c>
    </row>
    <row r="1185" spans="1:17">
      <c r="A1185" t="s">
        <v>4224</v>
      </c>
      <c r="B1185" s="23">
        <v>45021</v>
      </c>
      <c r="C1185" s="23" t="str">
        <f t="shared" si="54"/>
        <v>Apr</v>
      </c>
      <c r="D1185" s="23" t="str">
        <f t="shared" si="55"/>
        <v>2023</v>
      </c>
      <c r="E1185" s="23" t="str">
        <f t="shared" si="56"/>
        <v>Q2</v>
      </c>
      <c r="F1185" t="s">
        <v>4225</v>
      </c>
      <c r="G1185" s="24" t="s">
        <v>73</v>
      </c>
      <c r="H1185" s="17">
        <v>1</v>
      </c>
      <c r="I1185" s="19">
        <v>281.52</v>
      </c>
      <c r="J1185" t="s">
        <v>1047</v>
      </c>
      <c r="K1185" s="24" t="s">
        <v>60</v>
      </c>
      <c r="L1185" s="24" t="s">
        <v>19</v>
      </c>
      <c r="M1185" t="s">
        <v>4226</v>
      </c>
      <c r="N1185" s="17">
        <v>6</v>
      </c>
      <c r="O1185" t="s">
        <v>81</v>
      </c>
      <c r="P1185" s="24" t="s">
        <v>29</v>
      </c>
      <c r="Q1185" s="19">
        <v>281.52</v>
      </c>
    </row>
    <row r="1186" spans="1:17">
      <c r="A1186" t="s">
        <v>4227</v>
      </c>
      <c r="B1186" s="23">
        <v>45196</v>
      </c>
      <c r="C1186" s="23" t="str">
        <f t="shared" si="54"/>
        <v>Sep</v>
      </c>
      <c r="D1186" s="23" t="str">
        <f t="shared" si="55"/>
        <v>2023</v>
      </c>
      <c r="E1186" s="23" t="str">
        <f t="shared" si="56"/>
        <v>Q3</v>
      </c>
      <c r="F1186" t="s">
        <v>4228</v>
      </c>
      <c r="G1186" s="24" t="s">
        <v>58</v>
      </c>
      <c r="H1186" s="17">
        <v>1</v>
      </c>
      <c r="I1186" s="19">
        <v>204.08</v>
      </c>
      <c r="J1186" t="s">
        <v>3007</v>
      </c>
      <c r="K1186" s="24" t="s">
        <v>60</v>
      </c>
      <c r="L1186" s="24" t="s">
        <v>43</v>
      </c>
      <c r="M1186" t="s">
        <v>4229</v>
      </c>
      <c r="N1186" s="17">
        <v>4</v>
      </c>
      <c r="O1186" t="s">
        <v>4295</v>
      </c>
      <c r="P1186" s="24" t="s">
        <v>76</v>
      </c>
      <c r="Q1186" s="19">
        <v>204.08</v>
      </c>
    </row>
    <row r="1187" spans="1:17">
      <c r="A1187" t="s">
        <v>4230</v>
      </c>
      <c r="B1187" s="23">
        <v>45481</v>
      </c>
      <c r="C1187" s="23" t="str">
        <f t="shared" si="54"/>
        <v>Jul</v>
      </c>
      <c r="D1187" s="23" t="str">
        <f t="shared" si="55"/>
        <v>2024</v>
      </c>
      <c r="E1187" s="23" t="str">
        <f t="shared" si="56"/>
        <v>Q3</v>
      </c>
      <c r="F1187" t="s">
        <v>4231</v>
      </c>
      <c r="G1187" s="24" t="s">
        <v>41</v>
      </c>
      <c r="H1187" s="17">
        <v>1</v>
      </c>
      <c r="I1187" s="19">
        <v>343.31</v>
      </c>
      <c r="J1187" t="s">
        <v>4232</v>
      </c>
      <c r="K1187" s="24" t="s">
        <v>60</v>
      </c>
      <c r="L1187" s="24" t="s">
        <v>43</v>
      </c>
      <c r="M1187" t="s">
        <v>4233</v>
      </c>
      <c r="N1187" s="17">
        <v>6</v>
      </c>
      <c r="O1187" t="s">
        <v>21</v>
      </c>
      <c r="P1187" s="24" t="s">
        <v>76</v>
      </c>
      <c r="Q1187" s="19">
        <v>343.31</v>
      </c>
    </row>
    <row r="1188" spans="1:17">
      <c r="A1188" t="s">
        <v>4234</v>
      </c>
      <c r="B1188" s="23">
        <v>45248</v>
      </c>
      <c r="C1188" s="23" t="str">
        <f t="shared" si="54"/>
        <v>Nov</v>
      </c>
      <c r="D1188" s="23" t="str">
        <f t="shared" si="55"/>
        <v>2023</v>
      </c>
      <c r="E1188" s="23" t="str">
        <f t="shared" si="56"/>
        <v>Q4</v>
      </c>
      <c r="F1188" t="s">
        <v>4235</v>
      </c>
      <c r="G1188" s="24" t="s">
        <v>16</v>
      </c>
      <c r="H1188" s="17">
        <v>1</v>
      </c>
      <c r="I1188" s="19">
        <v>163.32</v>
      </c>
      <c r="J1188" t="s">
        <v>4236</v>
      </c>
      <c r="K1188" s="24" t="s">
        <v>65</v>
      </c>
      <c r="L1188" s="24" t="s">
        <v>19</v>
      </c>
      <c r="M1188" t="s">
        <v>4237</v>
      </c>
      <c r="N1188" s="17">
        <v>6</v>
      </c>
      <c r="O1188" t="s">
        <v>81</v>
      </c>
      <c r="P1188" s="24" t="s">
        <v>45</v>
      </c>
      <c r="Q1188" s="19">
        <v>163.32</v>
      </c>
    </row>
    <row r="1189" spans="1:17">
      <c r="A1189" t="s">
        <v>4238</v>
      </c>
      <c r="B1189" s="23">
        <v>45364</v>
      </c>
      <c r="C1189" s="23" t="str">
        <f t="shared" si="54"/>
        <v>Mar</v>
      </c>
      <c r="D1189" s="23" t="str">
        <f t="shared" si="55"/>
        <v>2024</v>
      </c>
      <c r="E1189" s="23" t="str">
        <f t="shared" si="56"/>
        <v>Q1</v>
      </c>
      <c r="F1189" t="s">
        <v>4239</v>
      </c>
      <c r="G1189" s="24" t="s">
        <v>73</v>
      </c>
      <c r="H1189" s="17">
        <v>2</v>
      </c>
      <c r="I1189" s="19">
        <v>184.6</v>
      </c>
      <c r="J1189" t="s">
        <v>952</v>
      </c>
      <c r="K1189" s="24" t="s">
        <v>60</v>
      </c>
      <c r="L1189" s="24" t="s">
        <v>50</v>
      </c>
      <c r="M1189" t="s">
        <v>4240</v>
      </c>
      <c r="N1189" s="17">
        <v>7</v>
      </c>
      <c r="O1189" t="s">
        <v>81</v>
      </c>
      <c r="P1189" s="24" t="s">
        <v>38</v>
      </c>
      <c r="Q1189" s="19">
        <v>369.2</v>
      </c>
    </row>
    <row r="1190" spans="1:17">
      <c r="A1190" t="s">
        <v>4241</v>
      </c>
      <c r="B1190" s="23">
        <v>45206</v>
      </c>
      <c r="C1190" s="23" t="str">
        <f t="shared" si="54"/>
        <v>Oct</v>
      </c>
      <c r="D1190" s="23" t="str">
        <f t="shared" si="55"/>
        <v>2023</v>
      </c>
      <c r="E1190" s="23" t="str">
        <f t="shared" si="56"/>
        <v>Q4</v>
      </c>
      <c r="F1190" t="s">
        <v>4242</v>
      </c>
      <c r="G1190" s="24" t="s">
        <v>48</v>
      </c>
      <c r="H1190" s="17">
        <v>2</v>
      </c>
      <c r="I1190" s="19">
        <v>371.29</v>
      </c>
      <c r="J1190" t="s">
        <v>4243</v>
      </c>
      <c r="K1190" s="24" t="s">
        <v>60</v>
      </c>
      <c r="L1190" s="24" t="s">
        <v>19</v>
      </c>
      <c r="M1190" t="s">
        <v>4244</v>
      </c>
      <c r="N1190" s="17">
        <v>5</v>
      </c>
      <c r="O1190" t="s">
        <v>81</v>
      </c>
      <c r="P1190" s="24" t="s">
        <v>45</v>
      </c>
      <c r="Q1190" s="19">
        <v>742.58</v>
      </c>
    </row>
    <row r="1191" spans="1:17">
      <c r="A1191" t="s">
        <v>4245</v>
      </c>
      <c r="B1191" s="23">
        <v>45521</v>
      </c>
      <c r="C1191" s="23" t="str">
        <f t="shared" si="54"/>
        <v>Aug</v>
      </c>
      <c r="D1191" s="23" t="str">
        <f t="shared" si="55"/>
        <v>2024</v>
      </c>
      <c r="E1191" s="23" t="str">
        <f t="shared" si="56"/>
        <v>Q3</v>
      </c>
      <c r="F1191" t="s">
        <v>4246</v>
      </c>
      <c r="G1191" s="24" t="s">
        <v>32</v>
      </c>
      <c r="H1191" s="17">
        <v>5</v>
      </c>
      <c r="I1191" s="19">
        <v>389.22</v>
      </c>
      <c r="J1191" t="s">
        <v>4247</v>
      </c>
      <c r="K1191" s="24" t="s">
        <v>65</v>
      </c>
      <c r="L1191" s="24" t="s">
        <v>35</v>
      </c>
      <c r="M1191" t="s">
        <v>4248</v>
      </c>
      <c r="N1191" s="17">
        <v>7</v>
      </c>
      <c r="O1191" t="s">
        <v>4295</v>
      </c>
      <c r="P1191" s="24" t="s">
        <v>29</v>
      </c>
      <c r="Q1191" s="19">
        <v>1946.1</v>
      </c>
    </row>
    <row r="1192" spans="1:17">
      <c r="A1192" t="s">
        <v>4249</v>
      </c>
      <c r="B1192" s="23">
        <v>45816</v>
      </c>
      <c r="C1192" s="23" t="str">
        <f t="shared" si="54"/>
        <v>Jun</v>
      </c>
      <c r="D1192" s="23" t="str">
        <f t="shared" si="55"/>
        <v>2025</v>
      </c>
      <c r="E1192" s="23" t="str">
        <f t="shared" si="56"/>
        <v>Q2</v>
      </c>
      <c r="F1192" t="s">
        <v>4250</v>
      </c>
      <c r="G1192" s="24" t="s">
        <v>73</v>
      </c>
      <c r="H1192" s="17">
        <v>3</v>
      </c>
      <c r="I1192" s="19">
        <v>616.39</v>
      </c>
      <c r="J1192" t="s">
        <v>4251</v>
      </c>
      <c r="K1192" s="24" t="s">
        <v>34</v>
      </c>
      <c r="L1192" s="24" t="s">
        <v>19</v>
      </c>
      <c r="M1192" t="s">
        <v>4252</v>
      </c>
      <c r="N1192" s="17">
        <v>6</v>
      </c>
      <c r="O1192" t="s">
        <v>37</v>
      </c>
      <c r="P1192" s="24" t="s">
        <v>22</v>
      </c>
      <c r="Q1192" s="19">
        <v>1849.17</v>
      </c>
    </row>
    <row r="1193" spans="1:17">
      <c r="A1193" t="s">
        <v>4253</v>
      </c>
      <c r="B1193" s="23">
        <v>45698</v>
      </c>
      <c r="C1193" s="23" t="str">
        <f t="shared" si="54"/>
        <v>Feb</v>
      </c>
      <c r="D1193" s="23" t="str">
        <f t="shared" si="55"/>
        <v>2025</v>
      </c>
      <c r="E1193" s="23" t="str">
        <f t="shared" si="56"/>
        <v>Q1</v>
      </c>
      <c r="F1193" t="s">
        <v>4254</v>
      </c>
      <c r="G1193" s="24" t="s">
        <v>73</v>
      </c>
      <c r="H1193" s="17">
        <v>4</v>
      </c>
      <c r="I1193" s="19">
        <v>376.43</v>
      </c>
      <c r="J1193" t="s">
        <v>2298</v>
      </c>
      <c r="K1193" s="24" t="s">
        <v>60</v>
      </c>
      <c r="L1193" s="24" t="s">
        <v>89</v>
      </c>
      <c r="M1193" t="s">
        <v>4255</v>
      </c>
      <c r="N1193" s="17">
        <v>5</v>
      </c>
      <c r="O1193" t="s">
        <v>81</v>
      </c>
      <c r="P1193" s="24" t="s">
        <v>22</v>
      </c>
      <c r="Q1193" s="19">
        <v>1505.72</v>
      </c>
    </row>
    <row r="1194" spans="1:17">
      <c r="A1194" t="s">
        <v>4256</v>
      </c>
      <c r="B1194" s="23">
        <v>45350</v>
      </c>
      <c r="C1194" s="23" t="str">
        <f t="shared" si="54"/>
        <v>Feb</v>
      </c>
      <c r="D1194" s="23" t="str">
        <f t="shared" si="55"/>
        <v>2024</v>
      </c>
      <c r="E1194" s="23" t="str">
        <f t="shared" si="56"/>
        <v>Q1</v>
      </c>
      <c r="F1194" t="s">
        <v>4257</v>
      </c>
      <c r="G1194" s="24" t="s">
        <v>41</v>
      </c>
      <c r="H1194" s="17">
        <v>3</v>
      </c>
      <c r="I1194" s="19">
        <v>432.85</v>
      </c>
      <c r="J1194" t="s">
        <v>845</v>
      </c>
      <c r="K1194" s="24" t="s">
        <v>27</v>
      </c>
      <c r="L1194" s="24" t="s">
        <v>89</v>
      </c>
      <c r="M1194" t="s">
        <v>4258</v>
      </c>
      <c r="N1194" s="17">
        <v>4</v>
      </c>
      <c r="O1194" t="s">
        <v>4295</v>
      </c>
      <c r="P1194" s="24" t="s">
        <v>22</v>
      </c>
      <c r="Q1194" s="19">
        <v>1298.55</v>
      </c>
    </row>
    <row r="1195" spans="1:17">
      <c r="A1195" t="s">
        <v>4259</v>
      </c>
      <c r="B1195" s="23">
        <v>45824</v>
      </c>
      <c r="C1195" s="23" t="str">
        <f t="shared" si="54"/>
        <v>Jun</v>
      </c>
      <c r="D1195" s="23" t="str">
        <f t="shared" si="55"/>
        <v>2025</v>
      </c>
      <c r="E1195" s="23" t="str">
        <f t="shared" si="56"/>
        <v>Q2</v>
      </c>
      <c r="F1195" t="s">
        <v>4260</v>
      </c>
      <c r="G1195" s="24" t="s">
        <v>32</v>
      </c>
      <c r="H1195" s="17">
        <v>1</v>
      </c>
      <c r="I1195" s="19">
        <v>687.89</v>
      </c>
      <c r="J1195" t="s">
        <v>343</v>
      </c>
      <c r="K1195" s="24" t="s">
        <v>65</v>
      </c>
      <c r="L1195" s="24" t="s">
        <v>43</v>
      </c>
      <c r="M1195" t="s">
        <v>4261</v>
      </c>
      <c r="N1195" s="17">
        <v>1</v>
      </c>
      <c r="O1195" t="s">
        <v>37</v>
      </c>
      <c r="P1195" s="24" t="s">
        <v>38</v>
      </c>
      <c r="Q1195" s="19">
        <v>687.89</v>
      </c>
    </row>
    <row r="1196" spans="1:17">
      <c r="A1196" t="s">
        <v>4262</v>
      </c>
      <c r="B1196" s="23">
        <v>45249</v>
      </c>
      <c r="C1196" s="23" t="str">
        <f t="shared" si="54"/>
        <v>Nov</v>
      </c>
      <c r="D1196" s="23" t="str">
        <f t="shared" si="55"/>
        <v>2023</v>
      </c>
      <c r="E1196" s="23" t="str">
        <f t="shared" si="56"/>
        <v>Q4</v>
      </c>
      <c r="F1196" t="s">
        <v>4263</v>
      </c>
      <c r="G1196" s="24" t="s">
        <v>48</v>
      </c>
      <c r="H1196" s="17">
        <v>3</v>
      </c>
      <c r="I1196" s="19">
        <v>189.44</v>
      </c>
      <c r="J1196" t="s">
        <v>783</v>
      </c>
      <c r="K1196" s="24" t="s">
        <v>65</v>
      </c>
      <c r="L1196" s="24" t="s">
        <v>89</v>
      </c>
      <c r="M1196" t="s">
        <v>4264</v>
      </c>
      <c r="N1196" s="17">
        <v>4</v>
      </c>
      <c r="O1196" t="s">
        <v>37</v>
      </c>
      <c r="P1196" s="24" t="s">
        <v>38</v>
      </c>
      <c r="Q1196" s="19">
        <v>568.32</v>
      </c>
    </row>
    <row r="1197" spans="1:17">
      <c r="A1197" t="s">
        <v>4265</v>
      </c>
      <c r="B1197" s="23">
        <v>45463</v>
      </c>
      <c r="C1197" s="23" t="str">
        <f t="shared" si="54"/>
        <v>Jun</v>
      </c>
      <c r="D1197" s="23" t="str">
        <f t="shared" si="55"/>
        <v>2024</v>
      </c>
      <c r="E1197" s="23" t="str">
        <f t="shared" si="56"/>
        <v>Q2</v>
      </c>
      <c r="F1197" t="s">
        <v>4266</v>
      </c>
      <c r="G1197" s="24" t="s">
        <v>73</v>
      </c>
      <c r="H1197" s="17">
        <v>1</v>
      </c>
      <c r="I1197" s="19">
        <v>107.04</v>
      </c>
      <c r="J1197" t="s">
        <v>4267</v>
      </c>
      <c r="K1197" s="24" t="s">
        <v>34</v>
      </c>
      <c r="L1197" s="24" t="s">
        <v>35</v>
      </c>
      <c r="M1197" t="s">
        <v>4268</v>
      </c>
      <c r="N1197" s="17">
        <v>6</v>
      </c>
      <c r="O1197" t="s">
        <v>37</v>
      </c>
      <c r="P1197" s="24" t="s">
        <v>76</v>
      </c>
      <c r="Q1197" s="19">
        <v>107.04</v>
      </c>
    </row>
    <row r="1198" spans="1:17">
      <c r="A1198" t="s">
        <v>4269</v>
      </c>
      <c r="B1198" s="23">
        <v>45355</v>
      </c>
      <c r="C1198" s="23" t="str">
        <f t="shared" si="54"/>
        <v>Mar</v>
      </c>
      <c r="D1198" s="23" t="str">
        <f t="shared" si="55"/>
        <v>2024</v>
      </c>
      <c r="E1198" s="23" t="str">
        <f t="shared" si="56"/>
        <v>Q1</v>
      </c>
      <c r="F1198" t="s">
        <v>4270</v>
      </c>
      <c r="G1198" s="24" t="s">
        <v>16</v>
      </c>
      <c r="H1198" s="17">
        <v>2</v>
      </c>
      <c r="I1198" s="19">
        <v>662.53</v>
      </c>
      <c r="J1198" t="s">
        <v>1549</v>
      </c>
      <c r="K1198" s="24" t="s">
        <v>27</v>
      </c>
      <c r="L1198" s="24" t="s">
        <v>35</v>
      </c>
      <c r="M1198" t="s">
        <v>4271</v>
      </c>
      <c r="N1198" s="17">
        <v>5</v>
      </c>
      <c r="O1198" t="s">
        <v>4295</v>
      </c>
      <c r="P1198" s="24" t="s">
        <v>45</v>
      </c>
      <c r="Q1198" s="19">
        <v>1325.06</v>
      </c>
    </row>
    <row r="1199" spans="1:17">
      <c r="A1199" t="s">
        <v>4272</v>
      </c>
      <c r="B1199" s="23">
        <v>45120</v>
      </c>
      <c r="C1199" s="23" t="str">
        <f t="shared" si="54"/>
        <v>Jul</v>
      </c>
      <c r="D1199" s="23" t="str">
        <f t="shared" si="55"/>
        <v>2023</v>
      </c>
      <c r="E1199" s="23" t="str">
        <f t="shared" si="56"/>
        <v>Q3</v>
      </c>
      <c r="F1199" t="s">
        <v>4273</v>
      </c>
      <c r="G1199" s="24" t="s">
        <v>32</v>
      </c>
      <c r="H1199" s="17">
        <v>2</v>
      </c>
      <c r="I1199" s="19">
        <v>436.84</v>
      </c>
      <c r="J1199" t="s">
        <v>42</v>
      </c>
      <c r="K1199" s="24" t="s">
        <v>27</v>
      </c>
      <c r="L1199" s="24" t="s">
        <v>50</v>
      </c>
      <c r="M1199" t="s">
        <v>4274</v>
      </c>
      <c r="N1199" s="17">
        <v>2</v>
      </c>
      <c r="O1199" t="s">
        <v>37</v>
      </c>
      <c r="P1199" s="24" t="s">
        <v>22</v>
      </c>
      <c r="Q1199" s="19">
        <v>873.68</v>
      </c>
    </row>
    <row r="1200" spans="1:17">
      <c r="A1200" t="s">
        <v>4275</v>
      </c>
      <c r="B1200" s="23">
        <v>45526</v>
      </c>
      <c r="C1200" s="23" t="str">
        <f t="shared" si="54"/>
        <v>Aug</v>
      </c>
      <c r="D1200" s="23" t="str">
        <f t="shared" si="55"/>
        <v>2024</v>
      </c>
      <c r="E1200" s="23" t="str">
        <f t="shared" si="56"/>
        <v>Q3</v>
      </c>
      <c r="F1200" t="s">
        <v>4276</v>
      </c>
      <c r="G1200" s="24" t="s">
        <v>41</v>
      </c>
      <c r="H1200" s="17">
        <v>4</v>
      </c>
      <c r="I1200" s="19">
        <v>262.52</v>
      </c>
      <c r="J1200" t="s">
        <v>4277</v>
      </c>
      <c r="K1200" s="24" t="s">
        <v>18</v>
      </c>
      <c r="L1200" s="24" t="s">
        <v>35</v>
      </c>
      <c r="M1200" t="s">
        <v>4278</v>
      </c>
      <c r="N1200" s="17">
        <v>4</v>
      </c>
      <c r="O1200" t="s">
        <v>81</v>
      </c>
      <c r="P1200" s="24" t="s">
        <v>22</v>
      </c>
      <c r="Q1200" s="19">
        <v>1050.08</v>
      </c>
    </row>
    <row r="1201" spans="1:17">
      <c r="A1201" t="s">
        <v>4279</v>
      </c>
      <c r="B1201" s="23">
        <v>45088</v>
      </c>
      <c r="C1201" s="23" t="str">
        <f t="shared" si="54"/>
        <v>Jun</v>
      </c>
      <c r="D1201" s="23" t="str">
        <f t="shared" si="55"/>
        <v>2023</v>
      </c>
      <c r="E1201" s="23" t="str">
        <f t="shared" si="56"/>
        <v>Q2</v>
      </c>
      <c r="F1201" t="s">
        <v>4280</v>
      </c>
      <c r="G1201" s="24" t="s">
        <v>32</v>
      </c>
      <c r="H1201" s="17">
        <v>4</v>
      </c>
      <c r="I1201" s="19">
        <v>560.58</v>
      </c>
      <c r="J1201" t="s">
        <v>4281</v>
      </c>
      <c r="K1201" s="24" t="s">
        <v>60</v>
      </c>
      <c r="L1201" s="24" t="s">
        <v>43</v>
      </c>
      <c r="M1201" t="s">
        <v>4282</v>
      </c>
      <c r="N1201" s="17">
        <v>6</v>
      </c>
      <c r="O1201" t="s">
        <v>21</v>
      </c>
      <c r="P1201" s="24" t="s">
        <v>29</v>
      </c>
      <c r="Q1201" s="19">
        <v>2242.32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01"/>
  <sheetViews>
    <sheetView topLeftCell="G1" workbookViewId="0">
      <selection activeCell="Q10" sqref="Q10"/>
    </sheetView>
  </sheetViews>
  <sheetFormatPr defaultColWidth="9" defaultRowHeight="14.5"/>
  <cols>
    <col min="1" max="1" width="11.4545454545455" hidden="1" customWidth="1"/>
    <col min="2" max="2" width="11" hidden="1" customWidth="1"/>
    <col min="3" max="3" width="11.8181818181818" hidden="1" customWidth="1"/>
    <col min="4" max="4" width="14.0909090909091" hidden="1" customWidth="1"/>
    <col min="5" max="5" width="11.8181818181818" hidden="1" customWidth="1"/>
    <col min="6" max="6" width="13.9090909090909" hidden="1" customWidth="1"/>
    <col min="7" max="7" width="16.0909090909091" customWidth="1"/>
    <col min="8" max="8" width="16.4545454545455" customWidth="1"/>
    <col min="9" max="9" width="12" hidden="1" customWidth="1"/>
    <col min="10" max="10" width="16.0909090909091" hidden="1" customWidth="1"/>
    <col min="11" max="11" width="15.2727272727273" hidden="1" customWidth="1"/>
    <col min="12" max="12" width="15.0909090909091" hidden="1" customWidth="1"/>
    <col min="13" max="13" width="14.3636363636364" hidden="1" customWidth="1"/>
    <col min="14" max="14" width="9.90909090909091" hidden="1" customWidth="1"/>
    <col min="15" max="15" width="10.5454545454545" hidden="1" customWidth="1"/>
    <col min="16" max="16" width="10.5454545454545"/>
    <col min="17" max="17" width="23.6363636363636" customWidth="1"/>
    <col min="18" max="18" width="22" customWidth="1"/>
    <col min="19" max="19" width="22.8181818181818" customWidth="1"/>
  </cols>
  <sheetData>
    <row r="1" spans="1:19">
      <c r="A1" s="22" t="s">
        <v>0</v>
      </c>
      <c r="B1" s="22" t="s">
        <v>1</v>
      </c>
      <c r="C1" s="22" t="s">
        <v>4283</v>
      </c>
      <c r="D1" s="22" t="s">
        <v>4284</v>
      </c>
      <c r="E1" s="22" t="s">
        <v>2</v>
      </c>
      <c r="F1" s="22" t="s">
        <v>3</v>
      </c>
      <c r="G1" s="22" t="s">
        <v>4</v>
      </c>
      <c r="H1" s="22" t="s">
        <v>4286</v>
      </c>
      <c r="I1" s="22" t="s">
        <v>4287</v>
      </c>
      <c r="J1" s="22" t="s">
        <v>4288</v>
      </c>
      <c r="K1" s="25" t="s">
        <v>4289</v>
      </c>
      <c r="L1" s="22" t="s">
        <v>4290</v>
      </c>
      <c r="M1" s="22" t="s">
        <v>4291</v>
      </c>
      <c r="N1" s="22" t="s">
        <v>4292</v>
      </c>
      <c r="O1" s="25" t="s">
        <v>4293</v>
      </c>
      <c r="P1" s="22" t="s">
        <v>4294</v>
      </c>
      <c r="Q1" t="s">
        <v>4296</v>
      </c>
      <c r="R1" t="s">
        <v>4297</v>
      </c>
      <c r="S1" t="s">
        <v>4298</v>
      </c>
    </row>
    <row r="2" hidden="1" spans="1:19">
      <c r="A2" t="s">
        <v>14</v>
      </c>
      <c r="B2" s="23">
        <v>44930</v>
      </c>
      <c r="C2" s="23" t="str">
        <f t="shared" ref="C2:C65" si="0">TEXT(B2,"MMM")</f>
        <v>Jan</v>
      </c>
      <c r="D2" s="23" t="str">
        <f t="shared" ref="D2:D65" si="1">TEXT(B2,"YYYY")</f>
        <v>2023</v>
      </c>
      <c r="E2" t="s">
        <v>15</v>
      </c>
      <c r="F2" s="24" t="s">
        <v>16</v>
      </c>
      <c r="G2" s="17">
        <v>5</v>
      </c>
      <c r="H2" s="19">
        <v>570.62</v>
      </c>
      <c r="I2" t="s">
        <v>17</v>
      </c>
      <c r="J2" s="24" t="s">
        <v>18</v>
      </c>
      <c r="K2" s="24" t="s">
        <v>19</v>
      </c>
      <c r="L2" t="s">
        <v>20</v>
      </c>
      <c r="M2" s="17">
        <v>7</v>
      </c>
      <c r="N2" t="s">
        <v>21</v>
      </c>
      <c r="O2" s="24" t="s">
        <v>22</v>
      </c>
      <c r="P2" s="19">
        <v>2853.1</v>
      </c>
      <c r="Q2" s="26" t="str">
        <f>IF(OR(P2&lt;'Descriptive Statistics'!$H$17,P2&gt;'Descriptive Statistics'!$H$18),"Potential Outlier","Within Range")</f>
        <v>Within Range</v>
      </c>
      <c r="R2" s="26" t="str">
        <f>IF(OR(G2&lt;'Descriptive Statistics'!$I$17,G2&gt;'Descriptive Statistics'!$I$18),"Potential Outlier","Within Range")</f>
        <v>Within Range</v>
      </c>
      <c r="S2" s="26" t="str">
        <f>IF(OR(H2&lt;'Descriptive Statistics'!$J$17,H2&gt;'Descriptive Statistics'!$J$18),"Potential Outlier","Within Range")</f>
        <v>Within Range</v>
      </c>
    </row>
    <row r="3" hidden="1" spans="1:19">
      <c r="A3" t="s">
        <v>23</v>
      </c>
      <c r="B3" s="23">
        <v>45527</v>
      </c>
      <c r="C3" s="23" t="str">
        <f t="shared" si="0"/>
        <v>Aug</v>
      </c>
      <c r="D3" s="23" t="str">
        <f t="shared" si="1"/>
        <v>2024</v>
      </c>
      <c r="E3" t="s">
        <v>24</v>
      </c>
      <c r="F3" s="24" t="s">
        <v>25</v>
      </c>
      <c r="G3" s="17">
        <v>2</v>
      </c>
      <c r="H3" s="19">
        <v>151.35</v>
      </c>
      <c r="I3" t="s">
        <v>26</v>
      </c>
      <c r="J3" s="24" t="s">
        <v>27</v>
      </c>
      <c r="K3" s="24" t="s">
        <v>19</v>
      </c>
      <c r="L3" t="s">
        <v>28</v>
      </c>
      <c r="M3" s="17">
        <v>3</v>
      </c>
      <c r="N3" t="s">
        <v>21</v>
      </c>
      <c r="O3" s="24" t="s">
        <v>29</v>
      </c>
      <c r="P3" s="19">
        <v>302.7</v>
      </c>
      <c r="Q3" s="26" t="str">
        <f>IF(OR(P3&lt;'Descriptive Statistics'!$H$17,P3&gt;'Descriptive Statistics'!$H$18),"Potential Outlier","Within Range")</f>
        <v>Within Range</v>
      </c>
      <c r="R3" s="26" t="str">
        <f>IF(OR(G3&lt;'Descriptive Statistics'!$I$17,G3&gt;'Descriptive Statistics'!$I$18),"Potential Outlier","Within Range")</f>
        <v>Within Range</v>
      </c>
      <c r="S3" s="26" t="str">
        <f>IF(OR(H3&lt;'Descriptive Statistics'!$J$17,H3&gt;'Descriptive Statistics'!$J$18),"Potential Outlier","Within Range")</f>
        <v>Within Range</v>
      </c>
    </row>
    <row r="4" hidden="1" spans="1:19">
      <c r="A4" t="s">
        <v>30</v>
      </c>
      <c r="B4" s="23">
        <v>45349</v>
      </c>
      <c r="C4" s="23" t="str">
        <f t="shared" si="0"/>
        <v>Feb</v>
      </c>
      <c r="D4" s="23" t="str">
        <f t="shared" si="1"/>
        <v>2024</v>
      </c>
      <c r="E4" t="s">
        <v>31</v>
      </c>
      <c r="F4" s="24" t="s">
        <v>32</v>
      </c>
      <c r="G4" s="17">
        <v>5</v>
      </c>
      <c r="H4" s="19">
        <v>550.68</v>
      </c>
      <c r="I4" t="s">
        <v>33</v>
      </c>
      <c r="J4" s="24" t="s">
        <v>34</v>
      </c>
      <c r="K4" s="24" t="s">
        <v>35</v>
      </c>
      <c r="L4" t="s">
        <v>36</v>
      </c>
      <c r="M4" s="17">
        <v>8</v>
      </c>
      <c r="N4" t="s">
        <v>37</v>
      </c>
      <c r="O4" s="24" t="s">
        <v>38</v>
      </c>
      <c r="P4" s="19">
        <v>2753.4</v>
      </c>
      <c r="Q4" s="26" t="str">
        <f>IF(OR(P4&lt;'Descriptive Statistics'!$H$17,P4&gt;'Descriptive Statistics'!$H$18),"Potential Outlier","Within Range")</f>
        <v>Within Range</v>
      </c>
      <c r="R4" s="26" t="str">
        <f>IF(OR(G4&lt;'Descriptive Statistics'!$I$17,G4&gt;'Descriptive Statistics'!$I$18),"Potential Outlier","Within Range")</f>
        <v>Within Range</v>
      </c>
      <c r="S4" s="26" t="str">
        <f>IF(OR(H4&lt;'Descriptive Statistics'!$J$17,H4&gt;'Descriptive Statistics'!$J$18),"Potential Outlier","Within Range")</f>
        <v>Within Range</v>
      </c>
    </row>
    <row r="5" hidden="1" spans="1:19">
      <c r="A5" t="s">
        <v>39</v>
      </c>
      <c r="B5" s="23">
        <v>45214</v>
      </c>
      <c r="C5" s="23" t="str">
        <f t="shared" si="0"/>
        <v>Oct</v>
      </c>
      <c r="D5" s="23" t="str">
        <f t="shared" si="1"/>
        <v>2023</v>
      </c>
      <c r="E5" t="s">
        <v>40</v>
      </c>
      <c r="F5" s="24" t="s">
        <v>41</v>
      </c>
      <c r="G5" s="17">
        <v>1</v>
      </c>
      <c r="H5" s="19">
        <v>273.19</v>
      </c>
      <c r="I5" t="s">
        <v>42</v>
      </c>
      <c r="J5" s="24" t="s">
        <v>18</v>
      </c>
      <c r="K5" s="24" t="s">
        <v>43</v>
      </c>
      <c r="L5" t="s">
        <v>44</v>
      </c>
      <c r="M5" s="17">
        <v>5</v>
      </c>
      <c r="N5" t="s">
        <v>21</v>
      </c>
      <c r="O5" s="24" t="s">
        <v>45</v>
      </c>
      <c r="P5" s="19">
        <v>273.19</v>
      </c>
      <c r="Q5" s="26" t="str">
        <f>IF(OR(P5&lt;'Descriptive Statistics'!$H$17,P5&gt;'Descriptive Statistics'!$H$18),"Potential Outlier","Within Range")</f>
        <v>Within Range</v>
      </c>
      <c r="R5" s="26" t="str">
        <f>IF(OR(G5&lt;'Descriptive Statistics'!$I$17,G5&gt;'Descriptive Statistics'!$I$18),"Potential Outlier","Within Range")</f>
        <v>Within Range</v>
      </c>
      <c r="S5" s="26" t="str">
        <f>IF(OR(H5&lt;'Descriptive Statistics'!$J$17,H5&gt;'Descriptive Statistics'!$J$18),"Potential Outlier","Within Range")</f>
        <v>Within Range</v>
      </c>
    </row>
    <row r="6" hidden="1" spans="1:19">
      <c r="A6" t="s">
        <v>46</v>
      </c>
      <c r="B6" s="23">
        <v>45785</v>
      </c>
      <c r="C6" s="23" t="str">
        <f t="shared" si="0"/>
        <v>May</v>
      </c>
      <c r="D6" s="23" t="str">
        <f t="shared" si="1"/>
        <v>2025</v>
      </c>
      <c r="E6" t="s">
        <v>47</v>
      </c>
      <c r="F6" s="24" t="s">
        <v>48</v>
      </c>
      <c r="G6" s="17">
        <v>4</v>
      </c>
      <c r="H6" s="19">
        <v>626.01</v>
      </c>
      <c r="I6" t="s">
        <v>49</v>
      </c>
      <c r="J6" s="24" t="s">
        <v>27</v>
      </c>
      <c r="K6" s="24" t="s">
        <v>50</v>
      </c>
      <c r="L6" t="s">
        <v>51</v>
      </c>
      <c r="M6" s="17">
        <v>8</v>
      </c>
      <c r="N6" t="s">
        <v>21</v>
      </c>
      <c r="O6" s="24" t="s">
        <v>38</v>
      </c>
      <c r="P6" s="19">
        <v>2504.04</v>
      </c>
      <c r="Q6" s="26" t="str">
        <f>IF(OR(P6&lt;'Descriptive Statistics'!$H$17,P6&gt;'Descriptive Statistics'!$H$18),"Potential Outlier","Within Range")</f>
        <v>Within Range</v>
      </c>
      <c r="R6" s="26" t="str">
        <f>IF(OR(G6&lt;'Descriptive Statistics'!$I$17,G6&gt;'Descriptive Statistics'!$I$18),"Potential Outlier","Within Range")</f>
        <v>Within Range</v>
      </c>
      <c r="S6" s="26" t="str">
        <f>IF(OR(H6&lt;'Descriptive Statistics'!$J$17,H6&gt;'Descriptive Statistics'!$J$18),"Potential Outlier","Within Range")</f>
        <v>Within Range</v>
      </c>
    </row>
    <row r="7" hidden="1" spans="1:19">
      <c r="A7" t="s">
        <v>52</v>
      </c>
      <c r="B7" s="23">
        <v>45222</v>
      </c>
      <c r="C7" s="23" t="str">
        <f t="shared" si="0"/>
        <v>Oct</v>
      </c>
      <c r="D7" s="23" t="str">
        <f t="shared" si="1"/>
        <v>2023</v>
      </c>
      <c r="E7" t="s">
        <v>53</v>
      </c>
      <c r="F7" s="24" t="s">
        <v>25</v>
      </c>
      <c r="G7" s="17">
        <v>2</v>
      </c>
      <c r="H7" s="19">
        <v>245.86</v>
      </c>
      <c r="I7" t="s">
        <v>54</v>
      </c>
      <c r="J7" s="24" t="s">
        <v>34</v>
      </c>
      <c r="K7" s="24" t="s">
        <v>19</v>
      </c>
      <c r="L7" t="s">
        <v>55</v>
      </c>
      <c r="M7" s="17">
        <v>4</v>
      </c>
      <c r="N7" t="s">
        <v>21</v>
      </c>
      <c r="O7" s="24" t="s">
        <v>22</v>
      </c>
      <c r="P7" s="19">
        <v>491.72</v>
      </c>
      <c r="Q7" s="26" t="str">
        <f>IF(OR(P7&lt;'Descriptive Statistics'!$H$17,P7&gt;'Descriptive Statistics'!$H$18),"Potential Outlier","Within Range")</f>
        <v>Within Range</v>
      </c>
      <c r="R7" s="26" t="str">
        <f>IF(OR(G7&lt;'Descriptive Statistics'!$I$17,G7&gt;'Descriptive Statistics'!$I$18),"Potential Outlier","Within Range")</f>
        <v>Within Range</v>
      </c>
      <c r="S7" s="26" t="str">
        <f>IF(OR(H7&lt;'Descriptive Statistics'!$J$17,H7&gt;'Descriptive Statistics'!$J$18),"Potential Outlier","Within Range")</f>
        <v>Within Range</v>
      </c>
    </row>
    <row r="8" hidden="1" spans="1:19">
      <c r="A8" t="s">
        <v>56</v>
      </c>
      <c r="B8" s="23">
        <v>45825</v>
      </c>
      <c r="C8" s="23" t="str">
        <f t="shared" si="0"/>
        <v>Jun</v>
      </c>
      <c r="D8" s="23" t="str">
        <f t="shared" si="1"/>
        <v>2025</v>
      </c>
      <c r="E8" t="s">
        <v>57</v>
      </c>
      <c r="F8" s="24" t="s">
        <v>58</v>
      </c>
      <c r="G8" s="17">
        <v>1</v>
      </c>
      <c r="H8" s="19">
        <v>664.42</v>
      </c>
      <c r="I8" t="s">
        <v>59</v>
      </c>
      <c r="J8" s="24" t="s">
        <v>60</v>
      </c>
      <c r="K8" s="24" t="s">
        <v>43</v>
      </c>
      <c r="L8" t="s">
        <v>61</v>
      </c>
      <c r="M8" s="17">
        <v>6</v>
      </c>
      <c r="N8" t="s">
        <v>21</v>
      </c>
      <c r="O8" s="24" t="s">
        <v>45</v>
      </c>
      <c r="P8" s="19">
        <v>664.42</v>
      </c>
      <c r="Q8" s="26" t="str">
        <f>IF(OR(P8&lt;'Descriptive Statistics'!$H$17,P8&gt;'Descriptive Statistics'!$H$18),"Potential Outlier","Within Range")</f>
        <v>Within Range</v>
      </c>
      <c r="R8" s="26" t="str">
        <f>IF(OR(G8&lt;'Descriptive Statistics'!$I$17,G8&gt;'Descriptive Statistics'!$I$18),"Potential Outlier","Within Range")</f>
        <v>Within Range</v>
      </c>
      <c r="S8" s="26" t="str">
        <f>IF(OR(H8&lt;'Descriptive Statistics'!$J$17,H8&gt;'Descriptive Statistics'!$J$18),"Potential Outlier","Within Range")</f>
        <v>Within Range</v>
      </c>
    </row>
    <row r="9" hidden="1" spans="1:19">
      <c r="A9" t="s">
        <v>62</v>
      </c>
      <c r="B9" s="23">
        <v>45058</v>
      </c>
      <c r="C9" s="23" t="str">
        <f t="shared" si="0"/>
        <v>May</v>
      </c>
      <c r="D9" s="23" t="str">
        <f t="shared" si="1"/>
        <v>2023</v>
      </c>
      <c r="E9" t="s">
        <v>63</v>
      </c>
      <c r="F9" s="24" t="s">
        <v>16</v>
      </c>
      <c r="G9" s="17">
        <v>5</v>
      </c>
      <c r="H9" s="19">
        <v>149.55</v>
      </c>
      <c r="I9" t="s">
        <v>64</v>
      </c>
      <c r="J9" s="24" t="s">
        <v>65</v>
      </c>
      <c r="K9" s="24" t="s">
        <v>19</v>
      </c>
      <c r="L9" t="s">
        <v>66</v>
      </c>
      <c r="M9" s="17">
        <v>9</v>
      </c>
      <c r="N9" t="s">
        <v>37</v>
      </c>
      <c r="O9" s="24" t="s">
        <v>45</v>
      </c>
      <c r="P9" s="19">
        <v>747.75</v>
      </c>
      <c r="Q9" s="26" t="str">
        <f>IF(OR(P9&lt;'Descriptive Statistics'!$H$17,P9&gt;'Descriptive Statistics'!$H$18),"Potential Outlier","Within Range")</f>
        <v>Within Range</v>
      </c>
      <c r="R9" s="26" t="str">
        <f>IF(OR(G9&lt;'Descriptive Statistics'!$I$17,G9&gt;'Descriptive Statistics'!$I$18),"Potential Outlier","Within Range")</f>
        <v>Within Range</v>
      </c>
      <c r="S9" s="26" t="str">
        <f>IF(OR(H9&lt;'Descriptive Statistics'!$J$17,H9&gt;'Descriptive Statistics'!$J$18),"Potential Outlier","Within Range")</f>
        <v>Within Range</v>
      </c>
    </row>
    <row r="10" hidden="1" spans="1:19">
      <c r="A10" t="s">
        <v>67</v>
      </c>
      <c r="B10" s="23">
        <v>45749</v>
      </c>
      <c r="C10" s="23" t="str">
        <f t="shared" si="0"/>
        <v>Apr</v>
      </c>
      <c r="D10" s="23" t="str">
        <f t="shared" si="1"/>
        <v>2025</v>
      </c>
      <c r="E10" t="s">
        <v>68</v>
      </c>
      <c r="F10" s="24" t="s">
        <v>25</v>
      </c>
      <c r="G10" s="17">
        <v>2</v>
      </c>
      <c r="H10" s="19">
        <v>134.28</v>
      </c>
      <c r="I10" t="s">
        <v>69</v>
      </c>
      <c r="J10" s="24" t="s">
        <v>60</v>
      </c>
      <c r="K10" s="24" t="s">
        <v>35</v>
      </c>
      <c r="L10" t="s">
        <v>70</v>
      </c>
      <c r="M10" s="17">
        <v>2</v>
      </c>
      <c r="N10" t="s">
        <v>4295</v>
      </c>
      <c r="O10" s="24" t="s">
        <v>38</v>
      </c>
      <c r="P10" s="19">
        <v>268.56</v>
      </c>
      <c r="Q10" s="26" t="str">
        <f>IF(OR(P10&lt;'Descriptive Statistics'!$H$17,P10&gt;'Descriptive Statistics'!$H$18),"Potential Outlier","Within Range")</f>
        <v>Within Range</v>
      </c>
      <c r="R10" s="26" t="str">
        <f>IF(OR(G10&lt;'Descriptive Statistics'!$I$17,G10&gt;'Descriptive Statistics'!$I$18),"Potential Outlier","Within Range")</f>
        <v>Within Range</v>
      </c>
      <c r="S10" s="26" t="str">
        <f>IF(OR(H10&lt;'Descriptive Statistics'!$J$17,H10&gt;'Descriptive Statistics'!$J$18),"Potential Outlier","Within Range")</f>
        <v>Within Range</v>
      </c>
    </row>
    <row r="11" hidden="1" spans="1:19">
      <c r="A11" t="s">
        <v>71</v>
      </c>
      <c r="B11" s="23">
        <v>45251</v>
      </c>
      <c r="C11" s="23" t="str">
        <f t="shared" si="0"/>
        <v>Nov</v>
      </c>
      <c r="D11" s="23" t="str">
        <f t="shared" si="1"/>
        <v>2023</v>
      </c>
      <c r="E11" t="s">
        <v>72</v>
      </c>
      <c r="F11" s="24" t="s">
        <v>73</v>
      </c>
      <c r="G11" s="17">
        <v>4</v>
      </c>
      <c r="H11" s="19">
        <v>509.38</v>
      </c>
      <c r="I11" t="s">
        <v>74</v>
      </c>
      <c r="J11" s="24" t="s">
        <v>34</v>
      </c>
      <c r="K11" s="24" t="s">
        <v>19</v>
      </c>
      <c r="L11" t="s">
        <v>75</v>
      </c>
      <c r="M11" s="17">
        <v>6</v>
      </c>
      <c r="N11" t="s">
        <v>21</v>
      </c>
      <c r="O11" s="24" t="s">
        <v>76</v>
      </c>
      <c r="P11" s="19">
        <v>2037.52</v>
      </c>
      <c r="Q11" s="26" t="str">
        <f>IF(OR(P11&lt;'Descriptive Statistics'!$H$17,P11&gt;'Descriptive Statistics'!$H$18),"Potential Outlier","Within Range")</f>
        <v>Within Range</v>
      </c>
      <c r="R11" s="26" t="str">
        <f>IF(OR(G11&lt;'Descriptive Statistics'!$I$17,G11&gt;'Descriptive Statistics'!$I$18),"Potential Outlier","Within Range")</f>
        <v>Within Range</v>
      </c>
      <c r="S11" s="26" t="str">
        <f>IF(OR(H11&lt;'Descriptive Statistics'!$J$17,H11&gt;'Descriptive Statistics'!$J$18),"Potential Outlier","Within Range")</f>
        <v>Within Range</v>
      </c>
    </row>
    <row r="12" hidden="1" spans="1:19">
      <c r="A12" t="s">
        <v>77</v>
      </c>
      <c r="B12" s="23">
        <v>45289</v>
      </c>
      <c r="C12" s="23" t="str">
        <f t="shared" si="0"/>
        <v>Dec</v>
      </c>
      <c r="D12" s="23" t="str">
        <f t="shared" si="1"/>
        <v>2023</v>
      </c>
      <c r="E12" t="s">
        <v>78</v>
      </c>
      <c r="F12" s="24" t="s">
        <v>32</v>
      </c>
      <c r="G12" s="17">
        <v>5</v>
      </c>
      <c r="H12" s="19">
        <v>625.97</v>
      </c>
      <c r="I12" t="s">
        <v>79</v>
      </c>
      <c r="J12" s="24" t="s">
        <v>34</v>
      </c>
      <c r="K12" s="24" t="s">
        <v>43</v>
      </c>
      <c r="L12" t="s">
        <v>80</v>
      </c>
      <c r="M12" s="17">
        <v>9</v>
      </c>
      <c r="N12" t="s">
        <v>81</v>
      </c>
      <c r="O12" s="24" t="s">
        <v>22</v>
      </c>
      <c r="P12" s="19">
        <v>3129.85</v>
      </c>
      <c r="Q12" s="26" t="str">
        <f>IF(OR(P12&lt;'Descriptive Statistics'!$H$17,P12&gt;'Descriptive Statistics'!$H$18),"Potential Outlier","Within Range")</f>
        <v>Within Range</v>
      </c>
      <c r="R12" s="26" t="str">
        <f>IF(OR(G12&lt;'Descriptive Statistics'!$I$17,G12&gt;'Descriptive Statistics'!$I$18),"Potential Outlier","Within Range")</f>
        <v>Within Range</v>
      </c>
      <c r="S12" s="26" t="str">
        <f>IF(OR(H12&lt;'Descriptive Statistics'!$J$17,H12&gt;'Descriptive Statistics'!$J$18),"Potential Outlier","Within Range")</f>
        <v>Within Range</v>
      </c>
    </row>
    <row r="13" hidden="1" spans="1:19">
      <c r="A13" t="s">
        <v>82</v>
      </c>
      <c r="B13" s="23">
        <v>45339</v>
      </c>
      <c r="C13" s="23" t="str">
        <f t="shared" si="0"/>
        <v>Feb</v>
      </c>
      <c r="D13" s="23" t="str">
        <f t="shared" si="1"/>
        <v>2024</v>
      </c>
      <c r="E13" t="s">
        <v>83</v>
      </c>
      <c r="F13" s="24" t="s">
        <v>16</v>
      </c>
      <c r="G13" s="17">
        <v>3</v>
      </c>
      <c r="H13" s="19">
        <v>49.14</v>
      </c>
      <c r="I13" t="s">
        <v>84</v>
      </c>
      <c r="J13" s="24" t="s">
        <v>27</v>
      </c>
      <c r="K13" s="24" t="s">
        <v>43</v>
      </c>
      <c r="L13" t="s">
        <v>85</v>
      </c>
      <c r="M13" s="17">
        <v>7</v>
      </c>
      <c r="N13" t="s">
        <v>21</v>
      </c>
      <c r="O13" s="24" t="s">
        <v>38</v>
      </c>
      <c r="P13" s="19">
        <v>147.42</v>
      </c>
      <c r="Q13" s="26" t="str">
        <f>IF(OR(P13&lt;'Descriptive Statistics'!$H$17,P13&gt;'Descriptive Statistics'!$H$18),"Potential Outlier","Within Range")</f>
        <v>Within Range</v>
      </c>
      <c r="R13" s="26" t="str">
        <f>IF(OR(G13&lt;'Descriptive Statistics'!$I$17,G13&gt;'Descriptive Statistics'!$I$18),"Potential Outlier","Within Range")</f>
        <v>Within Range</v>
      </c>
      <c r="S13" s="26" t="str">
        <f>IF(OR(H13&lt;'Descriptive Statistics'!$J$17,H13&gt;'Descriptive Statistics'!$J$18),"Potential Outlier","Within Range")</f>
        <v>Within Range</v>
      </c>
    </row>
    <row r="14" hidden="1" spans="1:19">
      <c r="A14" t="s">
        <v>86</v>
      </c>
      <c r="B14" s="23">
        <v>45580</v>
      </c>
      <c r="C14" s="23" t="str">
        <f t="shared" si="0"/>
        <v>Oct</v>
      </c>
      <c r="D14" s="23" t="str">
        <f t="shared" si="1"/>
        <v>2024</v>
      </c>
      <c r="E14" t="s">
        <v>87</v>
      </c>
      <c r="F14" s="24" t="s">
        <v>16</v>
      </c>
      <c r="G14" s="17">
        <v>2</v>
      </c>
      <c r="H14" s="19">
        <v>180.5</v>
      </c>
      <c r="I14" t="s">
        <v>88</v>
      </c>
      <c r="J14" s="24" t="s">
        <v>18</v>
      </c>
      <c r="K14" s="24" t="s">
        <v>89</v>
      </c>
      <c r="L14" t="s">
        <v>90</v>
      </c>
      <c r="M14" s="17">
        <v>6</v>
      </c>
      <c r="N14" t="s">
        <v>37</v>
      </c>
      <c r="O14" s="24" t="s">
        <v>29</v>
      </c>
      <c r="P14" s="19">
        <v>361</v>
      </c>
      <c r="Q14" s="26" t="str">
        <f>IF(OR(P14&lt;'Descriptive Statistics'!$H$17,P14&gt;'Descriptive Statistics'!$H$18),"Potential Outlier","Within Range")</f>
        <v>Within Range</v>
      </c>
      <c r="R14" s="26" t="str">
        <f>IF(OR(G14&lt;'Descriptive Statistics'!$I$17,G14&gt;'Descriptive Statistics'!$I$18),"Potential Outlier","Within Range")</f>
        <v>Within Range</v>
      </c>
      <c r="S14" s="26" t="str">
        <f>IF(OR(H14&lt;'Descriptive Statistics'!$J$17,H14&gt;'Descriptive Statistics'!$J$18),"Potential Outlier","Within Range")</f>
        <v>Within Range</v>
      </c>
    </row>
    <row r="15" hidden="1" spans="1:19">
      <c r="A15" t="s">
        <v>91</v>
      </c>
      <c r="B15" s="23">
        <v>45168</v>
      </c>
      <c r="C15" s="23" t="str">
        <f t="shared" si="0"/>
        <v>Aug</v>
      </c>
      <c r="D15" s="23" t="str">
        <f t="shared" si="1"/>
        <v>2023</v>
      </c>
      <c r="E15" t="s">
        <v>92</v>
      </c>
      <c r="F15" s="24" t="s">
        <v>58</v>
      </c>
      <c r="G15" s="17">
        <v>3</v>
      </c>
      <c r="H15" s="19">
        <v>201.49</v>
      </c>
      <c r="I15" t="s">
        <v>93</v>
      </c>
      <c r="J15" s="24" t="s">
        <v>34</v>
      </c>
      <c r="K15" s="24" t="s">
        <v>43</v>
      </c>
      <c r="L15" t="s">
        <v>94</v>
      </c>
      <c r="M15" s="17">
        <v>4</v>
      </c>
      <c r="N15" t="s">
        <v>37</v>
      </c>
      <c r="O15" s="24" t="s">
        <v>45</v>
      </c>
      <c r="P15" s="19">
        <v>604.47</v>
      </c>
      <c r="Q15" s="26" t="str">
        <f>IF(OR(P15&lt;'Descriptive Statistics'!$H$17,P15&gt;'Descriptive Statistics'!$H$18),"Potential Outlier","Within Range")</f>
        <v>Within Range</v>
      </c>
      <c r="R15" s="26" t="str">
        <f>IF(OR(G15&lt;'Descriptive Statistics'!$I$17,G15&gt;'Descriptive Statistics'!$I$18),"Potential Outlier","Within Range")</f>
        <v>Within Range</v>
      </c>
      <c r="S15" s="26" t="str">
        <f>IF(OR(H15&lt;'Descriptive Statistics'!$J$17,H15&gt;'Descriptive Statistics'!$J$18),"Potential Outlier","Within Range")</f>
        <v>Within Range</v>
      </c>
    </row>
    <row r="16" hidden="1" spans="1:19">
      <c r="A16" t="s">
        <v>95</v>
      </c>
      <c r="B16" s="23">
        <v>45012</v>
      </c>
      <c r="C16" s="23" t="str">
        <f t="shared" si="0"/>
        <v>Mar</v>
      </c>
      <c r="D16" s="23" t="str">
        <f t="shared" si="1"/>
        <v>2023</v>
      </c>
      <c r="E16" t="s">
        <v>96</v>
      </c>
      <c r="F16" s="24" t="s">
        <v>32</v>
      </c>
      <c r="G16" s="17">
        <v>2</v>
      </c>
      <c r="H16" s="19">
        <v>393.33</v>
      </c>
      <c r="I16" t="s">
        <v>97</v>
      </c>
      <c r="J16" s="24" t="s">
        <v>18</v>
      </c>
      <c r="K16" s="24" t="s">
        <v>89</v>
      </c>
      <c r="L16" t="s">
        <v>98</v>
      </c>
      <c r="M16" s="17">
        <v>3</v>
      </c>
      <c r="N16" t="s">
        <v>21</v>
      </c>
      <c r="O16" s="24" t="s">
        <v>22</v>
      </c>
      <c r="P16" s="19">
        <v>786.66</v>
      </c>
      <c r="Q16" s="26" t="str">
        <f>IF(OR(P16&lt;'Descriptive Statistics'!$H$17,P16&gt;'Descriptive Statistics'!$H$18),"Potential Outlier","Within Range")</f>
        <v>Within Range</v>
      </c>
      <c r="R16" s="26" t="str">
        <f>IF(OR(G16&lt;'Descriptive Statistics'!$I$17,G16&gt;'Descriptive Statistics'!$I$18),"Potential Outlier","Within Range")</f>
        <v>Within Range</v>
      </c>
      <c r="S16" s="26" t="str">
        <f>IF(OR(H16&lt;'Descriptive Statistics'!$J$17,H16&gt;'Descriptive Statistics'!$J$18),"Potential Outlier","Within Range")</f>
        <v>Within Range</v>
      </c>
    </row>
    <row r="17" hidden="1" spans="1:19">
      <c r="A17" t="s">
        <v>99</v>
      </c>
      <c r="B17" s="23">
        <v>45124</v>
      </c>
      <c r="C17" s="23" t="str">
        <f t="shared" si="0"/>
        <v>Jul</v>
      </c>
      <c r="D17" s="23" t="str">
        <f t="shared" si="1"/>
        <v>2023</v>
      </c>
      <c r="E17" t="s">
        <v>100</v>
      </c>
      <c r="F17" s="24" t="s">
        <v>48</v>
      </c>
      <c r="G17" s="17">
        <v>1</v>
      </c>
      <c r="H17" s="19">
        <v>473.96</v>
      </c>
      <c r="I17" t="s">
        <v>101</v>
      </c>
      <c r="J17" s="24" t="s">
        <v>65</v>
      </c>
      <c r="K17" s="24" t="s">
        <v>50</v>
      </c>
      <c r="L17" t="s">
        <v>102</v>
      </c>
      <c r="M17" s="17">
        <v>3</v>
      </c>
      <c r="N17" t="s">
        <v>4295</v>
      </c>
      <c r="O17" s="24" t="s">
        <v>76</v>
      </c>
      <c r="P17" s="19">
        <v>473.96</v>
      </c>
      <c r="Q17" s="26" t="str">
        <f>IF(OR(P17&lt;'Descriptive Statistics'!$H$17,P17&gt;'Descriptive Statistics'!$H$18),"Potential Outlier","Within Range")</f>
        <v>Within Range</v>
      </c>
      <c r="R17" s="26" t="str">
        <f>IF(OR(G17&lt;'Descriptive Statistics'!$I$17,G17&gt;'Descriptive Statistics'!$I$18),"Potential Outlier","Within Range")</f>
        <v>Within Range</v>
      </c>
      <c r="S17" s="26" t="str">
        <f>IF(OR(H17&lt;'Descriptive Statistics'!$J$17,H17&gt;'Descriptive Statistics'!$J$18),"Potential Outlier","Within Range")</f>
        <v>Within Range</v>
      </c>
    </row>
    <row r="18" hidden="1" spans="1:19">
      <c r="A18" t="s">
        <v>103</v>
      </c>
      <c r="B18" s="23">
        <v>44950</v>
      </c>
      <c r="C18" s="23" t="str">
        <f t="shared" si="0"/>
        <v>Jan</v>
      </c>
      <c r="D18" s="23" t="str">
        <f t="shared" si="1"/>
        <v>2023</v>
      </c>
      <c r="E18" t="s">
        <v>104</v>
      </c>
      <c r="F18" s="24" t="s">
        <v>48</v>
      </c>
      <c r="G18" s="17">
        <v>2</v>
      </c>
      <c r="H18" s="19">
        <v>533.81</v>
      </c>
      <c r="I18" t="s">
        <v>105</v>
      </c>
      <c r="J18" s="24" t="s">
        <v>34</v>
      </c>
      <c r="K18" s="24" t="s">
        <v>89</v>
      </c>
      <c r="L18" t="s">
        <v>106</v>
      </c>
      <c r="M18" s="17">
        <v>3</v>
      </c>
      <c r="N18" t="s">
        <v>37</v>
      </c>
      <c r="O18" s="24" t="s">
        <v>38</v>
      </c>
      <c r="P18" s="19">
        <v>1067.62</v>
      </c>
      <c r="Q18" s="26" t="str">
        <f>IF(OR(P18&lt;'Descriptive Statistics'!$H$17,P18&gt;'Descriptive Statistics'!$H$18),"Potential Outlier","Within Range")</f>
        <v>Within Range</v>
      </c>
      <c r="R18" s="26" t="str">
        <f>IF(OR(G18&lt;'Descriptive Statistics'!$I$17,G18&gt;'Descriptive Statistics'!$I$18),"Potential Outlier","Within Range")</f>
        <v>Within Range</v>
      </c>
      <c r="S18" s="26" t="str">
        <f>IF(OR(H18&lt;'Descriptive Statistics'!$J$17,H18&gt;'Descriptive Statistics'!$J$18),"Potential Outlier","Within Range")</f>
        <v>Within Range</v>
      </c>
    </row>
    <row r="19" hidden="1" spans="1:19">
      <c r="A19" t="s">
        <v>107</v>
      </c>
      <c r="B19" s="23">
        <v>45353</v>
      </c>
      <c r="C19" s="23" t="str">
        <f t="shared" si="0"/>
        <v>Mar</v>
      </c>
      <c r="D19" s="23" t="str">
        <f t="shared" si="1"/>
        <v>2024</v>
      </c>
      <c r="E19" t="s">
        <v>108</v>
      </c>
      <c r="F19" s="24" t="s">
        <v>32</v>
      </c>
      <c r="G19" s="17">
        <v>1</v>
      </c>
      <c r="H19" s="19">
        <v>423.4</v>
      </c>
      <c r="I19" t="s">
        <v>109</v>
      </c>
      <c r="J19" s="24" t="s">
        <v>18</v>
      </c>
      <c r="K19" s="24" t="s">
        <v>19</v>
      </c>
      <c r="L19" t="s">
        <v>110</v>
      </c>
      <c r="M19" s="17">
        <v>3</v>
      </c>
      <c r="N19" t="s">
        <v>4295</v>
      </c>
      <c r="O19" s="24" t="s">
        <v>29</v>
      </c>
      <c r="P19" s="19">
        <v>423.4</v>
      </c>
      <c r="Q19" s="26" t="str">
        <f>IF(OR(P19&lt;'Descriptive Statistics'!$H$17,P19&gt;'Descriptive Statistics'!$H$18),"Potential Outlier","Within Range")</f>
        <v>Within Range</v>
      </c>
      <c r="R19" s="26" t="str">
        <f>IF(OR(G19&lt;'Descriptive Statistics'!$I$17,G19&gt;'Descriptive Statistics'!$I$18),"Potential Outlier","Within Range")</f>
        <v>Within Range</v>
      </c>
      <c r="S19" s="26" t="str">
        <f>IF(OR(H19&lt;'Descriptive Statistics'!$J$17,H19&gt;'Descriptive Statistics'!$J$18),"Potential Outlier","Within Range")</f>
        <v>Within Range</v>
      </c>
    </row>
    <row r="20" hidden="1" spans="1:19">
      <c r="A20" t="s">
        <v>111</v>
      </c>
      <c r="B20" s="23">
        <v>45742</v>
      </c>
      <c r="C20" s="23" t="str">
        <f t="shared" si="0"/>
        <v>Mar</v>
      </c>
      <c r="D20" s="23" t="str">
        <f t="shared" si="1"/>
        <v>2025</v>
      </c>
      <c r="E20" t="s">
        <v>112</v>
      </c>
      <c r="F20" s="24" t="s">
        <v>73</v>
      </c>
      <c r="G20" s="17">
        <v>1</v>
      </c>
      <c r="H20" s="19">
        <v>431.44</v>
      </c>
      <c r="I20" t="s">
        <v>113</v>
      </c>
      <c r="J20" s="24" t="s">
        <v>60</v>
      </c>
      <c r="K20" s="24" t="s">
        <v>89</v>
      </c>
      <c r="L20" t="s">
        <v>114</v>
      </c>
      <c r="M20" s="17">
        <v>3</v>
      </c>
      <c r="N20" t="s">
        <v>21</v>
      </c>
      <c r="O20" s="24" t="s">
        <v>45</v>
      </c>
      <c r="P20" s="19">
        <v>431.44</v>
      </c>
      <c r="Q20" s="26" t="str">
        <f>IF(OR(P20&lt;'Descriptive Statistics'!$H$17,P20&gt;'Descriptive Statistics'!$H$18),"Potential Outlier","Within Range")</f>
        <v>Within Range</v>
      </c>
      <c r="R20" s="26" t="str">
        <f>IF(OR(G20&lt;'Descriptive Statistics'!$I$17,G20&gt;'Descriptive Statistics'!$I$18),"Potential Outlier","Within Range")</f>
        <v>Within Range</v>
      </c>
      <c r="S20" s="26" t="str">
        <f>IF(OR(H20&lt;'Descriptive Statistics'!$J$17,H20&gt;'Descriptive Statistics'!$J$18),"Potential Outlier","Within Range")</f>
        <v>Within Range</v>
      </c>
    </row>
    <row r="21" hidden="1" spans="1:19">
      <c r="A21" t="s">
        <v>115</v>
      </c>
      <c r="B21" s="23">
        <v>44949</v>
      </c>
      <c r="C21" s="23" t="str">
        <f t="shared" si="0"/>
        <v>Jan</v>
      </c>
      <c r="D21" s="23" t="str">
        <f t="shared" si="1"/>
        <v>2023</v>
      </c>
      <c r="E21" t="s">
        <v>116</v>
      </c>
      <c r="F21" s="24" t="s">
        <v>16</v>
      </c>
      <c r="G21" s="17">
        <v>5</v>
      </c>
      <c r="H21" s="19">
        <v>224</v>
      </c>
      <c r="I21" t="s">
        <v>117</v>
      </c>
      <c r="J21" s="24" t="s">
        <v>65</v>
      </c>
      <c r="K21" s="24" t="s">
        <v>43</v>
      </c>
      <c r="L21" t="s">
        <v>118</v>
      </c>
      <c r="M21" s="17">
        <v>9</v>
      </c>
      <c r="N21" t="s">
        <v>21</v>
      </c>
      <c r="O21" s="24" t="s">
        <v>76</v>
      </c>
      <c r="P21" s="19">
        <v>1120</v>
      </c>
      <c r="Q21" s="26" t="str">
        <f>IF(OR(P21&lt;'Descriptive Statistics'!$H$17,P21&gt;'Descriptive Statistics'!$H$18),"Potential Outlier","Within Range")</f>
        <v>Within Range</v>
      </c>
      <c r="R21" s="26" t="str">
        <f>IF(OR(G21&lt;'Descriptive Statistics'!$I$17,G21&gt;'Descriptive Statistics'!$I$18),"Potential Outlier","Within Range")</f>
        <v>Within Range</v>
      </c>
      <c r="S21" s="26" t="str">
        <f>IF(OR(H21&lt;'Descriptive Statistics'!$J$17,H21&gt;'Descriptive Statistics'!$J$18),"Potential Outlier","Within Range")</f>
        <v>Within Range</v>
      </c>
    </row>
    <row r="22" hidden="1" spans="1:19">
      <c r="A22" t="s">
        <v>119</v>
      </c>
      <c r="B22" s="23">
        <v>45054</v>
      </c>
      <c r="C22" s="23" t="str">
        <f t="shared" si="0"/>
        <v>May</v>
      </c>
      <c r="D22" s="23" t="str">
        <f t="shared" si="1"/>
        <v>2023</v>
      </c>
      <c r="E22" t="s">
        <v>120</v>
      </c>
      <c r="F22" s="24" t="s">
        <v>41</v>
      </c>
      <c r="G22" s="17">
        <v>5</v>
      </c>
      <c r="H22" s="19">
        <v>62.51</v>
      </c>
      <c r="I22" t="s">
        <v>121</v>
      </c>
      <c r="J22" s="24" t="s">
        <v>65</v>
      </c>
      <c r="K22" s="24" t="s">
        <v>89</v>
      </c>
      <c r="L22" t="s">
        <v>122</v>
      </c>
      <c r="M22" s="17">
        <v>9</v>
      </c>
      <c r="N22" t="s">
        <v>81</v>
      </c>
      <c r="O22" s="24" t="s">
        <v>22</v>
      </c>
      <c r="P22" s="19">
        <v>312.55</v>
      </c>
      <c r="Q22" s="26" t="str">
        <f>IF(OR(P22&lt;'Descriptive Statistics'!$H$17,P22&gt;'Descriptive Statistics'!$H$18),"Potential Outlier","Within Range")</f>
        <v>Within Range</v>
      </c>
      <c r="R22" s="26" t="str">
        <f>IF(OR(G22&lt;'Descriptive Statistics'!$I$17,G22&gt;'Descriptive Statistics'!$I$18),"Potential Outlier","Within Range")</f>
        <v>Within Range</v>
      </c>
      <c r="S22" s="26" t="str">
        <f>IF(OR(H22&lt;'Descriptive Statistics'!$J$17,H22&gt;'Descriptive Statistics'!$J$18),"Potential Outlier","Within Range")</f>
        <v>Within Range</v>
      </c>
    </row>
    <row r="23" hidden="1" spans="1:19">
      <c r="A23" t="s">
        <v>123</v>
      </c>
      <c r="B23" s="23">
        <v>45613</v>
      </c>
      <c r="C23" s="23" t="str">
        <f t="shared" si="0"/>
        <v>Nov</v>
      </c>
      <c r="D23" s="23" t="str">
        <f t="shared" si="1"/>
        <v>2024</v>
      </c>
      <c r="E23" t="s">
        <v>124</v>
      </c>
      <c r="F23" s="24" t="s">
        <v>16</v>
      </c>
      <c r="G23" s="17">
        <v>4</v>
      </c>
      <c r="H23" s="19">
        <v>342.95</v>
      </c>
      <c r="I23" t="s">
        <v>125</v>
      </c>
      <c r="J23" s="24" t="s">
        <v>65</v>
      </c>
      <c r="K23" s="24" t="s">
        <v>50</v>
      </c>
      <c r="L23" t="s">
        <v>126</v>
      </c>
      <c r="M23" s="17">
        <v>6</v>
      </c>
      <c r="N23" t="s">
        <v>4295</v>
      </c>
      <c r="O23" s="24" t="s">
        <v>76</v>
      </c>
      <c r="P23" s="19">
        <v>1371.8</v>
      </c>
      <c r="Q23" s="26" t="str">
        <f>IF(OR(P23&lt;'Descriptive Statistics'!$H$17,P23&gt;'Descriptive Statistics'!$H$18),"Potential Outlier","Within Range")</f>
        <v>Within Range</v>
      </c>
      <c r="R23" s="26" t="str">
        <f>IF(OR(G23&lt;'Descriptive Statistics'!$I$17,G23&gt;'Descriptive Statistics'!$I$18),"Potential Outlier","Within Range")</f>
        <v>Within Range</v>
      </c>
      <c r="S23" s="26" t="str">
        <f>IF(OR(H23&lt;'Descriptive Statistics'!$J$17,H23&gt;'Descriptive Statistics'!$J$18),"Potential Outlier","Within Range")</f>
        <v>Within Range</v>
      </c>
    </row>
    <row r="24" hidden="1" spans="1:19">
      <c r="A24" t="s">
        <v>127</v>
      </c>
      <c r="B24" s="23">
        <v>44955</v>
      </c>
      <c r="C24" s="23" t="str">
        <f t="shared" si="0"/>
        <v>Jan</v>
      </c>
      <c r="D24" s="23" t="str">
        <f t="shared" si="1"/>
        <v>2023</v>
      </c>
      <c r="E24" t="s">
        <v>128</v>
      </c>
      <c r="F24" s="24" t="s">
        <v>16</v>
      </c>
      <c r="G24" s="17">
        <v>2</v>
      </c>
      <c r="H24" s="19">
        <v>49.62</v>
      </c>
      <c r="I24" t="s">
        <v>129</v>
      </c>
      <c r="J24" s="24" t="s">
        <v>27</v>
      </c>
      <c r="K24" s="24" t="s">
        <v>89</v>
      </c>
      <c r="L24" t="s">
        <v>130</v>
      </c>
      <c r="M24" s="17">
        <v>2</v>
      </c>
      <c r="N24" t="s">
        <v>21</v>
      </c>
      <c r="O24" s="24" t="s">
        <v>76</v>
      </c>
      <c r="P24" s="19">
        <v>99.24</v>
      </c>
      <c r="Q24" s="26" t="str">
        <f>IF(OR(P24&lt;'Descriptive Statistics'!$H$17,P24&gt;'Descriptive Statistics'!$H$18),"Potential Outlier","Within Range")</f>
        <v>Within Range</v>
      </c>
      <c r="R24" s="26" t="str">
        <f>IF(OR(G24&lt;'Descriptive Statistics'!$I$17,G24&gt;'Descriptive Statistics'!$I$18),"Potential Outlier","Within Range")</f>
        <v>Within Range</v>
      </c>
      <c r="S24" s="26" t="str">
        <f>IF(OR(H24&lt;'Descriptive Statistics'!$J$17,H24&gt;'Descriptive Statistics'!$J$18),"Potential Outlier","Within Range")</f>
        <v>Within Range</v>
      </c>
    </row>
    <row r="25" hidden="1" spans="1:19">
      <c r="A25" t="s">
        <v>131</v>
      </c>
      <c r="B25" s="23">
        <v>45756</v>
      </c>
      <c r="C25" s="23" t="str">
        <f t="shared" si="0"/>
        <v>Apr</v>
      </c>
      <c r="D25" s="23" t="str">
        <f t="shared" si="1"/>
        <v>2025</v>
      </c>
      <c r="E25" t="s">
        <v>132</v>
      </c>
      <c r="F25" s="24" t="s">
        <v>25</v>
      </c>
      <c r="G25" s="17">
        <v>4</v>
      </c>
      <c r="H25" s="19">
        <v>273.25</v>
      </c>
      <c r="I25" t="s">
        <v>133</v>
      </c>
      <c r="J25" s="24" t="s">
        <v>18</v>
      </c>
      <c r="K25" s="24" t="s">
        <v>35</v>
      </c>
      <c r="L25" t="s">
        <v>134</v>
      </c>
      <c r="M25" s="17">
        <v>5</v>
      </c>
      <c r="N25" t="s">
        <v>37</v>
      </c>
      <c r="O25" s="24" t="s">
        <v>29</v>
      </c>
      <c r="P25" s="19">
        <v>1093</v>
      </c>
      <c r="Q25" s="26" t="str">
        <f>IF(OR(P25&lt;'Descriptive Statistics'!$H$17,P25&gt;'Descriptive Statistics'!$H$18),"Potential Outlier","Within Range")</f>
        <v>Within Range</v>
      </c>
      <c r="R25" s="26" t="str">
        <f>IF(OR(G25&lt;'Descriptive Statistics'!$I$17,G25&gt;'Descriptive Statistics'!$I$18),"Potential Outlier","Within Range")</f>
        <v>Within Range</v>
      </c>
      <c r="S25" s="26" t="str">
        <f>IF(OR(H25&lt;'Descriptive Statistics'!$J$17,H25&gt;'Descriptive Statistics'!$J$18),"Potential Outlier","Within Range")</f>
        <v>Within Range</v>
      </c>
    </row>
    <row r="26" hidden="1" spans="1:19">
      <c r="A26" t="s">
        <v>135</v>
      </c>
      <c r="B26" s="23">
        <v>45595</v>
      </c>
      <c r="C26" s="23" t="str">
        <f t="shared" si="0"/>
        <v>Oct</v>
      </c>
      <c r="D26" s="23" t="str">
        <f t="shared" si="1"/>
        <v>2024</v>
      </c>
      <c r="E26" t="s">
        <v>136</v>
      </c>
      <c r="F26" s="24" t="s">
        <v>58</v>
      </c>
      <c r="G26" s="17">
        <v>2</v>
      </c>
      <c r="H26" s="19">
        <v>230.95</v>
      </c>
      <c r="I26" t="s">
        <v>137</v>
      </c>
      <c r="J26" s="24" t="s">
        <v>27</v>
      </c>
      <c r="K26" s="24" t="s">
        <v>50</v>
      </c>
      <c r="L26" t="s">
        <v>138</v>
      </c>
      <c r="M26" s="17">
        <v>3</v>
      </c>
      <c r="N26" t="s">
        <v>81</v>
      </c>
      <c r="O26" s="24" t="s">
        <v>29</v>
      </c>
      <c r="P26" s="19">
        <v>461.9</v>
      </c>
      <c r="Q26" s="26" t="str">
        <f>IF(OR(P26&lt;'Descriptive Statistics'!$H$17,P26&gt;'Descriptive Statistics'!$H$18),"Potential Outlier","Within Range")</f>
        <v>Within Range</v>
      </c>
      <c r="R26" s="26" t="str">
        <f>IF(OR(G26&lt;'Descriptive Statistics'!$I$17,G26&gt;'Descriptive Statistics'!$I$18),"Potential Outlier","Within Range")</f>
        <v>Within Range</v>
      </c>
      <c r="S26" s="26" t="str">
        <f>IF(OR(H26&lt;'Descriptive Statistics'!$J$17,H26&gt;'Descriptive Statistics'!$J$18),"Potential Outlier","Within Range")</f>
        <v>Within Range</v>
      </c>
    </row>
    <row r="27" hidden="1" spans="1:19">
      <c r="A27" t="s">
        <v>139</v>
      </c>
      <c r="B27" s="23">
        <v>45497</v>
      </c>
      <c r="C27" s="23" t="str">
        <f t="shared" si="0"/>
        <v>Jul</v>
      </c>
      <c r="D27" s="23" t="str">
        <f t="shared" si="1"/>
        <v>2024</v>
      </c>
      <c r="E27" t="s">
        <v>140</v>
      </c>
      <c r="F27" s="24" t="s">
        <v>16</v>
      </c>
      <c r="G27" s="17">
        <v>1</v>
      </c>
      <c r="H27" s="19">
        <v>399.98</v>
      </c>
      <c r="I27" t="s">
        <v>141</v>
      </c>
      <c r="J27" s="24" t="s">
        <v>18</v>
      </c>
      <c r="K27" s="24" t="s">
        <v>50</v>
      </c>
      <c r="L27" t="s">
        <v>142</v>
      </c>
      <c r="M27" s="17">
        <v>3</v>
      </c>
      <c r="N27" t="s">
        <v>81</v>
      </c>
      <c r="O27" s="24" t="s">
        <v>38</v>
      </c>
      <c r="P27" s="19">
        <v>399.98</v>
      </c>
      <c r="Q27" s="26" t="str">
        <f>IF(OR(P27&lt;'Descriptive Statistics'!$H$17,P27&gt;'Descriptive Statistics'!$H$18),"Potential Outlier","Within Range")</f>
        <v>Within Range</v>
      </c>
      <c r="R27" s="26" t="str">
        <f>IF(OR(G27&lt;'Descriptive Statistics'!$I$17,G27&gt;'Descriptive Statistics'!$I$18),"Potential Outlier","Within Range")</f>
        <v>Within Range</v>
      </c>
      <c r="S27" s="26" t="str">
        <f>IF(OR(H27&lt;'Descriptive Statistics'!$J$17,H27&gt;'Descriptive Statistics'!$J$18),"Potential Outlier","Within Range")</f>
        <v>Within Range</v>
      </c>
    </row>
    <row r="28" hidden="1" spans="1:19">
      <c r="A28" t="s">
        <v>143</v>
      </c>
      <c r="B28" s="23">
        <v>45357</v>
      </c>
      <c r="C28" s="23" t="str">
        <f t="shared" si="0"/>
        <v>Mar</v>
      </c>
      <c r="D28" s="23" t="str">
        <f t="shared" si="1"/>
        <v>2024</v>
      </c>
      <c r="E28" t="s">
        <v>144</v>
      </c>
      <c r="F28" s="24" t="s">
        <v>58</v>
      </c>
      <c r="G28" s="17">
        <v>5</v>
      </c>
      <c r="H28" s="19">
        <v>59.55</v>
      </c>
      <c r="I28" t="s">
        <v>145</v>
      </c>
      <c r="J28" s="24" t="s">
        <v>27</v>
      </c>
      <c r="K28" s="24" t="s">
        <v>50</v>
      </c>
      <c r="L28" t="s">
        <v>146</v>
      </c>
      <c r="M28" s="17">
        <v>6</v>
      </c>
      <c r="N28" t="s">
        <v>4295</v>
      </c>
      <c r="O28" s="24" t="s">
        <v>29</v>
      </c>
      <c r="P28" s="19">
        <v>297.75</v>
      </c>
      <c r="Q28" s="26" t="str">
        <f>IF(OR(P28&lt;'Descriptive Statistics'!$H$17,P28&gt;'Descriptive Statistics'!$H$18),"Potential Outlier","Within Range")</f>
        <v>Within Range</v>
      </c>
      <c r="R28" s="26" t="str">
        <f>IF(OR(G28&lt;'Descriptive Statistics'!$I$17,G28&gt;'Descriptive Statistics'!$I$18),"Potential Outlier","Within Range")</f>
        <v>Within Range</v>
      </c>
      <c r="S28" s="26" t="str">
        <f>IF(OR(H28&lt;'Descriptive Statistics'!$J$17,H28&gt;'Descriptive Statistics'!$J$18),"Potential Outlier","Within Range")</f>
        <v>Within Range</v>
      </c>
    </row>
    <row r="29" hidden="1" spans="1:19">
      <c r="A29" t="s">
        <v>147</v>
      </c>
      <c r="B29" s="23">
        <v>45344</v>
      </c>
      <c r="C29" s="23" t="str">
        <f t="shared" si="0"/>
        <v>Feb</v>
      </c>
      <c r="D29" s="23" t="str">
        <f t="shared" si="1"/>
        <v>2024</v>
      </c>
      <c r="E29" t="s">
        <v>148</v>
      </c>
      <c r="F29" s="24" t="s">
        <v>48</v>
      </c>
      <c r="G29" s="17">
        <v>1</v>
      </c>
      <c r="H29" s="19">
        <v>472.74</v>
      </c>
      <c r="I29" t="s">
        <v>149</v>
      </c>
      <c r="J29" s="24" t="s">
        <v>27</v>
      </c>
      <c r="K29" s="24" t="s">
        <v>19</v>
      </c>
      <c r="L29" t="s">
        <v>150</v>
      </c>
      <c r="M29" s="17">
        <v>6</v>
      </c>
      <c r="N29" t="s">
        <v>81</v>
      </c>
      <c r="O29" s="24" t="s">
        <v>76</v>
      </c>
      <c r="P29" s="19">
        <v>472.74</v>
      </c>
      <c r="Q29" s="26" t="str">
        <f>IF(OR(P29&lt;'Descriptive Statistics'!$H$17,P29&gt;'Descriptive Statistics'!$H$18),"Potential Outlier","Within Range")</f>
        <v>Within Range</v>
      </c>
      <c r="R29" s="26" t="str">
        <f>IF(OR(G29&lt;'Descriptive Statistics'!$I$17,G29&gt;'Descriptive Statistics'!$I$18),"Potential Outlier","Within Range")</f>
        <v>Within Range</v>
      </c>
      <c r="S29" s="26" t="str">
        <f>IF(OR(H29&lt;'Descriptive Statistics'!$J$17,H29&gt;'Descriptive Statistics'!$J$18),"Potential Outlier","Within Range")</f>
        <v>Within Range</v>
      </c>
    </row>
    <row r="30" hidden="1" spans="1:19">
      <c r="A30" t="s">
        <v>151</v>
      </c>
      <c r="B30" s="23">
        <v>45251</v>
      </c>
      <c r="C30" s="23" t="str">
        <f t="shared" si="0"/>
        <v>Nov</v>
      </c>
      <c r="D30" s="23" t="str">
        <f t="shared" si="1"/>
        <v>2023</v>
      </c>
      <c r="E30" t="s">
        <v>152</v>
      </c>
      <c r="F30" s="24" t="s">
        <v>25</v>
      </c>
      <c r="G30" s="17">
        <v>4</v>
      </c>
      <c r="H30" s="19">
        <v>160.07</v>
      </c>
      <c r="I30" t="s">
        <v>153</v>
      </c>
      <c r="J30" s="24" t="s">
        <v>27</v>
      </c>
      <c r="K30" s="24" t="s">
        <v>89</v>
      </c>
      <c r="L30" t="s">
        <v>154</v>
      </c>
      <c r="M30" s="17">
        <v>5</v>
      </c>
      <c r="N30" t="s">
        <v>4295</v>
      </c>
      <c r="O30" s="24" t="s">
        <v>38</v>
      </c>
      <c r="P30" s="19">
        <v>640.28</v>
      </c>
      <c r="Q30" s="26" t="str">
        <f>IF(OR(P30&lt;'Descriptive Statistics'!$H$17,P30&gt;'Descriptive Statistics'!$H$18),"Potential Outlier","Within Range")</f>
        <v>Within Range</v>
      </c>
      <c r="R30" s="26" t="str">
        <f>IF(OR(G30&lt;'Descriptive Statistics'!$I$17,G30&gt;'Descriptive Statistics'!$I$18),"Potential Outlier","Within Range")</f>
        <v>Within Range</v>
      </c>
      <c r="S30" s="26" t="str">
        <f>IF(OR(H30&lt;'Descriptive Statistics'!$J$17,H30&gt;'Descriptive Statistics'!$J$18),"Potential Outlier","Within Range")</f>
        <v>Within Range</v>
      </c>
    </row>
    <row r="31" hidden="1" spans="1:19">
      <c r="A31" t="s">
        <v>155</v>
      </c>
      <c r="B31" s="23">
        <v>45555</v>
      </c>
      <c r="C31" s="23" t="str">
        <f t="shared" si="0"/>
        <v>Sep</v>
      </c>
      <c r="D31" s="23" t="str">
        <f t="shared" si="1"/>
        <v>2024</v>
      </c>
      <c r="E31" t="s">
        <v>156</v>
      </c>
      <c r="F31" s="24" t="s">
        <v>73</v>
      </c>
      <c r="G31" s="17">
        <v>3</v>
      </c>
      <c r="H31" s="19">
        <v>423.53</v>
      </c>
      <c r="I31" t="s">
        <v>157</v>
      </c>
      <c r="J31" s="24" t="s">
        <v>34</v>
      </c>
      <c r="K31" s="24" t="s">
        <v>50</v>
      </c>
      <c r="L31" t="s">
        <v>158</v>
      </c>
      <c r="M31" s="17">
        <v>6</v>
      </c>
      <c r="N31" t="s">
        <v>21</v>
      </c>
      <c r="O31" s="24" t="s">
        <v>29</v>
      </c>
      <c r="P31" s="19">
        <v>1270.59</v>
      </c>
      <c r="Q31" s="26" t="str">
        <f>IF(OR(P31&lt;'Descriptive Statistics'!$H$17,P31&gt;'Descriptive Statistics'!$H$18),"Potential Outlier","Within Range")</f>
        <v>Within Range</v>
      </c>
      <c r="R31" s="26" t="str">
        <f>IF(OR(G31&lt;'Descriptive Statistics'!$I$17,G31&gt;'Descriptive Statistics'!$I$18),"Potential Outlier","Within Range")</f>
        <v>Within Range</v>
      </c>
      <c r="S31" s="26" t="str">
        <f>IF(OR(H31&lt;'Descriptive Statistics'!$J$17,H31&gt;'Descriptive Statistics'!$J$18),"Potential Outlier","Within Range")</f>
        <v>Within Range</v>
      </c>
    </row>
    <row r="32" hidden="1" spans="1:19">
      <c r="A32" t="s">
        <v>159</v>
      </c>
      <c r="B32" s="23">
        <v>45738</v>
      </c>
      <c r="C32" s="23" t="str">
        <f t="shared" si="0"/>
        <v>Mar</v>
      </c>
      <c r="D32" s="23" t="str">
        <f t="shared" si="1"/>
        <v>2025</v>
      </c>
      <c r="E32" t="s">
        <v>160</v>
      </c>
      <c r="F32" s="24" t="s">
        <v>16</v>
      </c>
      <c r="G32" s="17">
        <v>2</v>
      </c>
      <c r="H32" s="19">
        <v>426.7</v>
      </c>
      <c r="I32" t="s">
        <v>161</v>
      </c>
      <c r="J32" s="24" t="s">
        <v>27</v>
      </c>
      <c r="K32" s="24" t="s">
        <v>89</v>
      </c>
      <c r="L32" t="s">
        <v>162</v>
      </c>
      <c r="M32" s="17">
        <v>5</v>
      </c>
      <c r="N32" t="s">
        <v>21</v>
      </c>
      <c r="O32" s="24" t="s">
        <v>29</v>
      </c>
      <c r="P32" s="19">
        <v>853.4</v>
      </c>
      <c r="Q32" s="26" t="str">
        <f>IF(OR(P32&lt;'Descriptive Statistics'!$H$17,P32&gt;'Descriptive Statistics'!$H$18),"Potential Outlier","Within Range")</f>
        <v>Within Range</v>
      </c>
      <c r="R32" s="26" t="str">
        <f>IF(OR(G32&lt;'Descriptive Statistics'!$I$17,G32&gt;'Descriptive Statistics'!$I$18),"Potential Outlier","Within Range")</f>
        <v>Within Range</v>
      </c>
      <c r="S32" s="26" t="str">
        <f>IF(OR(H32&lt;'Descriptive Statistics'!$J$17,H32&gt;'Descriptive Statistics'!$J$18),"Potential Outlier","Within Range")</f>
        <v>Within Range</v>
      </c>
    </row>
    <row r="33" hidden="1" spans="1:19">
      <c r="A33" t="s">
        <v>163</v>
      </c>
      <c r="B33" s="23">
        <v>45107</v>
      </c>
      <c r="C33" s="23" t="str">
        <f t="shared" si="0"/>
        <v>Jun</v>
      </c>
      <c r="D33" s="23" t="str">
        <f t="shared" si="1"/>
        <v>2023</v>
      </c>
      <c r="E33" t="s">
        <v>164</v>
      </c>
      <c r="F33" s="24" t="s">
        <v>41</v>
      </c>
      <c r="G33" s="17">
        <v>3</v>
      </c>
      <c r="H33" s="19">
        <v>500.08</v>
      </c>
      <c r="I33" t="s">
        <v>165</v>
      </c>
      <c r="J33" s="24" t="s">
        <v>18</v>
      </c>
      <c r="K33" s="24" t="s">
        <v>43</v>
      </c>
      <c r="L33" t="s">
        <v>166</v>
      </c>
      <c r="M33" s="17">
        <v>6</v>
      </c>
      <c r="N33" t="s">
        <v>4295</v>
      </c>
      <c r="O33" s="24" t="s">
        <v>45</v>
      </c>
      <c r="P33" s="19">
        <v>1500.24</v>
      </c>
      <c r="Q33" s="26" t="str">
        <f>IF(OR(P33&lt;'Descriptive Statistics'!$H$17,P33&gt;'Descriptive Statistics'!$H$18),"Potential Outlier","Within Range")</f>
        <v>Within Range</v>
      </c>
      <c r="R33" s="26" t="str">
        <f>IF(OR(G33&lt;'Descriptive Statistics'!$I$17,G33&gt;'Descriptive Statistics'!$I$18),"Potential Outlier","Within Range")</f>
        <v>Within Range</v>
      </c>
      <c r="S33" s="26" t="str">
        <f>IF(OR(H33&lt;'Descriptive Statistics'!$J$17,H33&gt;'Descriptive Statistics'!$J$18),"Potential Outlier","Within Range")</f>
        <v>Within Range</v>
      </c>
    </row>
    <row r="34" hidden="1" spans="1:19">
      <c r="A34" t="s">
        <v>167</v>
      </c>
      <c r="B34" s="23">
        <v>45047</v>
      </c>
      <c r="C34" s="23" t="str">
        <f t="shared" si="0"/>
        <v>May</v>
      </c>
      <c r="D34" s="23" t="str">
        <f t="shared" si="1"/>
        <v>2023</v>
      </c>
      <c r="E34" t="s">
        <v>168</v>
      </c>
      <c r="F34" s="24" t="s">
        <v>32</v>
      </c>
      <c r="G34" s="17">
        <v>5</v>
      </c>
      <c r="H34" s="19">
        <v>536.72</v>
      </c>
      <c r="I34" t="s">
        <v>169</v>
      </c>
      <c r="J34" s="24" t="s">
        <v>65</v>
      </c>
      <c r="K34" s="24" t="s">
        <v>50</v>
      </c>
      <c r="L34" t="s">
        <v>170</v>
      </c>
      <c r="M34" s="17">
        <v>10</v>
      </c>
      <c r="N34" t="s">
        <v>4295</v>
      </c>
      <c r="O34" s="24" t="s">
        <v>38</v>
      </c>
      <c r="P34" s="19">
        <v>2683.6</v>
      </c>
      <c r="Q34" s="26" t="str">
        <f>IF(OR(P34&lt;'Descriptive Statistics'!$H$17,P34&gt;'Descriptive Statistics'!$H$18),"Potential Outlier","Within Range")</f>
        <v>Within Range</v>
      </c>
      <c r="R34" s="26" t="str">
        <f>IF(OR(G34&lt;'Descriptive Statistics'!$I$17,G34&gt;'Descriptive Statistics'!$I$18),"Potential Outlier","Within Range")</f>
        <v>Within Range</v>
      </c>
      <c r="S34" s="26" t="str">
        <f>IF(OR(H34&lt;'Descriptive Statistics'!$J$17,H34&gt;'Descriptive Statistics'!$J$18),"Potential Outlier","Within Range")</f>
        <v>Within Range</v>
      </c>
    </row>
    <row r="35" hidden="1" spans="1:19">
      <c r="A35" t="s">
        <v>171</v>
      </c>
      <c r="B35" s="23">
        <v>45082</v>
      </c>
      <c r="C35" s="23" t="str">
        <f t="shared" si="0"/>
        <v>Jun</v>
      </c>
      <c r="D35" s="23" t="str">
        <f t="shared" si="1"/>
        <v>2023</v>
      </c>
      <c r="E35" t="s">
        <v>172</v>
      </c>
      <c r="F35" s="24" t="s">
        <v>41</v>
      </c>
      <c r="G35" s="17">
        <v>1</v>
      </c>
      <c r="H35" s="19">
        <v>162.77</v>
      </c>
      <c r="I35" t="s">
        <v>173</v>
      </c>
      <c r="J35" s="24" t="s">
        <v>27</v>
      </c>
      <c r="K35" s="24" t="s">
        <v>35</v>
      </c>
      <c r="L35" t="s">
        <v>174</v>
      </c>
      <c r="M35" s="17">
        <v>4</v>
      </c>
      <c r="N35" t="s">
        <v>81</v>
      </c>
      <c r="O35" s="24" t="s">
        <v>45</v>
      </c>
      <c r="P35" s="19">
        <v>162.77</v>
      </c>
      <c r="Q35" s="26" t="str">
        <f>IF(OR(P35&lt;'Descriptive Statistics'!$H$17,P35&gt;'Descriptive Statistics'!$H$18),"Potential Outlier","Within Range")</f>
        <v>Within Range</v>
      </c>
      <c r="R35" s="26" t="str">
        <f>IF(OR(G35&lt;'Descriptive Statistics'!$I$17,G35&gt;'Descriptive Statistics'!$I$18),"Potential Outlier","Within Range")</f>
        <v>Within Range</v>
      </c>
      <c r="S35" s="26" t="str">
        <f>IF(OR(H35&lt;'Descriptive Statistics'!$J$17,H35&gt;'Descriptive Statistics'!$J$18),"Potential Outlier","Within Range")</f>
        <v>Within Range</v>
      </c>
    </row>
    <row r="36" hidden="1" spans="1:19">
      <c r="A36" t="s">
        <v>175</v>
      </c>
      <c r="B36" s="23">
        <v>44933</v>
      </c>
      <c r="C36" s="23" t="str">
        <f t="shared" si="0"/>
        <v>Jan</v>
      </c>
      <c r="D36" s="23" t="str">
        <f t="shared" si="1"/>
        <v>2023</v>
      </c>
      <c r="E36" t="s">
        <v>176</v>
      </c>
      <c r="F36" s="24" t="s">
        <v>41</v>
      </c>
      <c r="G36" s="17">
        <v>4</v>
      </c>
      <c r="H36" s="19">
        <v>576.52</v>
      </c>
      <c r="I36" t="s">
        <v>177</v>
      </c>
      <c r="J36" s="24" t="s">
        <v>34</v>
      </c>
      <c r="K36" s="24" t="s">
        <v>89</v>
      </c>
      <c r="L36" t="s">
        <v>178</v>
      </c>
      <c r="M36" s="17">
        <v>5</v>
      </c>
      <c r="N36" t="s">
        <v>81</v>
      </c>
      <c r="O36" s="24" t="s">
        <v>45</v>
      </c>
      <c r="P36" s="19">
        <v>2306.08</v>
      </c>
      <c r="Q36" s="26" t="str">
        <f>IF(OR(P36&lt;'Descriptive Statistics'!$H$17,P36&gt;'Descriptive Statistics'!$H$18),"Potential Outlier","Within Range")</f>
        <v>Within Range</v>
      </c>
      <c r="R36" s="26" t="str">
        <f>IF(OR(G36&lt;'Descriptive Statistics'!$I$17,G36&gt;'Descriptive Statistics'!$I$18),"Potential Outlier","Within Range")</f>
        <v>Within Range</v>
      </c>
      <c r="S36" s="26" t="str">
        <f>IF(OR(H36&lt;'Descriptive Statistics'!$J$17,H36&gt;'Descriptive Statistics'!$J$18),"Potential Outlier","Within Range")</f>
        <v>Within Range</v>
      </c>
    </row>
    <row r="37" hidden="1" spans="1:19">
      <c r="A37" t="s">
        <v>179</v>
      </c>
      <c r="B37" s="23">
        <v>45633</v>
      </c>
      <c r="C37" s="23" t="str">
        <f t="shared" si="0"/>
        <v>Dec</v>
      </c>
      <c r="D37" s="23" t="str">
        <f t="shared" si="1"/>
        <v>2024</v>
      </c>
      <c r="E37" t="s">
        <v>180</v>
      </c>
      <c r="F37" s="24" t="s">
        <v>16</v>
      </c>
      <c r="G37" s="17">
        <v>2</v>
      </c>
      <c r="H37" s="19">
        <v>465.15</v>
      </c>
      <c r="I37" t="s">
        <v>181</v>
      </c>
      <c r="J37" s="24" t="s">
        <v>27</v>
      </c>
      <c r="K37" s="24" t="s">
        <v>19</v>
      </c>
      <c r="L37" t="s">
        <v>182</v>
      </c>
      <c r="M37" s="17">
        <v>2</v>
      </c>
      <c r="N37" t="s">
        <v>21</v>
      </c>
      <c r="O37" s="24" t="s">
        <v>45</v>
      </c>
      <c r="P37" s="19">
        <v>930.3</v>
      </c>
      <c r="Q37" s="26" t="str">
        <f>IF(OR(P37&lt;'Descriptive Statistics'!$H$17,P37&gt;'Descriptive Statistics'!$H$18),"Potential Outlier","Within Range")</f>
        <v>Within Range</v>
      </c>
      <c r="R37" s="26" t="str">
        <f>IF(OR(G37&lt;'Descriptive Statistics'!$I$17,G37&gt;'Descriptive Statistics'!$I$18),"Potential Outlier","Within Range")</f>
        <v>Within Range</v>
      </c>
      <c r="S37" s="26" t="str">
        <f>IF(OR(H37&lt;'Descriptive Statistics'!$J$17,H37&gt;'Descriptive Statistics'!$J$18),"Potential Outlier","Within Range")</f>
        <v>Within Range</v>
      </c>
    </row>
    <row r="38" hidden="1" spans="1:19">
      <c r="A38" t="s">
        <v>183</v>
      </c>
      <c r="B38" s="23">
        <v>45785</v>
      </c>
      <c r="C38" s="23" t="str">
        <f t="shared" si="0"/>
        <v>May</v>
      </c>
      <c r="D38" s="23" t="str">
        <f t="shared" si="1"/>
        <v>2025</v>
      </c>
      <c r="E38" t="s">
        <v>184</v>
      </c>
      <c r="F38" s="24" t="s">
        <v>58</v>
      </c>
      <c r="G38" s="17">
        <v>2</v>
      </c>
      <c r="H38" s="19">
        <v>534.43</v>
      </c>
      <c r="I38" t="s">
        <v>185</v>
      </c>
      <c r="J38" s="24" t="s">
        <v>18</v>
      </c>
      <c r="K38" s="24" t="s">
        <v>89</v>
      </c>
      <c r="L38" t="s">
        <v>186</v>
      </c>
      <c r="M38" s="17">
        <v>5</v>
      </c>
      <c r="N38" t="s">
        <v>4295</v>
      </c>
      <c r="O38" s="24" t="s">
        <v>45</v>
      </c>
      <c r="P38" s="19">
        <v>1068.86</v>
      </c>
      <c r="Q38" s="26" t="str">
        <f>IF(OR(P38&lt;'Descriptive Statistics'!$H$17,P38&gt;'Descriptive Statistics'!$H$18),"Potential Outlier","Within Range")</f>
        <v>Within Range</v>
      </c>
      <c r="R38" s="26" t="str">
        <f>IF(OR(G38&lt;'Descriptive Statistics'!$I$17,G38&gt;'Descriptive Statistics'!$I$18),"Potential Outlier","Within Range")</f>
        <v>Within Range</v>
      </c>
      <c r="S38" s="26" t="str">
        <f>IF(OR(H38&lt;'Descriptive Statistics'!$J$17,H38&gt;'Descriptive Statistics'!$J$18),"Potential Outlier","Within Range")</f>
        <v>Within Range</v>
      </c>
    </row>
    <row r="39" hidden="1" spans="1:19">
      <c r="A39" t="s">
        <v>187</v>
      </c>
      <c r="B39" s="23">
        <v>45579</v>
      </c>
      <c r="C39" s="23" t="str">
        <f t="shared" si="0"/>
        <v>Oct</v>
      </c>
      <c r="D39" s="23" t="str">
        <f t="shared" si="1"/>
        <v>2024</v>
      </c>
      <c r="E39" t="s">
        <v>188</v>
      </c>
      <c r="F39" s="24" t="s">
        <v>58</v>
      </c>
      <c r="G39" s="17">
        <v>2</v>
      </c>
      <c r="H39" s="19">
        <v>76.74</v>
      </c>
      <c r="I39" t="s">
        <v>189</v>
      </c>
      <c r="J39" s="24" t="s">
        <v>65</v>
      </c>
      <c r="K39" s="24" t="s">
        <v>43</v>
      </c>
      <c r="L39" t="s">
        <v>190</v>
      </c>
      <c r="M39" s="17">
        <v>7</v>
      </c>
      <c r="N39" t="s">
        <v>21</v>
      </c>
      <c r="O39" s="24" t="s">
        <v>22</v>
      </c>
      <c r="P39" s="19">
        <v>153.48</v>
      </c>
      <c r="Q39" s="26" t="str">
        <f>IF(OR(P39&lt;'Descriptive Statistics'!$H$17,P39&gt;'Descriptive Statistics'!$H$18),"Potential Outlier","Within Range")</f>
        <v>Within Range</v>
      </c>
      <c r="R39" s="26" t="str">
        <f>IF(OR(G39&lt;'Descriptive Statistics'!$I$17,G39&gt;'Descriptive Statistics'!$I$18),"Potential Outlier","Within Range")</f>
        <v>Within Range</v>
      </c>
      <c r="S39" s="26" t="str">
        <f>IF(OR(H39&lt;'Descriptive Statistics'!$J$17,H39&gt;'Descriptive Statistics'!$J$18),"Potential Outlier","Within Range")</f>
        <v>Within Range</v>
      </c>
    </row>
    <row r="40" hidden="1" spans="1:19">
      <c r="A40" t="s">
        <v>191</v>
      </c>
      <c r="B40" s="23">
        <v>45645</v>
      </c>
      <c r="C40" s="23" t="str">
        <f t="shared" si="0"/>
        <v>Dec</v>
      </c>
      <c r="D40" s="23" t="str">
        <f t="shared" si="1"/>
        <v>2024</v>
      </c>
      <c r="E40" t="s">
        <v>192</v>
      </c>
      <c r="F40" s="24" t="s">
        <v>58</v>
      </c>
      <c r="G40" s="17">
        <v>1</v>
      </c>
      <c r="H40" s="19">
        <v>245.89</v>
      </c>
      <c r="I40" t="s">
        <v>193</v>
      </c>
      <c r="J40" s="24" t="s">
        <v>18</v>
      </c>
      <c r="K40" s="24" t="s">
        <v>50</v>
      </c>
      <c r="L40" t="s">
        <v>194</v>
      </c>
      <c r="M40" s="17">
        <v>3</v>
      </c>
      <c r="N40" t="s">
        <v>21</v>
      </c>
      <c r="O40" s="24" t="s">
        <v>76</v>
      </c>
      <c r="P40" s="19">
        <v>245.89</v>
      </c>
      <c r="Q40" s="26" t="str">
        <f>IF(OR(P40&lt;'Descriptive Statistics'!$H$17,P40&gt;'Descriptive Statistics'!$H$18),"Potential Outlier","Within Range")</f>
        <v>Within Range</v>
      </c>
      <c r="R40" s="26" t="str">
        <f>IF(OR(G40&lt;'Descriptive Statistics'!$I$17,G40&gt;'Descriptive Statistics'!$I$18),"Potential Outlier","Within Range")</f>
        <v>Within Range</v>
      </c>
      <c r="S40" s="26" t="str">
        <f>IF(OR(H40&lt;'Descriptive Statistics'!$J$17,H40&gt;'Descriptive Statistics'!$J$18),"Potential Outlier","Within Range")</f>
        <v>Within Range</v>
      </c>
    </row>
    <row r="41" hidden="1" spans="1:19">
      <c r="A41" t="s">
        <v>195</v>
      </c>
      <c r="B41" s="23">
        <v>45715</v>
      </c>
      <c r="C41" s="23" t="str">
        <f t="shared" si="0"/>
        <v>Feb</v>
      </c>
      <c r="D41" s="23" t="str">
        <f t="shared" si="1"/>
        <v>2025</v>
      </c>
      <c r="E41" t="s">
        <v>196</v>
      </c>
      <c r="F41" s="24" t="s">
        <v>48</v>
      </c>
      <c r="G41" s="17">
        <v>3</v>
      </c>
      <c r="H41" s="19">
        <v>256.46</v>
      </c>
      <c r="I41" t="s">
        <v>197</v>
      </c>
      <c r="J41" s="24" t="s">
        <v>34</v>
      </c>
      <c r="K41" s="24" t="s">
        <v>50</v>
      </c>
      <c r="L41" t="s">
        <v>198</v>
      </c>
      <c r="M41" s="17">
        <v>4</v>
      </c>
      <c r="N41" t="s">
        <v>21</v>
      </c>
      <c r="O41" s="24" t="s">
        <v>29</v>
      </c>
      <c r="P41" s="19">
        <v>769.38</v>
      </c>
      <c r="Q41" s="26" t="str">
        <f>IF(OR(P41&lt;'Descriptive Statistics'!$H$17,P41&gt;'Descriptive Statistics'!$H$18),"Potential Outlier","Within Range")</f>
        <v>Within Range</v>
      </c>
      <c r="R41" s="26" t="str">
        <f>IF(OR(G41&lt;'Descriptive Statistics'!$I$17,G41&gt;'Descriptive Statistics'!$I$18),"Potential Outlier","Within Range")</f>
        <v>Within Range</v>
      </c>
      <c r="S41" s="26" t="str">
        <f>IF(OR(H41&lt;'Descriptive Statistics'!$J$17,H41&gt;'Descriptive Statistics'!$J$18),"Potential Outlier","Within Range")</f>
        <v>Within Range</v>
      </c>
    </row>
    <row r="42" hidden="1" spans="1:19">
      <c r="A42" t="s">
        <v>199</v>
      </c>
      <c r="B42" s="23">
        <v>45158</v>
      </c>
      <c r="C42" s="23" t="str">
        <f t="shared" si="0"/>
        <v>Aug</v>
      </c>
      <c r="D42" s="23" t="str">
        <f t="shared" si="1"/>
        <v>2023</v>
      </c>
      <c r="E42" t="s">
        <v>200</v>
      </c>
      <c r="F42" s="24" t="s">
        <v>73</v>
      </c>
      <c r="G42" s="17">
        <v>2</v>
      </c>
      <c r="H42" s="19">
        <v>344.02</v>
      </c>
      <c r="I42" t="s">
        <v>201</v>
      </c>
      <c r="J42" s="24" t="s">
        <v>27</v>
      </c>
      <c r="K42" s="24" t="s">
        <v>50</v>
      </c>
      <c r="L42" t="s">
        <v>202</v>
      </c>
      <c r="M42" s="17">
        <v>4</v>
      </c>
      <c r="N42" t="s">
        <v>37</v>
      </c>
      <c r="O42" s="24" t="s">
        <v>22</v>
      </c>
      <c r="P42" s="19">
        <v>688.04</v>
      </c>
      <c r="Q42" s="26" t="str">
        <f>IF(OR(P42&lt;'Descriptive Statistics'!$H$17,P42&gt;'Descriptive Statistics'!$H$18),"Potential Outlier","Within Range")</f>
        <v>Within Range</v>
      </c>
      <c r="R42" s="26" t="str">
        <f>IF(OR(G42&lt;'Descriptive Statistics'!$I$17,G42&gt;'Descriptive Statistics'!$I$18),"Potential Outlier","Within Range")</f>
        <v>Within Range</v>
      </c>
      <c r="S42" s="26" t="str">
        <f>IF(OR(H42&lt;'Descriptive Statistics'!$J$17,H42&gt;'Descriptive Statistics'!$J$18),"Potential Outlier","Within Range")</f>
        <v>Within Range</v>
      </c>
    </row>
    <row r="43" hidden="1" spans="1:19">
      <c r="A43" t="s">
        <v>203</v>
      </c>
      <c r="B43" s="23">
        <v>45265</v>
      </c>
      <c r="C43" s="23" t="str">
        <f t="shared" si="0"/>
        <v>Dec</v>
      </c>
      <c r="D43" s="23" t="str">
        <f t="shared" si="1"/>
        <v>2023</v>
      </c>
      <c r="E43" t="s">
        <v>204</v>
      </c>
      <c r="F43" s="24" t="s">
        <v>16</v>
      </c>
      <c r="G43" s="17">
        <v>3</v>
      </c>
      <c r="H43" s="19">
        <v>611.45</v>
      </c>
      <c r="I43" t="s">
        <v>205</v>
      </c>
      <c r="J43" s="24" t="s">
        <v>60</v>
      </c>
      <c r="K43" s="24" t="s">
        <v>89</v>
      </c>
      <c r="L43" t="s">
        <v>206</v>
      </c>
      <c r="M43" s="17">
        <v>4</v>
      </c>
      <c r="N43" t="s">
        <v>37</v>
      </c>
      <c r="O43" s="24" t="s">
        <v>22</v>
      </c>
      <c r="P43" s="19">
        <v>1834.35</v>
      </c>
      <c r="Q43" s="26" t="str">
        <f>IF(OR(P43&lt;'Descriptive Statistics'!$H$17,P43&gt;'Descriptive Statistics'!$H$18),"Potential Outlier","Within Range")</f>
        <v>Within Range</v>
      </c>
      <c r="R43" s="26" t="str">
        <f>IF(OR(G43&lt;'Descriptive Statistics'!$I$17,G43&gt;'Descriptive Statistics'!$I$18),"Potential Outlier","Within Range")</f>
        <v>Within Range</v>
      </c>
      <c r="S43" s="26" t="str">
        <f>IF(OR(H43&lt;'Descriptive Statistics'!$J$17,H43&gt;'Descriptive Statistics'!$J$18),"Potential Outlier","Within Range")</f>
        <v>Within Range</v>
      </c>
    </row>
    <row r="44" hidden="1" spans="1:19">
      <c r="A44" t="s">
        <v>207</v>
      </c>
      <c r="B44" s="23">
        <v>45418</v>
      </c>
      <c r="C44" s="23" t="str">
        <f t="shared" si="0"/>
        <v>May</v>
      </c>
      <c r="D44" s="23" t="str">
        <f t="shared" si="1"/>
        <v>2024</v>
      </c>
      <c r="E44" t="s">
        <v>208</v>
      </c>
      <c r="F44" s="24" t="s">
        <v>48</v>
      </c>
      <c r="G44" s="17">
        <v>2</v>
      </c>
      <c r="H44" s="19">
        <v>151.66</v>
      </c>
      <c r="I44" t="s">
        <v>97</v>
      </c>
      <c r="J44" s="24" t="s">
        <v>65</v>
      </c>
      <c r="K44" s="24" t="s">
        <v>35</v>
      </c>
      <c r="L44" t="s">
        <v>209</v>
      </c>
      <c r="M44" s="17">
        <v>6</v>
      </c>
      <c r="N44" t="s">
        <v>4295</v>
      </c>
      <c r="O44" s="24" t="s">
        <v>22</v>
      </c>
      <c r="P44" s="19">
        <v>303.32</v>
      </c>
      <c r="Q44" s="26" t="str">
        <f>IF(OR(P44&lt;'Descriptive Statistics'!$H$17,P44&gt;'Descriptive Statistics'!$H$18),"Potential Outlier","Within Range")</f>
        <v>Within Range</v>
      </c>
      <c r="R44" s="26" t="str">
        <f>IF(OR(G44&lt;'Descriptive Statistics'!$I$17,G44&gt;'Descriptive Statistics'!$I$18),"Potential Outlier","Within Range")</f>
        <v>Within Range</v>
      </c>
      <c r="S44" s="26" t="str">
        <f>IF(OR(H44&lt;'Descriptive Statistics'!$J$17,H44&gt;'Descriptive Statistics'!$J$18),"Potential Outlier","Within Range")</f>
        <v>Within Range</v>
      </c>
    </row>
    <row r="45" hidden="1" spans="1:19">
      <c r="A45" t="s">
        <v>210</v>
      </c>
      <c r="B45" s="23">
        <v>45274</v>
      </c>
      <c r="C45" s="23" t="str">
        <f t="shared" si="0"/>
        <v>Dec</v>
      </c>
      <c r="D45" s="23" t="str">
        <f t="shared" si="1"/>
        <v>2023</v>
      </c>
      <c r="E45" t="s">
        <v>211</v>
      </c>
      <c r="F45" s="24" t="s">
        <v>41</v>
      </c>
      <c r="G45" s="17">
        <v>3</v>
      </c>
      <c r="H45" s="19">
        <v>499.21</v>
      </c>
      <c r="I45" t="s">
        <v>212</v>
      </c>
      <c r="J45" s="24" t="s">
        <v>27</v>
      </c>
      <c r="K45" s="24" t="s">
        <v>35</v>
      </c>
      <c r="L45" t="s">
        <v>213</v>
      </c>
      <c r="M45" s="17">
        <v>8</v>
      </c>
      <c r="N45" t="s">
        <v>4295</v>
      </c>
      <c r="O45" s="24" t="s">
        <v>22</v>
      </c>
      <c r="P45" s="19">
        <v>1497.63</v>
      </c>
      <c r="Q45" s="26" t="str">
        <f>IF(OR(P45&lt;'Descriptive Statistics'!$H$17,P45&gt;'Descriptive Statistics'!$H$18),"Potential Outlier","Within Range")</f>
        <v>Within Range</v>
      </c>
      <c r="R45" s="26" t="str">
        <f>IF(OR(G45&lt;'Descriptive Statistics'!$I$17,G45&gt;'Descriptive Statistics'!$I$18),"Potential Outlier","Within Range")</f>
        <v>Within Range</v>
      </c>
      <c r="S45" s="26" t="str">
        <f>IF(OR(H45&lt;'Descriptive Statistics'!$J$17,H45&gt;'Descriptive Statistics'!$J$18),"Potential Outlier","Within Range")</f>
        <v>Within Range</v>
      </c>
    </row>
    <row r="46" hidden="1" spans="1:19">
      <c r="A46" t="s">
        <v>214</v>
      </c>
      <c r="B46" s="23">
        <v>45768</v>
      </c>
      <c r="C46" s="23" t="str">
        <f t="shared" si="0"/>
        <v>Apr</v>
      </c>
      <c r="D46" s="23" t="str">
        <f t="shared" si="1"/>
        <v>2025</v>
      </c>
      <c r="E46" t="s">
        <v>215</v>
      </c>
      <c r="F46" s="24" t="s">
        <v>25</v>
      </c>
      <c r="G46" s="17">
        <v>2</v>
      </c>
      <c r="H46" s="19">
        <v>550.18</v>
      </c>
      <c r="I46" t="s">
        <v>165</v>
      </c>
      <c r="J46" s="24" t="s">
        <v>60</v>
      </c>
      <c r="K46" s="24" t="s">
        <v>43</v>
      </c>
      <c r="L46" t="s">
        <v>216</v>
      </c>
      <c r="M46" s="17">
        <v>3</v>
      </c>
      <c r="N46" t="s">
        <v>37</v>
      </c>
      <c r="O46" s="24" t="s">
        <v>29</v>
      </c>
      <c r="P46" s="19">
        <v>1100.36</v>
      </c>
      <c r="Q46" s="26" t="str">
        <f>IF(OR(P46&lt;'Descriptive Statistics'!$H$17,P46&gt;'Descriptive Statistics'!$H$18),"Potential Outlier","Within Range")</f>
        <v>Within Range</v>
      </c>
      <c r="R46" s="26" t="str">
        <f>IF(OR(G46&lt;'Descriptive Statistics'!$I$17,G46&gt;'Descriptive Statistics'!$I$18),"Potential Outlier","Within Range")</f>
        <v>Within Range</v>
      </c>
      <c r="S46" s="26" t="str">
        <f>IF(OR(H46&lt;'Descriptive Statistics'!$J$17,H46&gt;'Descriptive Statistics'!$J$18),"Potential Outlier","Within Range")</f>
        <v>Within Range</v>
      </c>
    </row>
    <row r="47" hidden="1" spans="1:19">
      <c r="A47" t="s">
        <v>217</v>
      </c>
      <c r="B47" s="23">
        <v>45332</v>
      </c>
      <c r="C47" s="23" t="str">
        <f t="shared" si="0"/>
        <v>Feb</v>
      </c>
      <c r="D47" s="23" t="str">
        <f t="shared" si="1"/>
        <v>2024</v>
      </c>
      <c r="E47" t="s">
        <v>218</v>
      </c>
      <c r="F47" s="24" t="s">
        <v>41</v>
      </c>
      <c r="G47" s="17">
        <v>1</v>
      </c>
      <c r="H47" s="19">
        <v>317.25</v>
      </c>
      <c r="I47" t="s">
        <v>219</v>
      </c>
      <c r="J47" s="24" t="s">
        <v>18</v>
      </c>
      <c r="K47" s="24" t="s">
        <v>43</v>
      </c>
      <c r="L47" t="s">
        <v>220</v>
      </c>
      <c r="M47" s="17">
        <v>1</v>
      </c>
      <c r="N47" t="s">
        <v>21</v>
      </c>
      <c r="O47" s="24" t="s">
        <v>45</v>
      </c>
      <c r="P47" s="19">
        <v>317.25</v>
      </c>
      <c r="Q47" s="26" t="str">
        <f>IF(OR(P47&lt;'Descriptive Statistics'!$H$17,P47&gt;'Descriptive Statistics'!$H$18),"Potential Outlier","Within Range")</f>
        <v>Within Range</v>
      </c>
      <c r="R47" s="26" t="str">
        <f>IF(OR(G47&lt;'Descriptive Statistics'!$I$17,G47&gt;'Descriptive Statistics'!$I$18),"Potential Outlier","Within Range")</f>
        <v>Within Range</v>
      </c>
      <c r="S47" s="26" t="str">
        <f>IF(OR(H47&lt;'Descriptive Statistics'!$J$17,H47&gt;'Descriptive Statistics'!$J$18),"Potential Outlier","Within Range")</f>
        <v>Within Range</v>
      </c>
    </row>
    <row r="48" hidden="1" spans="1:19">
      <c r="A48" t="s">
        <v>221</v>
      </c>
      <c r="B48" s="23">
        <v>45469</v>
      </c>
      <c r="C48" s="23" t="str">
        <f t="shared" si="0"/>
        <v>Jun</v>
      </c>
      <c r="D48" s="23" t="str">
        <f t="shared" si="1"/>
        <v>2024</v>
      </c>
      <c r="E48" t="s">
        <v>222</v>
      </c>
      <c r="F48" s="24" t="s">
        <v>16</v>
      </c>
      <c r="G48" s="17">
        <v>4</v>
      </c>
      <c r="H48" s="19">
        <v>550.14</v>
      </c>
      <c r="I48" t="s">
        <v>223</v>
      </c>
      <c r="J48" s="24" t="s">
        <v>18</v>
      </c>
      <c r="K48" s="24" t="s">
        <v>89</v>
      </c>
      <c r="L48" t="s">
        <v>224</v>
      </c>
      <c r="M48" s="17">
        <v>4</v>
      </c>
      <c r="N48" t="s">
        <v>37</v>
      </c>
      <c r="O48" s="24" t="s">
        <v>22</v>
      </c>
      <c r="P48" s="19">
        <v>2200.56</v>
      </c>
      <c r="Q48" s="26" t="str">
        <f>IF(OR(P48&lt;'Descriptive Statistics'!$H$17,P48&gt;'Descriptive Statistics'!$H$18),"Potential Outlier","Within Range")</f>
        <v>Within Range</v>
      </c>
      <c r="R48" s="26" t="str">
        <f>IF(OR(G48&lt;'Descriptive Statistics'!$I$17,G48&gt;'Descriptive Statistics'!$I$18),"Potential Outlier","Within Range")</f>
        <v>Within Range</v>
      </c>
      <c r="S48" s="26" t="str">
        <f>IF(OR(H48&lt;'Descriptive Statistics'!$J$17,H48&gt;'Descriptive Statistics'!$J$18),"Potential Outlier","Within Range")</f>
        <v>Within Range</v>
      </c>
    </row>
    <row r="49" hidden="1" spans="1:19">
      <c r="A49" t="s">
        <v>225</v>
      </c>
      <c r="B49" s="23">
        <v>45126</v>
      </c>
      <c r="C49" s="23" t="str">
        <f t="shared" si="0"/>
        <v>Jul</v>
      </c>
      <c r="D49" s="23" t="str">
        <f t="shared" si="1"/>
        <v>2023</v>
      </c>
      <c r="E49" t="s">
        <v>226</v>
      </c>
      <c r="F49" s="24" t="s">
        <v>73</v>
      </c>
      <c r="G49" s="17">
        <v>2</v>
      </c>
      <c r="H49" s="19">
        <v>209.94</v>
      </c>
      <c r="I49" t="s">
        <v>227</v>
      </c>
      <c r="J49" s="24" t="s">
        <v>34</v>
      </c>
      <c r="K49" s="24" t="s">
        <v>43</v>
      </c>
      <c r="L49" t="s">
        <v>228</v>
      </c>
      <c r="M49" s="17">
        <v>3</v>
      </c>
      <c r="N49" t="s">
        <v>37</v>
      </c>
      <c r="O49" s="24" t="s">
        <v>38</v>
      </c>
      <c r="P49" s="19">
        <v>419.88</v>
      </c>
      <c r="Q49" s="26" t="str">
        <f>IF(OR(P49&lt;'Descriptive Statistics'!$H$17,P49&gt;'Descriptive Statistics'!$H$18),"Potential Outlier","Within Range")</f>
        <v>Within Range</v>
      </c>
      <c r="R49" s="26" t="str">
        <f>IF(OR(G49&lt;'Descriptive Statistics'!$I$17,G49&gt;'Descriptive Statistics'!$I$18),"Potential Outlier","Within Range")</f>
        <v>Within Range</v>
      </c>
      <c r="S49" s="26" t="str">
        <f>IF(OR(H49&lt;'Descriptive Statistics'!$J$17,H49&gt;'Descriptive Statistics'!$J$18),"Potential Outlier","Within Range")</f>
        <v>Within Range</v>
      </c>
    </row>
    <row r="50" hidden="1" spans="1:19">
      <c r="A50" t="s">
        <v>229</v>
      </c>
      <c r="B50" s="23">
        <v>45164</v>
      </c>
      <c r="C50" s="23" t="str">
        <f t="shared" si="0"/>
        <v>Aug</v>
      </c>
      <c r="D50" s="23" t="str">
        <f t="shared" si="1"/>
        <v>2023</v>
      </c>
      <c r="E50" t="s">
        <v>230</v>
      </c>
      <c r="F50" s="24" t="s">
        <v>16</v>
      </c>
      <c r="G50" s="17">
        <v>2</v>
      </c>
      <c r="H50" s="19">
        <v>80.77</v>
      </c>
      <c r="I50" t="s">
        <v>231</v>
      </c>
      <c r="J50" s="24" t="s">
        <v>18</v>
      </c>
      <c r="K50" s="24" t="s">
        <v>19</v>
      </c>
      <c r="L50" t="s">
        <v>232</v>
      </c>
      <c r="M50" s="17">
        <v>4</v>
      </c>
      <c r="N50" t="s">
        <v>4295</v>
      </c>
      <c r="O50" s="24" t="s">
        <v>76</v>
      </c>
      <c r="P50" s="19">
        <v>161.54</v>
      </c>
      <c r="Q50" s="26" t="str">
        <f>IF(OR(P50&lt;'Descriptive Statistics'!$H$17,P50&gt;'Descriptive Statistics'!$H$18),"Potential Outlier","Within Range")</f>
        <v>Within Range</v>
      </c>
      <c r="R50" s="26" t="str">
        <f>IF(OR(G50&lt;'Descriptive Statistics'!$I$17,G50&gt;'Descriptive Statistics'!$I$18),"Potential Outlier","Within Range")</f>
        <v>Within Range</v>
      </c>
      <c r="S50" s="26" t="str">
        <f>IF(OR(H50&lt;'Descriptive Statistics'!$J$17,H50&gt;'Descriptive Statistics'!$J$18),"Potential Outlier","Within Range")</f>
        <v>Within Range</v>
      </c>
    </row>
    <row r="51" hidden="1" spans="1:19">
      <c r="A51" t="s">
        <v>233</v>
      </c>
      <c r="B51" s="23">
        <v>45206</v>
      </c>
      <c r="C51" s="23" t="str">
        <f t="shared" si="0"/>
        <v>Oct</v>
      </c>
      <c r="D51" s="23" t="str">
        <f t="shared" si="1"/>
        <v>2023</v>
      </c>
      <c r="E51" t="s">
        <v>234</v>
      </c>
      <c r="F51" s="24" t="s">
        <v>48</v>
      </c>
      <c r="G51" s="17">
        <v>1</v>
      </c>
      <c r="H51" s="19">
        <v>30.44</v>
      </c>
      <c r="I51" t="s">
        <v>129</v>
      </c>
      <c r="J51" s="24" t="s">
        <v>34</v>
      </c>
      <c r="K51" s="24" t="s">
        <v>19</v>
      </c>
      <c r="L51" t="s">
        <v>235</v>
      </c>
      <c r="M51" s="17">
        <v>1</v>
      </c>
      <c r="N51" t="s">
        <v>21</v>
      </c>
      <c r="O51" s="24" t="s">
        <v>38</v>
      </c>
      <c r="P51" s="19">
        <v>30.44</v>
      </c>
      <c r="Q51" s="26" t="str">
        <f>IF(OR(P51&lt;'Descriptive Statistics'!$H$17,P51&gt;'Descriptive Statistics'!$H$18),"Potential Outlier","Within Range")</f>
        <v>Within Range</v>
      </c>
      <c r="R51" s="26" t="str">
        <f>IF(OR(G51&lt;'Descriptive Statistics'!$I$17,G51&gt;'Descriptive Statistics'!$I$18),"Potential Outlier","Within Range")</f>
        <v>Within Range</v>
      </c>
      <c r="S51" s="26" t="str">
        <f>IF(OR(H51&lt;'Descriptive Statistics'!$J$17,H51&gt;'Descriptive Statistics'!$J$18),"Potential Outlier","Within Range")</f>
        <v>Within Range</v>
      </c>
    </row>
    <row r="52" hidden="1" spans="1:19">
      <c r="A52" t="s">
        <v>236</v>
      </c>
      <c r="B52" s="23">
        <v>45138</v>
      </c>
      <c r="C52" s="23" t="str">
        <f t="shared" si="0"/>
        <v>Jul</v>
      </c>
      <c r="D52" s="23" t="str">
        <f t="shared" si="1"/>
        <v>2023</v>
      </c>
      <c r="E52" t="s">
        <v>237</v>
      </c>
      <c r="F52" s="24" t="s">
        <v>32</v>
      </c>
      <c r="G52" s="17">
        <v>1</v>
      </c>
      <c r="H52" s="19">
        <v>179.22</v>
      </c>
      <c r="I52" t="s">
        <v>238</v>
      </c>
      <c r="J52" s="24" t="s">
        <v>27</v>
      </c>
      <c r="K52" s="24" t="s">
        <v>35</v>
      </c>
      <c r="L52" t="s">
        <v>239</v>
      </c>
      <c r="M52" s="17">
        <v>6</v>
      </c>
      <c r="N52" t="s">
        <v>37</v>
      </c>
      <c r="O52" s="24" t="s">
        <v>22</v>
      </c>
      <c r="P52" s="19">
        <v>179.22</v>
      </c>
      <c r="Q52" s="26" t="str">
        <f>IF(OR(P52&lt;'Descriptive Statistics'!$H$17,P52&gt;'Descriptive Statistics'!$H$18),"Potential Outlier","Within Range")</f>
        <v>Within Range</v>
      </c>
      <c r="R52" s="26" t="str">
        <f>IF(OR(G52&lt;'Descriptive Statistics'!$I$17,G52&gt;'Descriptive Statistics'!$I$18),"Potential Outlier","Within Range")</f>
        <v>Within Range</v>
      </c>
      <c r="S52" s="26" t="str">
        <f>IF(OR(H52&lt;'Descriptive Statistics'!$J$17,H52&gt;'Descriptive Statistics'!$J$18),"Potential Outlier","Within Range")</f>
        <v>Within Range</v>
      </c>
    </row>
    <row r="53" hidden="1" spans="1:19">
      <c r="A53" t="s">
        <v>240</v>
      </c>
      <c r="B53" s="23">
        <v>45656</v>
      </c>
      <c r="C53" s="23" t="str">
        <f t="shared" si="0"/>
        <v>Dec</v>
      </c>
      <c r="D53" s="23" t="str">
        <f t="shared" si="1"/>
        <v>2024</v>
      </c>
      <c r="E53" t="s">
        <v>241</v>
      </c>
      <c r="F53" s="24" t="s">
        <v>32</v>
      </c>
      <c r="G53" s="17">
        <v>1</v>
      </c>
      <c r="H53" s="19">
        <v>388.33</v>
      </c>
      <c r="I53" t="s">
        <v>242</v>
      </c>
      <c r="J53" s="24" t="s">
        <v>65</v>
      </c>
      <c r="K53" s="24" t="s">
        <v>43</v>
      </c>
      <c r="L53" t="s">
        <v>243</v>
      </c>
      <c r="M53" s="17">
        <v>2</v>
      </c>
      <c r="N53" t="s">
        <v>21</v>
      </c>
      <c r="O53" s="24" t="s">
        <v>45</v>
      </c>
      <c r="P53" s="19">
        <v>388.33</v>
      </c>
      <c r="Q53" s="26" t="str">
        <f>IF(OR(P53&lt;'Descriptive Statistics'!$H$17,P53&gt;'Descriptive Statistics'!$H$18),"Potential Outlier","Within Range")</f>
        <v>Within Range</v>
      </c>
      <c r="R53" s="26" t="str">
        <f>IF(OR(G53&lt;'Descriptive Statistics'!$I$17,G53&gt;'Descriptive Statistics'!$I$18),"Potential Outlier","Within Range")</f>
        <v>Within Range</v>
      </c>
      <c r="S53" s="26" t="str">
        <f>IF(OR(H53&lt;'Descriptive Statistics'!$J$17,H53&gt;'Descriptive Statistics'!$J$18),"Potential Outlier","Within Range")</f>
        <v>Within Range</v>
      </c>
    </row>
    <row r="54" hidden="1" spans="1:19">
      <c r="A54" t="s">
        <v>244</v>
      </c>
      <c r="B54" s="23">
        <v>45543</v>
      </c>
      <c r="C54" s="23" t="str">
        <f t="shared" si="0"/>
        <v>Sep</v>
      </c>
      <c r="D54" s="23" t="str">
        <f t="shared" si="1"/>
        <v>2024</v>
      </c>
      <c r="E54" t="s">
        <v>245</v>
      </c>
      <c r="F54" s="24" t="s">
        <v>32</v>
      </c>
      <c r="G54" s="17">
        <v>1</v>
      </c>
      <c r="H54" s="19">
        <v>586.44</v>
      </c>
      <c r="I54" t="s">
        <v>246</v>
      </c>
      <c r="J54" s="24" t="s">
        <v>27</v>
      </c>
      <c r="K54" s="24" t="s">
        <v>43</v>
      </c>
      <c r="L54" t="s">
        <v>247</v>
      </c>
      <c r="M54" s="17">
        <v>5</v>
      </c>
      <c r="N54" t="s">
        <v>21</v>
      </c>
      <c r="O54" s="24" t="s">
        <v>45</v>
      </c>
      <c r="P54" s="19">
        <v>586.44</v>
      </c>
      <c r="Q54" s="26" t="str">
        <f>IF(OR(P54&lt;'Descriptive Statistics'!$H$17,P54&gt;'Descriptive Statistics'!$H$18),"Potential Outlier","Within Range")</f>
        <v>Within Range</v>
      </c>
      <c r="R54" s="26" t="str">
        <f>IF(OR(G54&lt;'Descriptive Statistics'!$I$17,G54&gt;'Descriptive Statistics'!$I$18),"Potential Outlier","Within Range")</f>
        <v>Within Range</v>
      </c>
      <c r="S54" s="26" t="str">
        <f>IF(OR(H54&lt;'Descriptive Statistics'!$J$17,H54&gt;'Descriptive Statistics'!$J$18),"Potential Outlier","Within Range")</f>
        <v>Within Range</v>
      </c>
    </row>
    <row r="55" hidden="1" spans="1:19">
      <c r="A55" t="s">
        <v>248</v>
      </c>
      <c r="B55" s="23">
        <v>45430</v>
      </c>
      <c r="C55" s="23" t="str">
        <f t="shared" si="0"/>
        <v>May</v>
      </c>
      <c r="D55" s="23" t="str">
        <f t="shared" si="1"/>
        <v>2024</v>
      </c>
      <c r="E55" t="s">
        <v>249</v>
      </c>
      <c r="F55" s="24" t="s">
        <v>25</v>
      </c>
      <c r="G55" s="17">
        <v>4</v>
      </c>
      <c r="H55" s="19">
        <v>488.78</v>
      </c>
      <c r="I55" t="s">
        <v>33</v>
      </c>
      <c r="J55" s="24" t="s">
        <v>27</v>
      </c>
      <c r="K55" s="24" t="s">
        <v>43</v>
      </c>
      <c r="L55" t="s">
        <v>250</v>
      </c>
      <c r="M55" s="17">
        <v>5</v>
      </c>
      <c r="N55" t="s">
        <v>37</v>
      </c>
      <c r="O55" s="24" t="s">
        <v>76</v>
      </c>
      <c r="P55" s="19">
        <v>1955.12</v>
      </c>
      <c r="Q55" s="26" t="str">
        <f>IF(OR(P55&lt;'Descriptive Statistics'!$H$17,P55&gt;'Descriptive Statistics'!$H$18),"Potential Outlier","Within Range")</f>
        <v>Within Range</v>
      </c>
      <c r="R55" s="26" t="str">
        <f>IF(OR(G55&lt;'Descriptive Statistics'!$I$17,G55&gt;'Descriptive Statistics'!$I$18),"Potential Outlier","Within Range")</f>
        <v>Within Range</v>
      </c>
      <c r="S55" s="26" t="str">
        <f>IF(OR(H55&lt;'Descriptive Statistics'!$J$17,H55&gt;'Descriptive Statistics'!$J$18),"Potential Outlier","Within Range")</f>
        <v>Within Range</v>
      </c>
    </row>
    <row r="56" hidden="1" spans="1:19">
      <c r="A56" t="s">
        <v>251</v>
      </c>
      <c r="B56" s="23">
        <v>45743</v>
      </c>
      <c r="C56" s="23" t="str">
        <f t="shared" si="0"/>
        <v>Mar</v>
      </c>
      <c r="D56" s="23" t="str">
        <f t="shared" si="1"/>
        <v>2025</v>
      </c>
      <c r="E56" t="s">
        <v>252</v>
      </c>
      <c r="F56" s="24" t="s">
        <v>41</v>
      </c>
      <c r="G56" s="17">
        <v>1</v>
      </c>
      <c r="H56" s="19">
        <v>280.25</v>
      </c>
      <c r="I56" t="s">
        <v>253</v>
      </c>
      <c r="J56" s="24" t="s">
        <v>27</v>
      </c>
      <c r="K56" s="24" t="s">
        <v>89</v>
      </c>
      <c r="L56" t="s">
        <v>254</v>
      </c>
      <c r="M56" s="17">
        <v>5</v>
      </c>
      <c r="N56" t="s">
        <v>81</v>
      </c>
      <c r="O56" s="24" t="s">
        <v>38</v>
      </c>
      <c r="P56" s="19">
        <v>280.25</v>
      </c>
      <c r="Q56" s="26" t="str">
        <f>IF(OR(P56&lt;'Descriptive Statistics'!$H$17,P56&gt;'Descriptive Statistics'!$H$18),"Potential Outlier","Within Range")</f>
        <v>Within Range</v>
      </c>
      <c r="R56" s="26" t="str">
        <f>IF(OR(G56&lt;'Descriptive Statistics'!$I$17,G56&gt;'Descriptive Statistics'!$I$18),"Potential Outlier","Within Range")</f>
        <v>Within Range</v>
      </c>
      <c r="S56" s="26" t="str">
        <f>IF(OR(H56&lt;'Descriptive Statistics'!$J$17,H56&gt;'Descriptive Statistics'!$J$18),"Potential Outlier","Within Range")</f>
        <v>Within Range</v>
      </c>
    </row>
    <row r="57" hidden="1" spans="1:19">
      <c r="A57" t="s">
        <v>255</v>
      </c>
      <c r="B57" s="23">
        <v>45832</v>
      </c>
      <c r="C57" s="23" t="str">
        <f t="shared" si="0"/>
        <v>Jun</v>
      </c>
      <c r="D57" s="23" t="str">
        <f t="shared" si="1"/>
        <v>2025</v>
      </c>
      <c r="E57" t="s">
        <v>256</v>
      </c>
      <c r="F57" s="24" t="s">
        <v>48</v>
      </c>
      <c r="G57" s="17">
        <v>3</v>
      </c>
      <c r="H57" s="19">
        <v>344.4</v>
      </c>
      <c r="I57" t="s">
        <v>257</v>
      </c>
      <c r="J57" s="24" t="s">
        <v>27</v>
      </c>
      <c r="K57" s="24" t="s">
        <v>35</v>
      </c>
      <c r="L57" t="s">
        <v>258</v>
      </c>
      <c r="M57" s="17">
        <v>3</v>
      </c>
      <c r="N57" t="s">
        <v>4295</v>
      </c>
      <c r="O57" s="24" t="s">
        <v>45</v>
      </c>
      <c r="P57" s="19">
        <v>1033.2</v>
      </c>
      <c r="Q57" s="26" t="str">
        <f>IF(OR(P57&lt;'Descriptive Statistics'!$H$17,P57&gt;'Descriptive Statistics'!$H$18),"Potential Outlier","Within Range")</f>
        <v>Within Range</v>
      </c>
      <c r="R57" s="26" t="str">
        <f>IF(OR(G57&lt;'Descriptive Statistics'!$I$17,G57&gt;'Descriptive Statistics'!$I$18),"Potential Outlier","Within Range")</f>
        <v>Within Range</v>
      </c>
      <c r="S57" s="26" t="str">
        <f>IF(OR(H57&lt;'Descriptive Statistics'!$J$17,H57&gt;'Descriptive Statistics'!$J$18),"Potential Outlier","Within Range")</f>
        <v>Within Range</v>
      </c>
    </row>
    <row r="58" hidden="1" spans="1:19">
      <c r="A58" t="s">
        <v>259</v>
      </c>
      <c r="B58" s="23">
        <v>45067</v>
      </c>
      <c r="C58" s="23" t="str">
        <f t="shared" si="0"/>
        <v>May</v>
      </c>
      <c r="D58" s="23" t="str">
        <f t="shared" si="1"/>
        <v>2023</v>
      </c>
      <c r="E58" t="s">
        <v>260</v>
      </c>
      <c r="F58" s="24" t="s">
        <v>32</v>
      </c>
      <c r="G58" s="17">
        <v>3</v>
      </c>
      <c r="H58" s="19">
        <v>479.21</v>
      </c>
      <c r="I58" t="s">
        <v>261</v>
      </c>
      <c r="J58" s="24" t="s">
        <v>65</v>
      </c>
      <c r="K58" s="24" t="s">
        <v>35</v>
      </c>
      <c r="L58" t="s">
        <v>262</v>
      </c>
      <c r="M58" s="17">
        <v>5</v>
      </c>
      <c r="N58" t="s">
        <v>81</v>
      </c>
      <c r="O58" s="24" t="s">
        <v>29</v>
      </c>
      <c r="P58" s="19">
        <v>1437.63</v>
      </c>
      <c r="Q58" s="26" t="str">
        <f>IF(OR(P58&lt;'Descriptive Statistics'!$H$17,P58&gt;'Descriptive Statistics'!$H$18),"Potential Outlier","Within Range")</f>
        <v>Within Range</v>
      </c>
      <c r="R58" s="26" t="str">
        <f>IF(OR(G58&lt;'Descriptive Statistics'!$I$17,G58&gt;'Descriptive Statistics'!$I$18),"Potential Outlier","Within Range")</f>
        <v>Within Range</v>
      </c>
      <c r="S58" s="26" t="str">
        <f>IF(OR(H58&lt;'Descriptive Statistics'!$J$17,H58&gt;'Descriptive Statistics'!$J$18),"Potential Outlier","Within Range")</f>
        <v>Within Range</v>
      </c>
    </row>
    <row r="59" hidden="1" spans="1:19">
      <c r="A59" t="s">
        <v>263</v>
      </c>
      <c r="B59" s="23">
        <v>44948</v>
      </c>
      <c r="C59" s="23" t="str">
        <f t="shared" si="0"/>
        <v>Jan</v>
      </c>
      <c r="D59" s="23" t="str">
        <f t="shared" si="1"/>
        <v>2023</v>
      </c>
      <c r="E59" t="s">
        <v>264</v>
      </c>
      <c r="F59" s="24" t="s">
        <v>48</v>
      </c>
      <c r="G59" s="17">
        <v>5</v>
      </c>
      <c r="H59" s="19">
        <v>314.27</v>
      </c>
      <c r="I59" t="s">
        <v>265</v>
      </c>
      <c r="J59" s="24" t="s">
        <v>65</v>
      </c>
      <c r="K59" s="24" t="s">
        <v>43</v>
      </c>
      <c r="L59" t="s">
        <v>266</v>
      </c>
      <c r="M59" s="17">
        <v>6</v>
      </c>
      <c r="N59" t="s">
        <v>21</v>
      </c>
      <c r="O59" s="24" t="s">
        <v>22</v>
      </c>
      <c r="P59" s="19">
        <v>1571.35</v>
      </c>
      <c r="Q59" s="26" t="str">
        <f>IF(OR(P59&lt;'Descriptive Statistics'!$H$17,P59&gt;'Descriptive Statistics'!$H$18),"Potential Outlier","Within Range")</f>
        <v>Within Range</v>
      </c>
      <c r="R59" s="26" t="str">
        <f>IF(OR(G59&lt;'Descriptive Statistics'!$I$17,G59&gt;'Descriptive Statistics'!$I$18),"Potential Outlier","Within Range")</f>
        <v>Within Range</v>
      </c>
      <c r="S59" s="26" t="str">
        <f>IF(OR(H59&lt;'Descriptive Statistics'!$J$17,H59&gt;'Descriptive Statistics'!$J$18),"Potential Outlier","Within Range")</f>
        <v>Within Range</v>
      </c>
    </row>
    <row r="60" hidden="1" spans="1:19">
      <c r="A60" t="s">
        <v>267</v>
      </c>
      <c r="B60" s="23">
        <v>44941</v>
      </c>
      <c r="C60" s="23" t="str">
        <f t="shared" si="0"/>
        <v>Jan</v>
      </c>
      <c r="D60" s="23" t="str">
        <f t="shared" si="1"/>
        <v>2023</v>
      </c>
      <c r="E60" t="s">
        <v>268</v>
      </c>
      <c r="F60" s="24" t="s">
        <v>25</v>
      </c>
      <c r="G60" s="17">
        <v>4</v>
      </c>
      <c r="H60" s="19">
        <v>474.69</v>
      </c>
      <c r="I60" t="s">
        <v>269</v>
      </c>
      <c r="J60" s="24" t="s">
        <v>60</v>
      </c>
      <c r="K60" s="24" t="s">
        <v>35</v>
      </c>
      <c r="L60" t="s">
        <v>270</v>
      </c>
      <c r="M60" s="17">
        <v>6</v>
      </c>
      <c r="N60" t="s">
        <v>21</v>
      </c>
      <c r="O60" s="24" t="s">
        <v>76</v>
      </c>
      <c r="P60" s="19">
        <v>1898.76</v>
      </c>
      <c r="Q60" s="26" t="str">
        <f>IF(OR(P60&lt;'Descriptive Statistics'!$H$17,P60&gt;'Descriptive Statistics'!$H$18),"Potential Outlier","Within Range")</f>
        <v>Within Range</v>
      </c>
      <c r="R60" s="26" t="str">
        <f>IF(OR(G60&lt;'Descriptive Statistics'!$I$17,G60&gt;'Descriptive Statistics'!$I$18),"Potential Outlier","Within Range")</f>
        <v>Within Range</v>
      </c>
      <c r="S60" s="26" t="str">
        <f>IF(OR(H60&lt;'Descriptive Statistics'!$J$17,H60&gt;'Descriptive Statistics'!$J$18),"Potential Outlier","Within Range")</f>
        <v>Within Range</v>
      </c>
    </row>
    <row r="61" hidden="1" spans="1:19">
      <c r="A61" t="s">
        <v>271</v>
      </c>
      <c r="B61" s="23">
        <v>45546</v>
      </c>
      <c r="C61" s="23" t="str">
        <f t="shared" si="0"/>
        <v>Sep</v>
      </c>
      <c r="D61" s="23" t="str">
        <f t="shared" si="1"/>
        <v>2024</v>
      </c>
      <c r="E61" t="s">
        <v>272</v>
      </c>
      <c r="F61" s="24" t="s">
        <v>41</v>
      </c>
      <c r="G61" s="17">
        <v>4</v>
      </c>
      <c r="H61" s="19">
        <v>593.27</v>
      </c>
      <c r="I61" t="s">
        <v>273</v>
      </c>
      <c r="J61" s="24" t="s">
        <v>27</v>
      </c>
      <c r="K61" s="24" t="s">
        <v>19</v>
      </c>
      <c r="L61" t="s">
        <v>274</v>
      </c>
      <c r="M61" s="17">
        <v>5</v>
      </c>
      <c r="N61" t="s">
        <v>4295</v>
      </c>
      <c r="O61" s="24" t="s">
        <v>45</v>
      </c>
      <c r="P61" s="19">
        <v>2373.08</v>
      </c>
      <c r="Q61" s="26" t="str">
        <f>IF(OR(P61&lt;'Descriptive Statistics'!$H$17,P61&gt;'Descriptive Statistics'!$H$18),"Potential Outlier","Within Range")</f>
        <v>Within Range</v>
      </c>
      <c r="R61" s="26" t="str">
        <f>IF(OR(G61&lt;'Descriptive Statistics'!$I$17,G61&gt;'Descriptive Statistics'!$I$18),"Potential Outlier","Within Range")</f>
        <v>Within Range</v>
      </c>
      <c r="S61" s="26" t="str">
        <f>IF(OR(H61&lt;'Descriptive Statistics'!$J$17,H61&gt;'Descriptive Statistics'!$J$18),"Potential Outlier","Within Range")</f>
        <v>Within Range</v>
      </c>
    </row>
    <row r="62" hidden="1" spans="1:19">
      <c r="A62" t="s">
        <v>275</v>
      </c>
      <c r="B62" s="23">
        <v>45525</v>
      </c>
      <c r="C62" s="23" t="str">
        <f t="shared" si="0"/>
        <v>Aug</v>
      </c>
      <c r="D62" s="23" t="str">
        <f t="shared" si="1"/>
        <v>2024</v>
      </c>
      <c r="E62" t="s">
        <v>276</v>
      </c>
      <c r="F62" s="24" t="s">
        <v>73</v>
      </c>
      <c r="G62" s="17">
        <v>1</v>
      </c>
      <c r="H62" s="19">
        <v>417.1</v>
      </c>
      <c r="I62" t="s">
        <v>277</v>
      </c>
      <c r="J62" s="24" t="s">
        <v>18</v>
      </c>
      <c r="K62" s="24" t="s">
        <v>43</v>
      </c>
      <c r="L62" t="s">
        <v>278</v>
      </c>
      <c r="M62" s="17">
        <v>3</v>
      </c>
      <c r="N62" t="s">
        <v>37</v>
      </c>
      <c r="O62" s="24" t="s">
        <v>29</v>
      </c>
      <c r="P62" s="19">
        <v>417.1</v>
      </c>
      <c r="Q62" s="26" t="str">
        <f>IF(OR(P62&lt;'Descriptive Statistics'!$H$17,P62&gt;'Descriptive Statistics'!$H$18),"Potential Outlier","Within Range")</f>
        <v>Within Range</v>
      </c>
      <c r="R62" s="26" t="str">
        <f>IF(OR(G62&lt;'Descriptive Statistics'!$I$17,G62&gt;'Descriptive Statistics'!$I$18),"Potential Outlier","Within Range")</f>
        <v>Within Range</v>
      </c>
      <c r="S62" s="26" t="str">
        <f>IF(OR(H62&lt;'Descriptive Statistics'!$J$17,H62&gt;'Descriptive Statistics'!$J$18),"Potential Outlier","Within Range")</f>
        <v>Within Range</v>
      </c>
    </row>
    <row r="63" hidden="1" spans="1:19">
      <c r="A63" t="s">
        <v>279</v>
      </c>
      <c r="B63" s="23">
        <v>45375</v>
      </c>
      <c r="C63" s="23" t="str">
        <f t="shared" si="0"/>
        <v>Mar</v>
      </c>
      <c r="D63" s="23" t="str">
        <f t="shared" si="1"/>
        <v>2024</v>
      </c>
      <c r="E63" t="s">
        <v>280</v>
      </c>
      <c r="F63" s="24" t="s">
        <v>73</v>
      </c>
      <c r="G63" s="17">
        <v>4</v>
      </c>
      <c r="H63" s="19">
        <v>122.2</v>
      </c>
      <c r="I63" t="s">
        <v>281</v>
      </c>
      <c r="J63" s="24" t="s">
        <v>65</v>
      </c>
      <c r="K63" s="24" t="s">
        <v>50</v>
      </c>
      <c r="L63" t="s">
        <v>282</v>
      </c>
      <c r="M63" s="17">
        <v>7</v>
      </c>
      <c r="N63" t="s">
        <v>37</v>
      </c>
      <c r="O63" s="24" t="s">
        <v>45</v>
      </c>
      <c r="P63" s="19">
        <v>488.8</v>
      </c>
      <c r="Q63" s="26" t="str">
        <f>IF(OR(P63&lt;'Descriptive Statistics'!$H$17,P63&gt;'Descriptive Statistics'!$H$18),"Potential Outlier","Within Range")</f>
        <v>Within Range</v>
      </c>
      <c r="R63" s="26" t="str">
        <f>IF(OR(G63&lt;'Descriptive Statistics'!$I$17,G63&gt;'Descriptive Statistics'!$I$18),"Potential Outlier","Within Range")</f>
        <v>Within Range</v>
      </c>
      <c r="S63" s="26" t="str">
        <f>IF(OR(H63&lt;'Descriptive Statistics'!$J$17,H63&gt;'Descriptive Statistics'!$J$18),"Potential Outlier","Within Range")</f>
        <v>Within Range</v>
      </c>
    </row>
    <row r="64" hidden="1" spans="1:19">
      <c r="A64" t="s">
        <v>283</v>
      </c>
      <c r="B64" s="23">
        <v>45160</v>
      </c>
      <c r="C64" s="23" t="str">
        <f t="shared" si="0"/>
        <v>Aug</v>
      </c>
      <c r="D64" s="23" t="str">
        <f t="shared" si="1"/>
        <v>2023</v>
      </c>
      <c r="E64" t="s">
        <v>284</v>
      </c>
      <c r="F64" s="24" t="s">
        <v>73</v>
      </c>
      <c r="G64" s="17">
        <v>2</v>
      </c>
      <c r="H64" s="19">
        <v>43.15</v>
      </c>
      <c r="I64" t="s">
        <v>285</v>
      </c>
      <c r="J64" s="24" t="s">
        <v>18</v>
      </c>
      <c r="K64" s="24" t="s">
        <v>89</v>
      </c>
      <c r="L64" t="s">
        <v>286</v>
      </c>
      <c r="M64" s="17">
        <v>3</v>
      </c>
      <c r="N64" t="s">
        <v>81</v>
      </c>
      <c r="O64" s="24" t="s">
        <v>38</v>
      </c>
      <c r="P64" s="19">
        <v>86.3</v>
      </c>
      <c r="Q64" s="26" t="str">
        <f>IF(OR(P64&lt;'Descriptive Statistics'!$H$17,P64&gt;'Descriptive Statistics'!$H$18),"Potential Outlier","Within Range")</f>
        <v>Within Range</v>
      </c>
      <c r="R64" s="26" t="str">
        <f>IF(OR(G64&lt;'Descriptive Statistics'!$I$17,G64&gt;'Descriptive Statistics'!$I$18),"Potential Outlier","Within Range")</f>
        <v>Within Range</v>
      </c>
      <c r="S64" s="26" t="str">
        <f>IF(OR(H64&lt;'Descriptive Statistics'!$J$17,H64&gt;'Descriptive Statistics'!$J$18),"Potential Outlier","Within Range")</f>
        <v>Within Range</v>
      </c>
    </row>
    <row r="65" hidden="1" spans="1:19">
      <c r="A65" t="s">
        <v>287</v>
      </c>
      <c r="B65" s="23">
        <v>45690</v>
      </c>
      <c r="C65" s="23" t="str">
        <f t="shared" si="0"/>
        <v>Feb</v>
      </c>
      <c r="D65" s="23" t="str">
        <f t="shared" si="1"/>
        <v>2025</v>
      </c>
      <c r="E65" t="s">
        <v>288</v>
      </c>
      <c r="F65" s="24" t="s">
        <v>41</v>
      </c>
      <c r="G65" s="17">
        <v>1</v>
      </c>
      <c r="H65" s="19">
        <v>564.86</v>
      </c>
      <c r="I65" t="s">
        <v>289</v>
      </c>
      <c r="J65" s="24" t="s">
        <v>18</v>
      </c>
      <c r="K65" s="24" t="s">
        <v>19</v>
      </c>
      <c r="L65" t="s">
        <v>290</v>
      </c>
      <c r="M65" s="17">
        <v>6</v>
      </c>
      <c r="N65" t="s">
        <v>81</v>
      </c>
      <c r="O65" s="24" t="s">
        <v>29</v>
      </c>
      <c r="P65" s="19">
        <v>564.86</v>
      </c>
      <c r="Q65" s="26" t="str">
        <f>IF(OR(P65&lt;'Descriptive Statistics'!$H$17,P65&gt;'Descriptive Statistics'!$H$18),"Potential Outlier","Within Range")</f>
        <v>Within Range</v>
      </c>
      <c r="R65" s="26" t="str">
        <f>IF(OR(G65&lt;'Descriptive Statistics'!$I$17,G65&gt;'Descriptive Statistics'!$I$18),"Potential Outlier","Within Range")</f>
        <v>Within Range</v>
      </c>
      <c r="S65" s="26" t="str">
        <f>IF(OR(H65&lt;'Descriptive Statistics'!$J$17,H65&gt;'Descriptive Statistics'!$J$18),"Potential Outlier","Within Range")</f>
        <v>Within Range</v>
      </c>
    </row>
    <row r="66" hidden="1" spans="1:19">
      <c r="A66" t="s">
        <v>291</v>
      </c>
      <c r="B66" s="23">
        <v>45833</v>
      </c>
      <c r="C66" s="23" t="str">
        <f t="shared" ref="C66:C129" si="2">TEXT(B66,"MMM")</f>
        <v>Jun</v>
      </c>
      <c r="D66" s="23" t="str">
        <f t="shared" ref="D66:D129" si="3">TEXT(B66,"YYYY")</f>
        <v>2025</v>
      </c>
      <c r="E66" t="s">
        <v>292</v>
      </c>
      <c r="F66" s="24" t="s">
        <v>48</v>
      </c>
      <c r="G66" s="17">
        <v>3</v>
      </c>
      <c r="H66" s="19">
        <v>130.61</v>
      </c>
      <c r="I66" t="s">
        <v>293</v>
      </c>
      <c r="J66" s="24" t="s">
        <v>18</v>
      </c>
      <c r="K66" s="24" t="s">
        <v>35</v>
      </c>
      <c r="L66" t="s">
        <v>294</v>
      </c>
      <c r="M66" s="17">
        <v>4</v>
      </c>
      <c r="N66" t="s">
        <v>37</v>
      </c>
      <c r="O66" s="24" t="s">
        <v>45</v>
      </c>
      <c r="P66" s="19">
        <v>391.83</v>
      </c>
      <c r="Q66" s="26" t="str">
        <f>IF(OR(P66&lt;'Descriptive Statistics'!$H$17,P66&gt;'Descriptive Statistics'!$H$18),"Potential Outlier","Within Range")</f>
        <v>Within Range</v>
      </c>
      <c r="R66" s="26" t="str">
        <f>IF(OR(G66&lt;'Descriptive Statistics'!$I$17,G66&gt;'Descriptive Statistics'!$I$18),"Potential Outlier","Within Range")</f>
        <v>Within Range</v>
      </c>
      <c r="S66" s="26" t="str">
        <f>IF(OR(H66&lt;'Descriptive Statistics'!$J$17,H66&gt;'Descriptive Statistics'!$J$18),"Potential Outlier","Within Range")</f>
        <v>Within Range</v>
      </c>
    </row>
    <row r="67" hidden="1" spans="1:19">
      <c r="A67" t="s">
        <v>295</v>
      </c>
      <c r="B67" s="23">
        <v>45290</v>
      </c>
      <c r="C67" s="23" t="str">
        <f t="shared" si="2"/>
        <v>Dec</v>
      </c>
      <c r="D67" s="23" t="str">
        <f t="shared" si="3"/>
        <v>2023</v>
      </c>
      <c r="E67" t="s">
        <v>296</v>
      </c>
      <c r="F67" s="24" t="s">
        <v>16</v>
      </c>
      <c r="G67" s="17">
        <v>5</v>
      </c>
      <c r="H67" s="19">
        <v>81.7</v>
      </c>
      <c r="I67" t="s">
        <v>297</v>
      </c>
      <c r="J67" s="24" t="s">
        <v>34</v>
      </c>
      <c r="K67" s="24" t="s">
        <v>50</v>
      </c>
      <c r="L67" t="s">
        <v>298</v>
      </c>
      <c r="M67" s="17">
        <v>6</v>
      </c>
      <c r="N67" t="s">
        <v>4295</v>
      </c>
      <c r="O67" s="24" t="s">
        <v>22</v>
      </c>
      <c r="P67" s="19">
        <v>408.5</v>
      </c>
      <c r="Q67" s="26" t="str">
        <f>IF(OR(P67&lt;'Descriptive Statistics'!$H$17,P67&gt;'Descriptive Statistics'!$H$18),"Potential Outlier","Within Range")</f>
        <v>Within Range</v>
      </c>
      <c r="R67" s="26" t="str">
        <f>IF(OR(G67&lt;'Descriptive Statistics'!$I$17,G67&gt;'Descriptive Statistics'!$I$18),"Potential Outlier","Within Range")</f>
        <v>Within Range</v>
      </c>
      <c r="S67" s="26" t="str">
        <f>IF(OR(H67&lt;'Descriptive Statistics'!$J$17,H67&gt;'Descriptive Statistics'!$J$18),"Potential Outlier","Within Range")</f>
        <v>Within Range</v>
      </c>
    </row>
    <row r="68" hidden="1" spans="1:19">
      <c r="A68" t="s">
        <v>299</v>
      </c>
      <c r="B68" s="23">
        <v>45611</v>
      </c>
      <c r="C68" s="23" t="str">
        <f t="shared" si="2"/>
        <v>Nov</v>
      </c>
      <c r="D68" s="23" t="str">
        <f t="shared" si="3"/>
        <v>2024</v>
      </c>
      <c r="E68" t="s">
        <v>300</v>
      </c>
      <c r="F68" s="24" t="s">
        <v>41</v>
      </c>
      <c r="G68" s="17">
        <v>5</v>
      </c>
      <c r="H68" s="19">
        <v>127.18</v>
      </c>
      <c r="I68" t="s">
        <v>301</v>
      </c>
      <c r="J68" s="24" t="s">
        <v>65</v>
      </c>
      <c r="K68" s="24" t="s">
        <v>35</v>
      </c>
      <c r="L68" t="s">
        <v>302</v>
      </c>
      <c r="M68" s="17">
        <v>9</v>
      </c>
      <c r="N68" t="s">
        <v>21</v>
      </c>
      <c r="O68" s="24" t="s">
        <v>29</v>
      </c>
      <c r="P68" s="19">
        <v>635.9</v>
      </c>
      <c r="Q68" s="26" t="str">
        <f>IF(OR(P68&lt;'Descriptive Statistics'!$H$17,P68&gt;'Descriptive Statistics'!$H$18),"Potential Outlier","Within Range")</f>
        <v>Within Range</v>
      </c>
      <c r="R68" s="26" t="str">
        <f>IF(OR(G68&lt;'Descriptive Statistics'!$I$17,G68&gt;'Descriptive Statistics'!$I$18),"Potential Outlier","Within Range")</f>
        <v>Within Range</v>
      </c>
      <c r="S68" s="26" t="str">
        <f>IF(OR(H68&lt;'Descriptive Statistics'!$J$17,H68&gt;'Descriptive Statistics'!$J$18),"Potential Outlier","Within Range")</f>
        <v>Within Range</v>
      </c>
    </row>
    <row r="69" hidden="1" spans="1:19">
      <c r="A69" t="s">
        <v>303</v>
      </c>
      <c r="B69" s="23">
        <v>45635</v>
      </c>
      <c r="C69" s="23" t="str">
        <f t="shared" si="2"/>
        <v>Dec</v>
      </c>
      <c r="D69" s="23" t="str">
        <f t="shared" si="3"/>
        <v>2024</v>
      </c>
      <c r="E69" t="s">
        <v>304</v>
      </c>
      <c r="F69" s="24" t="s">
        <v>48</v>
      </c>
      <c r="G69" s="17">
        <v>4</v>
      </c>
      <c r="H69" s="19">
        <v>12.1</v>
      </c>
      <c r="I69" t="s">
        <v>305</v>
      </c>
      <c r="J69" s="24" t="s">
        <v>18</v>
      </c>
      <c r="K69" s="24" t="s">
        <v>35</v>
      </c>
      <c r="L69" t="s">
        <v>306</v>
      </c>
      <c r="M69" s="17">
        <v>8</v>
      </c>
      <c r="N69" t="s">
        <v>4295</v>
      </c>
      <c r="O69" s="24" t="s">
        <v>76</v>
      </c>
      <c r="P69" s="19">
        <v>48.4</v>
      </c>
      <c r="Q69" s="26" t="str">
        <f>IF(OR(P69&lt;'Descriptive Statistics'!$H$17,P69&gt;'Descriptive Statistics'!$H$18),"Potential Outlier","Within Range")</f>
        <v>Within Range</v>
      </c>
      <c r="R69" s="26" t="str">
        <f>IF(OR(G69&lt;'Descriptive Statistics'!$I$17,G69&gt;'Descriptive Statistics'!$I$18),"Potential Outlier","Within Range")</f>
        <v>Within Range</v>
      </c>
      <c r="S69" s="26" t="str">
        <f>IF(OR(H69&lt;'Descriptive Statistics'!$J$17,H69&gt;'Descriptive Statistics'!$J$18),"Potential Outlier","Within Range")</f>
        <v>Within Range</v>
      </c>
    </row>
    <row r="70" hidden="1" spans="1:19">
      <c r="A70" t="s">
        <v>307</v>
      </c>
      <c r="B70" s="23">
        <v>45271</v>
      </c>
      <c r="C70" s="23" t="str">
        <f t="shared" si="2"/>
        <v>Dec</v>
      </c>
      <c r="D70" s="23" t="str">
        <f t="shared" si="3"/>
        <v>2023</v>
      </c>
      <c r="E70" t="s">
        <v>308</v>
      </c>
      <c r="F70" s="24" t="s">
        <v>41</v>
      </c>
      <c r="G70" s="17">
        <v>3</v>
      </c>
      <c r="H70" s="19">
        <v>490.92</v>
      </c>
      <c r="I70" t="s">
        <v>141</v>
      </c>
      <c r="J70" s="24" t="s">
        <v>34</v>
      </c>
      <c r="K70" s="24" t="s">
        <v>89</v>
      </c>
      <c r="L70" t="s">
        <v>309</v>
      </c>
      <c r="M70" s="17">
        <v>5</v>
      </c>
      <c r="N70" t="s">
        <v>37</v>
      </c>
      <c r="O70" s="24" t="s">
        <v>38</v>
      </c>
      <c r="P70" s="19">
        <v>1472.76</v>
      </c>
      <c r="Q70" s="26" t="str">
        <f>IF(OR(P70&lt;'Descriptive Statistics'!$H$17,P70&gt;'Descriptive Statistics'!$H$18),"Potential Outlier","Within Range")</f>
        <v>Within Range</v>
      </c>
      <c r="R70" s="26" t="str">
        <f>IF(OR(G70&lt;'Descriptive Statistics'!$I$17,G70&gt;'Descriptive Statistics'!$I$18),"Potential Outlier","Within Range")</f>
        <v>Within Range</v>
      </c>
      <c r="S70" s="26" t="str">
        <f>IF(OR(H70&lt;'Descriptive Statistics'!$J$17,H70&gt;'Descriptive Statistics'!$J$18),"Potential Outlier","Within Range")</f>
        <v>Within Range</v>
      </c>
    </row>
    <row r="71" hidden="1" spans="1:19">
      <c r="A71" t="s">
        <v>310</v>
      </c>
      <c r="B71" s="23">
        <v>45057</v>
      </c>
      <c r="C71" s="23" t="str">
        <f t="shared" si="2"/>
        <v>May</v>
      </c>
      <c r="D71" s="23" t="str">
        <f t="shared" si="3"/>
        <v>2023</v>
      </c>
      <c r="E71" t="s">
        <v>311</v>
      </c>
      <c r="F71" s="24" t="s">
        <v>16</v>
      </c>
      <c r="G71" s="17">
        <v>3</v>
      </c>
      <c r="H71" s="19">
        <v>478.65</v>
      </c>
      <c r="I71" t="s">
        <v>312</v>
      </c>
      <c r="J71" s="24" t="s">
        <v>27</v>
      </c>
      <c r="K71" s="24" t="s">
        <v>19</v>
      </c>
      <c r="L71" t="s">
        <v>313</v>
      </c>
      <c r="M71" s="17">
        <v>4</v>
      </c>
      <c r="N71" t="s">
        <v>4295</v>
      </c>
      <c r="O71" s="24" t="s">
        <v>29</v>
      </c>
      <c r="P71" s="19">
        <v>1435.95</v>
      </c>
      <c r="Q71" s="26" t="str">
        <f>IF(OR(P71&lt;'Descriptive Statistics'!$H$17,P71&gt;'Descriptive Statistics'!$H$18),"Potential Outlier","Within Range")</f>
        <v>Within Range</v>
      </c>
      <c r="R71" s="26" t="str">
        <f>IF(OR(G71&lt;'Descriptive Statistics'!$I$17,G71&gt;'Descriptive Statistics'!$I$18),"Potential Outlier","Within Range")</f>
        <v>Within Range</v>
      </c>
      <c r="S71" s="26" t="str">
        <f>IF(OR(H71&lt;'Descriptive Statistics'!$J$17,H71&gt;'Descriptive Statistics'!$J$18),"Potential Outlier","Within Range")</f>
        <v>Within Range</v>
      </c>
    </row>
    <row r="72" hidden="1" spans="1:19">
      <c r="A72" t="s">
        <v>314</v>
      </c>
      <c r="B72" s="23">
        <v>45072</v>
      </c>
      <c r="C72" s="23" t="str">
        <f t="shared" si="2"/>
        <v>May</v>
      </c>
      <c r="D72" s="23" t="str">
        <f t="shared" si="3"/>
        <v>2023</v>
      </c>
      <c r="E72" t="s">
        <v>315</v>
      </c>
      <c r="F72" s="24" t="s">
        <v>73</v>
      </c>
      <c r="G72" s="17">
        <v>1</v>
      </c>
      <c r="H72" s="19">
        <v>629.21</v>
      </c>
      <c r="I72" t="s">
        <v>316</v>
      </c>
      <c r="J72" s="24" t="s">
        <v>60</v>
      </c>
      <c r="K72" s="24" t="s">
        <v>89</v>
      </c>
      <c r="L72" t="s">
        <v>317</v>
      </c>
      <c r="M72" s="17">
        <v>2</v>
      </c>
      <c r="N72" t="s">
        <v>37</v>
      </c>
      <c r="O72" s="24" t="s">
        <v>22</v>
      </c>
      <c r="P72" s="19">
        <v>629.21</v>
      </c>
      <c r="Q72" s="26" t="str">
        <f>IF(OR(P72&lt;'Descriptive Statistics'!$H$17,P72&gt;'Descriptive Statistics'!$H$18),"Potential Outlier","Within Range")</f>
        <v>Within Range</v>
      </c>
      <c r="R72" s="26" t="str">
        <f>IF(OR(G72&lt;'Descriptive Statistics'!$I$17,G72&gt;'Descriptive Statistics'!$I$18),"Potential Outlier","Within Range")</f>
        <v>Within Range</v>
      </c>
      <c r="S72" s="26" t="str">
        <f>IF(OR(H72&lt;'Descriptive Statistics'!$J$17,H72&gt;'Descriptive Statistics'!$J$18),"Potential Outlier","Within Range")</f>
        <v>Within Range</v>
      </c>
    </row>
    <row r="73" hidden="1" spans="1:19">
      <c r="A73" t="s">
        <v>318</v>
      </c>
      <c r="B73" s="23">
        <v>45818</v>
      </c>
      <c r="C73" s="23" t="str">
        <f t="shared" si="2"/>
        <v>Jun</v>
      </c>
      <c r="D73" s="23" t="str">
        <f t="shared" si="3"/>
        <v>2025</v>
      </c>
      <c r="E73" t="s">
        <v>319</v>
      </c>
      <c r="F73" s="24" t="s">
        <v>16</v>
      </c>
      <c r="G73" s="17">
        <v>3</v>
      </c>
      <c r="H73" s="19">
        <v>434.45</v>
      </c>
      <c r="I73" t="s">
        <v>320</v>
      </c>
      <c r="J73" s="24" t="s">
        <v>34</v>
      </c>
      <c r="K73" s="24" t="s">
        <v>89</v>
      </c>
      <c r="L73" t="s">
        <v>321</v>
      </c>
      <c r="M73" s="17">
        <v>4</v>
      </c>
      <c r="N73" t="s">
        <v>4295</v>
      </c>
      <c r="O73" s="24" t="s">
        <v>29</v>
      </c>
      <c r="P73" s="19">
        <v>1303.35</v>
      </c>
      <c r="Q73" s="26" t="str">
        <f>IF(OR(P73&lt;'Descriptive Statistics'!$H$17,P73&gt;'Descriptive Statistics'!$H$18),"Potential Outlier","Within Range")</f>
        <v>Within Range</v>
      </c>
      <c r="R73" s="26" t="str">
        <f>IF(OR(G73&lt;'Descriptive Statistics'!$I$17,G73&gt;'Descriptive Statistics'!$I$18),"Potential Outlier","Within Range")</f>
        <v>Within Range</v>
      </c>
      <c r="S73" s="26" t="str">
        <f>IF(OR(H73&lt;'Descriptive Statistics'!$J$17,H73&gt;'Descriptive Statistics'!$J$18),"Potential Outlier","Within Range")</f>
        <v>Within Range</v>
      </c>
    </row>
    <row r="74" hidden="1" spans="1:19">
      <c r="A74" t="s">
        <v>322</v>
      </c>
      <c r="B74" s="23">
        <v>45648</v>
      </c>
      <c r="C74" s="23" t="str">
        <f t="shared" si="2"/>
        <v>Dec</v>
      </c>
      <c r="D74" s="23" t="str">
        <f t="shared" si="3"/>
        <v>2024</v>
      </c>
      <c r="E74" t="s">
        <v>323</v>
      </c>
      <c r="F74" s="24" t="s">
        <v>32</v>
      </c>
      <c r="G74" s="17">
        <v>4</v>
      </c>
      <c r="H74" s="19">
        <v>589.44</v>
      </c>
      <c r="I74" t="s">
        <v>101</v>
      </c>
      <c r="J74" s="24" t="s">
        <v>60</v>
      </c>
      <c r="K74" s="24" t="s">
        <v>43</v>
      </c>
      <c r="L74" t="s">
        <v>324</v>
      </c>
      <c r="M74" s="17">
        <v>5</v>
      </c>
      <c r="N74" t="s">
        <v>4295</v>
      </c>
      <c r="O74" s="24" t="s">
        <v>45</v>
      </c>
      <c r="P74" s="19">
        <v>2357.76</v>
      </c>
      <c r="Q74" s="26" t="str">
        <f>IF(OR(P74&lt;'Descriptive Statistics'!$H$17,P74&gt;'Descriptive Statistics'!$H$18),"Potential Outlier","Within Range")</f>
        <v>Within Range</v>
      </c>
      <c r="R74" s="26" t="str">
        <f>IF(OR(G74&lt;'Descriptive Statistics'!$I$17,G74&gt;'Descriptive Statistics'!$I$18),"Potential Outlier","Within Range")</f>
        <v>Within Range</v>
      </c>
      <c r="S74" s="26" t="str">
        <f>IF(OR(H74&lt;'Descriptive Statistics'!$J$17,H74&gt;'Descriptive Statistics'!$J$18),"Potential Outlier","Within Range")</f>
        <v>Within Range</v>
      </c>
    </row>
    <row r="75" hidden="1" spans="1:19">
      <c r="A75" t="s">
        <v>325</v>
      </c>
      <c r="B75" s="23">
        <v>45049</v>
      </c>
      <c r="C75" s="23" t="str">
        <f t="shared" si="2"/>
        <v>May</v>
      </c>
      <c r="D75" s="23" t="str">
        <f t="shared" si="3"/>
        <v>2023</v>
      </c>
      <c r="E75" t="s">
        <v>326</v>
      </c>
      <c r="F75" s="24" t="s">
        <v>16</v>
      </c>
      <c r="G75" s="17">
        <v>4</v>
      </c>
      <c r="H75" s="19">
        <v>433.45</v>
      </c>
      <c r="I75" t="s">
        <v>327</v>
      </c>
      <c r="J75" s="24" t="s">
        <v>60</v>
      </c>
      <c r="K75" s="24" t="s">
        <v>35</v>
      </c>
      <c r="L75" t="s">
        <v>328</v>
      </c>
      <c r="M75" s="17">
        <v>4</v>
      </c>
      <c r="N75" t="s">
        <v>4295</v>
      </c>
      <c r="O75" s="24" t="s">
        <v>45</v>
      </c>
      <c r="P75" s="19">
        <v>1733.8</v>
      </c>
      <c r="Q75" s="26" t="str">
        <f>IF(OR(P75&lt;'Descriptive Statistics'!$H$17,P75&gt;'Descriptive Statistics'!$H$18),"Potential Outlier","Within Range")</f>
        <v>Within Range</v>
      </c>
      <c r="R75" s="26" t="str">
        <f>IF(OR(G75&lt;'Descriptive Statistics'!$I$17,G75&gt;'Descriptive Statistics'!$I$18),"Potential Outlier","Within Range")</f>
        <v>Within Range</v>
      </c>
      <c r="S75" s="26" t="str">
        <f>IF(OR(H75&lt;'Descriptive Statistics'!$J$17,H75&gt;'Descriptive Statistics'!$J$18),"Potential Outlier","Within Range")</f>
        <v>Within Range</v>
      </c>
    </row>
    <row r="76" hidden="1" spans="1:19">
      <c r="A76" t="s">
        <v>329</v>
      </c>
      <c r="B76" s="23">
        <v>45101</v>
      </c>
      <c r="C76" s="23" t="str">
        <f t="shared" si="2"/>
        <v>Jun</v>
      </c>
      <c r="D76" s="23" t="str">
        <f t="shared" si="3"/>
        <v>2023</v>
      </c>
      <c r="E76" t="s">
        <v>330</v>
      </c>
      <c r="F76" s="24" t="s">
        <v>25</v>
      </c>
      <c r="G76" s="17">
        <v>5</v>
      </c>
      <c r="H76" s="19">
        <v>90.87</v>
      </c>
      <c r="I76" t="s">
        <v>331</v>
      </c>
      <c r="J76" s="24" t="s">
        <v>65</v>
      </c>
      <c r="K76" s="24" t="s">
        <v>89</v>
      </c>
      <c r="L76" t="s">
        <v>332</v>
      </c>
      <c r="M76" s="17">
        <v>5</v>
      </c>
      <c r="N76" t="s">
        <v>4295</v>
      </c>
      <c r="O76" s="24" t="s">
        <v>22</v>
      </c>
      <c r="P76" s="19">
        <v>454.35</v>
      </c>
      <c r="Q76" s="26" t="str">
        <f>IF(OR(P76&lt;'Descriptive Statistics'!$H$17,P76&gt;'Descriptive Statistics'!$H$18),"Potential Outlier","Within Range")</f>
        <v>Within Range</v>
      </c>
      <c r="R76" s="26" t="str">
        <f>IF(OR(G76&lt;'Descriptive Statistics'!$I$17,G76&gt;'Descriptive Statistics'!$I$18),"Potential Outlier","Within Range")</f>
        <v>Within Range</v>
      </c>
      <c r="S76" s="26" t="str">
        <f>IF(OR(H76&lt;'Descriptive Statistics'!$J$17,H76&gt;'Descriptive Statistics'!$J$18),"Potential Outlier","Within Range")</f>
        <v>Within Range</v>
      </c>
    </row>
    <row r="77" hidden="1" spans="1:19">
      <c r="A77" t="s">
        <v>333</v>
      </c>
      <c r="B77" s="23">
        <v>45195</v>
      </c>
      <c r="C77" s="23" t="str">
        <f t="shared" si="2"/>
        <v>Sep</v>
      </c>
      <c r="D77" s="23" t="str">
        <f t="shared" si="3"/>
        <v>2023</v>
      </c>
      <c r="E77" t="s">
        <v>334</v>
      </c>
      <c r="F77" s="24" t="s">
        <v>32</v>
      </c>
      <c r="G77" s="17">
        <v>3</v>
      </c>
      <c r="H77" s="19">
        <v>398.17</v>
      </c>
      <c r="I77" t="s">
        <v>335</v>
      </c>
      <c r="J77" s="24" t="s">
        <v>18</v>
      </c>
      <c r="K77" s="24" t="s">
        <v>50</v>
      </c>
      <c r="L77" t="s">
        <v>336</v>
      </c>
      <c r="M77" s="17">
        <v>5</v>
      </c>
      <c r="N77" t="s">
        <v>21</v>
      </c>
      <c r="O77" s="24" t="s">
        <v>38</v>
      </c>
      <c r="P77" s="19">
        <v>1194.51</v>
      </c>
      <c r="Q77" s="26" t="str">
        <f>IF(OR(P77&lt;'Descriptive Statistics'!$H$17,P77&gt;'Descriptive Statistics'!$H$18),"Potential Outlier","Within Range")</f>
        <v>Within Range</v>
      </c>
      <c r="R77" s="26" t="str">
        <f>IF(OR(G77&lt;'Descriptive Statistics'!$I$17,G77&gt;'Descriptive Statistics'!$I$18),"Potential Outlier","Within Range")</f>
        <v>Within Range</v>
      </c>
      <c r="S77" s="26" t="str">
        <f>IF(OR(H77&lt;'Descriptive Statistics'!$J$17,H77&gt;'Descriptive Statistics'!$J$18),"Potential Outlier","Within Range")</f>
        <v>Within Range</v>
      </c>
    </row>
    <row r="78" hidden="1" spans="1:19">
      <c r="A78" t="s">
        <v>337</v>
      </c>
      <c r="B78" s="23">
        <v>45382</v>
      </c>
      <c r="C78" s="23" t="str">
        <f t="shared" si="2"/>
        <v>Mar</v>
      </c>
      <c r="D78" s="23" t="str">
        <f t="shared" si="3"/>
        <v>2024</v>
      </c>
      <c r="E78" t="s">
        <v>338</v>
      </c>
      <c r="F78" s="24" t="s">
        <v>58</v>
      </c>
      <c r="G78" s="17">
        <v>4</v>
      </c>
      <c r="H78" s="19">
        <v>382.88</v>
      </c>
      <c r="I78" t="s">
        <v>339</v>
      </c>
      <c r="J78" s="24" t="s">
        <v>65</v>
      </c>
      <c r="K78" s="24" t="s">
        <v>35</v>
      </c>
      <c r="L78" t="s">
        <v>340</v>
      </c>
      <c r="M78" s="17">
        <v>6</v>
      </c>
      <c r="N78" t="s">
        <v>81</v>
      </c>
      <c r="O78" s="24" t="s">
        <v>38</v>
      </c>
      <c r="P78" s="19">
        <v>1531.52</v>
      </c>
      <c r="Q78" s="26" t="str">
        <f>IF(OR(P78&lt;'Descriptive Statistics'!$H$17,P78&gt;'Descriptive Statistics'!$H$18),"Potential Outlier","Within Range")</f>
        <v>Within Range</v>
      </c>
      <c r="R78" s="26" t="str">
        <f>IF(OR(G78&lt;'Descriptive Statistics'!$I$17,G78&gt;'Descriptive Statistics'!$I$18),"Potential Outlier","Within Range")</f>
        <v>Within Range</v>
      </c>
      <c r="S78" s="26" t="str">
        <f>IF(OR(H78&lt;'Descriptive Statistics'!$J$17,H78&gt;'Descriptive Statistics'!$J$18),"Potential Outlier","Within Range")</f>
        <v>Within Range</v>
      </c>
    </row>
    <row r="79" hidden="1" spans="1:19">
      <c r="A79" t="s">
        <v>341</v>
      </c>
      <c r="B79" s="23">
        <v>45436</v>
      </c>
      <c r="C79" s="23" t="str">
        <f t="shared" si="2"/>
        <v>May</v>
      </c>
      <c r="D79" s="23" t="str">
        <f t="shared" si="3"/>
        <v>2024</v>
      </c>
      <c r="E79" t="s">
        <v>342</v>
      </c>
      <c r="F79" s="24" t="s">
        <v>25</v>
      </c>
      <c r="G79" s="17">
        <v>1</v>
      </c>
      <c r="H79" s="19">
        <v>583.18</v>
      </c>
      <c r="I79" t="s">
        <v>343</v>
      </c>
      <c r="J79" s="24" t="s">
        <v>34</v>
      </c>
      <c r="K79" s="24" t="s">
        <v>43</v>
      </c>
      <c r="L79" t="s">
        <v>344</v>
      </c>
      <c r="M79" s="17">
        <v>5</v>
      </c>
      <c r="N79" t="s">
        <v>4295</v>
      </c>
      <c r="O79" s="24" t="s">
        <v>76</v>
      </c>
      <c r="P79" s="19">
        <v>583.18</v>
      </c>
      <c r="Q79" s="26" t="str">
        <f>IF(OR(P79&lt;'Descriptive Statistics'!$H$17,P79&gt;'Descriptive Statistics'!$H$18),"Potential Outlier","Within Range")</f>
        <v>Within Range</v>
      </c>
      <c r="R79" s="26" t="str">
        <f>IF(OR(G79&lt;'Descriptive Statistics'!$I$17,G79&gt;'Descriptive Statistics'!$I$18),"Potential Outlier","Within Range")</f>
        <v>Within Range</v>
      </c>
      <c r="S79" s="26" t="str">
        <f>IF(OR(H79&lt;'Descriptive Statistics'!$J$17,H79&gt;'Descriptive Statistics'!$J$18),"Potential Outlier","Within Range")</f>
        <v>Within Range</v>
      </c>
    </row>
    <row r="80" hidden="1" spans="1:19">
      <c r="A80" t="s">
        <v>345</v>
      </c>
      <c r="B80" s="23">
        <v>45510</v>
      </c>
      <c r="C80" s="23" t="str">
        <f t="shared" si="2"/>
        <v>Aug</v>
      </c>
      <c r="D80" s="23" t="str">
        <f t="shared" si="3"/>
        <v>2024</v>
      </c>
      <c r="E80" t="s">
        <v>346</v>
      </c>
      <c r="F80" s="24" t="s">
        <v>48</v>
      </c>
      <c r="G80" s="17">
        <v>4</v>
      </c>
      <c r="H80" s="19">
        <v>175.36</v>
      </c>
      <c r="I80" t="s">
        <v>347</v>
      </c>
      <c r="J80" s="24" t="s">
        <v>18</v>
      </c>
      <c r="K80" s="24" t="s">
        <v>50</v>
      </c>
      <c r="L80" t="s">
        <v>348</v>
      </c>
      <c r="M80" s="17">
        <v>4</v>
      </c>
      <c r="N80" t="s">
        <v>37</v>
      </c>
      <c r="O80" s="24" t="s">
        <v>22</v>
      </c>
      <c r="P80" s="19">
        <v>701.44</v>
      </c>
      <c r="Q80" s="26" t="str">
        <f>IF(OR(P80&lt;'Descriptive Statistics'!$H$17,P80&gt;'Descriptive Statistics'!$H$18),"Potential Outlier","Within Range")</f>
        <v>Within Range</v>
      </c>
      <c r="R80" s="26" t="str">
        <f>IF(OR(G80&lt;'Descriptive Statistics'!$I$17,G80&gt;'Descriptive Statistics'!$I$18),"Potential Outlier","Within Range")</f>
        <v>Within Range</v>
      </c>
      <c r="S80" s="26" t="str">
        <f>IF(OR(H80&lt;'Descriptive Statistics'!$J$17,H80&gt;'Descriptive Statistics'!$J$18),"Potential Outlier","Within Range")</f>
        <v>Within Range</v>
      </c>
    </row>
    <row r="81" hidden="1" spans="1:19">
      <c r="A81" t="s">
        <v>349</v>
      </c>
      <c r="B81" s="23">
        <v>45726</v>
      </c>
      <c r="C81" s="23" t="str">
        <f t="shared" si="2"/>
        <v>Mar</v>
      </c>
      <c r="D81" s="23" t="str">
        <f t="shared" si="3"/>
        <v>2025</v>
      </c>
      <c r="E81" t="s">
        <v>350</v>
      </c>
      <c r="F81" s="24" t="s">
        <v>32</v>
      </c>
      <c r="G81" s="17">
        <v>2</v>
      </c>
      <c r="H81" s="19">
        <v>311.91</v>
      </c>
      <c r="I81" t="s">
        <v>351</v>
      </c>
      <c r="J81" s="24" t="s">
        <v>27</v>
      </c>
      <c r="K81" s="24" t="s">
        <v>19</v>
      </c>
      <c r="L81" t="s">
        <v>352</v>
      </c>
      <c r="M81" s="17">
        <v>2</v>
      </c>
      <c r="N81" t="s">
        <v>4295</v>
      </c>
      <c r="O81" s="24" t="s">
        <v>45</v>
      </c>
      <c r="P81" s="19">
        <v>623.82</v>
      </c>
      <c r="Q81" s="26" t="str">
        <f>IF(OR(P81&lt;'Descriptive Statistics'!$H$17,P81&gt;'Descriptive Statistics'!$H$18),"Potential Outlier","Within Range")</f>
        <v>Within Range</v>
      </c>
      <c r="R81" s="26" t="str">
        <f>IF(OR(G81&lt;'Descriptive Statistics'!$I$17,G81&gt;'Descriptive Statistics'!$I$18),"Potential Outlier","Within Range")</f>
        <v>Within Range</v>
      </c>
      <c r="S81" s="26" t="str">
        <f>IF(OR(H81&lt;'Descriptive Statistics'!$J$17,H81&gt;'Descriptive Statistics'!$J$18),"Potential Outlier","Within Range")</f>
        <v>Within Range</v>
      </c>
    </row>
    <row r="82" hidden="1" spans="1:19">
      <c r="A82" t="s">
        <v>353</v>
      </c>
      <c r="B82" s="23">
        <v>45104</v>
      </c>
      <c r="C82" s="23" t="str">
        <f t="shared" si="2"/>
        <v>Jun</v>
      </c>
      <c r="D82" s="23" t="str">
        <f t="shared" si="3"/>
        <v>2023</v>
      </c>
      <c r="E82" t="s">
        <v>354</v>
      </c>
      <c r="F82" s="24" t="s">
        <v>25</v>
      </c>
      <c r="G82" s="17">
        <v>3</v>
      </c>
      <c r="H82" s="19">
        <v>589.56</v>
      </c>
      <c r="I82" t="s">
        <v>355</v>
      </c>
      <c r="J82" s="24" t="s">
        <v>27</v>
      </c>
      <c r="K82" s="24" t="s">
        <v>43</v>
      </c>
      <c r="L82" t="s">
        <v>356</v>
      </c>
      <c r="M82" s="17">
        <v>6</v>
      </c>
      <c r="N82" t="s">
        <v>4295</v>
      </c>
      <c r="O82" s="24" t="s">
        <v>45</v>
      </c>
      <c r="P82" s="19">
        <v>1768.68</v>
      </c>
      <c r="Q82" s="26" t="str">
        <f>IF(OR(P82&lt;'Descriptive Statistics'!$H$17,P82&gt;'Descriptive Statistics'!$H$18),"Potential Outlier","Within Range")</f>
        <v>Within Range</v>
      </c>
      <c r="R82" s="26" t="str">
        <f>IF(OR(G82&lt;'Descriptive Statistics'!$I$17,G82&gt;'Descriptive Statistics'!$I$18),"Potential Outlier","Within Range")</f>
        <v>Within Range</v>
      </c>
      <c r="S82" s="26" t="str">
        <f>IF(OR(H82&lt;'Descriptive Statistics'!$J$17,H82&gt;'Descriptive Statistics'!$J$18),"Potential Outlier","Within Range")</f>
        <v>Within Range</v>
      </c>
    </row>
    <row r="83" hidden="1" spans="1:19">
      <c r="A83" t="s">
        <v>357</v>
      </c>
      <c r="B83" s="23">
        <v>45085</v>
      </c>
      <c r="C83" s="23" t="str">
        <f t="shared" si="2"/>
        <v>Jun</v>
      </c>
      <c r="D83" s="23" t="str">
        <f t="shared" si="3"/>
        <v>2023</v>
      </c>
      <c r="E83" t="s">
        <v>358</v>
      </c>
      <c r="F83" s="24" t="s">
        <v>16</v>
      </c>
      <c r="G83" s="17">
        <v>2</v>
      </c>
      <c r="H83" s="19">
        <v>394.3</v>
      </c>
      <c r="I83" t="s">
        <v>359</v>
      </c>
      <c r="J83" s="24" t="s">
        <v>65</v>
      </c>
      <c r="K83" s="24" t="s">
        <v>19</v>
      </c>
      <c r="L83" t="s">
        <v>360</v>
      </c>
      <c r="M83" s="17">
        <v>6</v>
      </c>
      <c r="N83" t="s">
        <v>37</v>
      </c>
      <c r="O83" s="24" t="s">
        <v>38</v>
      </c>
      <c r="P83" s="19">
        <v>788.6</v>
      </c>
      <c r="Q83" s="26" t="str">
        <f>IF(OR(P83&lt;'Descriptive Statistics'!$H$17,P83&gt;'Descriptive Statistics'!$H$18),"Potential Outlier","Within Range")</f>
        <v>Within Range</v>
      </c>
      <c r="R83" s="26" t="str">
        <f>IF(OR(G83&lt;'Descriptive Statistics'!$I$17,G83&gt;'Descriptive Statistics'!$I$18),"Potential Outlier","Within Range")</f>
        <v>Within Range</v>
      </c>
      <c r="S83" s="26" t="str">
        <f>IF(OR(H83&lt;'Descriptive Statistics'!$J$17,H83&gt;'Descriptive Statistics'!$J$18),"Potential Outlier","Within Range")</f>
        <v>Within Range</v>
      </c>
    </row>
    <row r="84" hidden="1" spans="1:19">
      <c r="A84" t="s">
        <v>361</v>
      </c>
      <c r="B84" s="23">
        <v>45296</v>
      </c>
      <c r="C84" s="23" t="str">
        <f t="shared" si="2"/>
        <v>Jan</v>
      </c>
      <c r="D84" s="23" t="str">
        <f t="shared" si="3"/>
        <v>2024</v>
      </c>
      <c r="E84" t="s">
        <v>362</v>
      </c>
      <c r="F84" s="24" t="s">
        <v>32</v>
      </c>
      <c r="G84" s="17">
        <v>4</v>
      </c>
      <c r="H84" s="19">
        <v>565.2</v>
      </c>
      <c r="I84" t="s">
        <v>363</v>
      </c>
      <c r="J84" s="24" t="s">
        <v>18</v>
      </c>
      <c r="K84" s="24" t="s">
        <v>19</v>
      </c>
      <c r="L84" t="s">
        <v>364</v>
      </c>
      <c r="M84" s="17">
        <v>9</v>
      </c>
      <c r="N84" t="s">
        <v>21</v>
      </c>
      <c r="O84" s="24" t="s">
        <v>76</v>
      </c>
      <c r="P84" s="19">
        <v>2260.8</v>
      </c>
      <c r="Q84" s="26" t="str">
        <f>IF(OR(P84&lt;'Descriptive Statistics'!$H$17,P84&gt;'Descriptive Statistics'!$H$18),"Potential Outlier","Within Range")</f>
        <v>Within Range</v>
      </c>
      <c r="R84" s="26" t="str">
        <f>IF(OR(G84&lt;'Descriptive Statistics'!$I$17,G84&gt;'Descriptive Statistics'!$I$18),"Potential Outlier","Within Range")</f>
        <v>Within Range</v>
      </c>
      <c r="S84" s="26" t="str">
        <f>IF(OR(H84&lt;'Descriptive Statistics'!$J$17,H84&gt;'Descriptive Statistics'!$J$18),"Potential Outlier","Within Range")</f>
        <v>Within Range</v>
      </c>
    </row>
    <row r="85" hidden="1" spans="1:19">
      <c r="A85" t="s">
        <v>365</v>
      </c>
      <c r="B85" s="23">
        <v>45160</v>
      </c>
      <c r="C85" s="23" t="str">
        <f t="shared" si="2"/>
        <v>Aug</v>
      </c>
      <c r="D85" s="23" t="str">
        <f t="shared" si="3"/>
        <v>2023</v>
      </c>
      <c r="E85" t="s">
        <v>366</v>
      </c>
      <c r="F85" s="24" t="s">
        <v>58</v>
      </c>
      <c r="G85" s="17">
        <v>4</v>
      </c>
      <c r="H85" s="19">
        <v>540.41</v>
      </c>
      <c r="I85" t="s">
        <v>367</v>
      </c>
      <c r="J85" s="24" t="s">
        <v>34</v>
      </c>
      <c r="K85" s="24" t="s">
        <v>35</v>
      </c>
      <c r="L85" t="s">
        <v>368</v>
      </c>
      <c r="M85" s="17">
        <v>6</v>
      </c>
      <c r="N85" t="s">
        <v>4295</v>
      </c>
      <c r="O85" s="24" t="s">
        <v>29</v>
      </c>
      <c r="P85" s="19">
        <v>2161.64</v>
      </c>
      <c r="Q85" s="26" t="str">
        <f>IF(OR(P85&lt;'Descriptive Statistics'!$H$17,P85&gt;'Descriptive Statistics'!$H$18),"Potential Outlier","Within Range")</f>
        <v>Within Range</v>
      </c>
      <c r="R85" s="26" t="str">
        <f>IF(OR(G85&lt;'Descriptive Statistics'!$I$17,G85&gt;'Descriptive Statistics'!$I$18),"Potential Outlier","Within Range")</f>
        <v>Within Range</v>
      </c>
      <c r="S85" s="26" t="str">
        <f>IF(OR(H85&lt;'Descriptive Statistics'!$J$17,H85&gt;'Descriptive Statistics'!$J$18),"Potential Outlier","Within Range")</f>
        <v>Within Range</v>
      </c>
    </row>
    <row r="86" hidden="1" spans="1:19">
      <c r="A86" t="s">
        <v>369</v>
      </c>
      <c r="B86" s="23">
        <v>45166</v>
      </c>
      <c r="C86" s="23" t="str">
        <f t="shared" si="2"/>
        <v>Aug</v>
      </c>
      <c r="D86" s="23" t="str">
        <f t="shared" si="3"/>
        <v>2023</v>
      </c>
      <c r="E86" t="s">
        <v>370</v>
      </c>
      <c r="F86" s="24" t="s">
        <v>16</v>
      </c>
      <c r="G86" s="17">
        <v>2</v>
      </c>
      <c r="H86" s="19">
        <v>165.49</v>
      </c>
      <c r="I86" t="s">
        <v>371</v>
      </c>
      <c r="J86" s="24" t="s">
        <v>27</v>
      </c>
      <c r="K86" s="24" t="s">
        <v>19</v>
      </c>
      <c r="L86" t="s">
        <v>372</v>
      </c>
      <c r="M86" s="17">
        <v>4</v>
      </c>
      <c r="N86" t="s">
        <v>81</v>
      </c>
      <c r="O86" s="24" t="s">
        <v>22</v>
      </c>
      <c r="P86" s="19">
        <v>330.98</v>
      </c>
      <c r="Q86" s="26" t="str">
        <f>IF(OR(P86&lt;'Descriptive Statistics'!$H$17,P86&gt;'Descriptive Statistics'!$H$18),"Potential Outlier","Within Range")</f>
        <v>Within Range</v>
      </c>
      <c r="R86" s="26" t="str">
        <f>IF(OR(G86&lt;'Descriptive Statistics'!$I$17,G86&gt;'Descriptive Statistics'!$I$18),"Potential Outlier","Within Range")</f>
        <v>Within Range</v>
      </c>
      <c r="S86" s="26" t="str">
        <f>IF(OR(H86&lt;'Descriptive Statistics'!$J$17,H86&gt;'Descriptive Statistics'!$J$18),"Potential Outlier","Within Range")</f>
        <v>Within Range</v>
      </c>
    </row>
    <row r="87" hidden="1" spans="1:19">
      <c r="A87" t="s">
        <v>373</v>
      </c>
      <c r="B87" s="23">
        <v>45544</v>
      </c>
      <c r="C87" s="23" t="str">
        <f t="shared" si="2"/>
        <v>Sep</v>
      </c>
      <c r="D87" s="23" t="str">
        <f t="shared" si="3"/>
        <v>2024</v>
      </c>
      <c r="E87" t="s">
        <v>374</v>
      </c>
      <c r="F87" s="24" t="s">
        <v>32</v>
      </c>
      <c r="G87" s="17">
        <v>3</v>
      </c>
      <c r="H87" s="19">
        <v>146.73</v>
      </c>
      <c r="I87" t="s">
        <v>375</v>
      </c>
      <c r="J87" s="24" t="s">
        <v>65</v>
      </c>
      <c r="K87" s="24" t="s">
        <v>50</v>
      </c>
      <c r="L87" t="s">
        <v>376</v>
      </c>
      <c r="M87" s="17">
        <v>8</v>
      </c>
      <c r="N87" t="s">
        <v>37</v>
      </c>
      <c r="O87" s="24" t="s">
        <v>38</v>
      </c>
      <c r="P87" s="19">
        <v>440.19</v>
      </c>
      <c r="Q87" s="26" t="str">
        <f>IF(OR(P87&lt;'Descriptive Statistics'!$H$17,P87&gt;'Descriptive Statistics'!$H$18),"Potential Outlier","Within Range")</f>
        <v>Within Range</v>
      </c>
      <c r="R87" s="26" t="str">
        <f>IF(OR(G87&lt;'Descriptive Statistics'!$I$17,G87&gt;'Descriptive Statistics'!$I$18),"Potential Outlier","Within Range")</f>
        <v>Within Range</v>
      </c>
      <c r="S87" s="26" t="str">
        <f>IF(OR(H87&lt;'Descriptive Statistics'!$J$17,H87&gt;'Descriptive Statistics'!$J$18),"Potential Outlier","Within Range")</f>
        <v>Within Range</v>
      </c>
    </row>
    <row r="88" hidden="1" spans="1:19">
      <c r="A88" t="s">
        <v>377</v>
      </c>
      <c r="B88" s="23">
        <v>45462</v>
      </c>
      <c r="C88" s="23" t="str">
        <f t="shared" si="2"/>
        <v>Jun</v>
      </c>
      <c r="D88" s="23" t="str">
        <f t="shared" si="3"/>
        <v>2024</v>
      </c>
      <c r="E88" t="s">
        <v>378</v>
      </c>
      <c r="F88" s="24" t="s">
        <v>48</v>
      </c>
      <c r="G88" s="17">
        <v>5</v>
      </c>
      <c r="H88" s="19">
        <v>643.03</v>
      </c>
      <c r="I88" t="s">
        <v>379</v>
      </c>
      <c r="J88" s="24" t="s">
        <v>27</v>
      </c>
      <c r="K88" s="24" t="s">
        <v>35</v>
      </c>
      <c r="L88" t="s">
        <v>380</v>
      </c>
      <c r="M88" s="17">
        <v>5</v>
      </c>
      <c r="N88" t="s">
        <v>37</v>
      </c>
      <c r="O88" s="24" t="s">
        <v>29</v>
      </c>
      <c r="P88" s="19">
        <v>3215.15</v>
      </c>
      <c r="Q88" s="26" t="str">
        <f>IF(OR(P88&lt;'Descriptive Statistics'!$H$17,P88&gt;'Descriptive Statistics'!$H$18),"Potential Outlier","Within Range")</f>
        <v>Within Range</v>
      </c>
      <c r="R88" s="26" t="str">
        <f>IF(OR(G88&lt;'Descriptive Statistics'!$I$17,G88&gt;'Descriptive Statistics'!$I$18),"Potential Outlier","Within Range")</f>
        <v>Within Range</v>
      </c>
      <c r="S88" s="26" t="str">
        <f>IF(OR(H88&lt;'Descriptive Statistics'!$J$17,H88&gt;'Descriptive Statistics'!$J$18),"Potential Outlier","Within Range")</f>
        <v>Within Range</v>
      </c>
    </row>
    <row r="89" hidden="1" spans="1:19">
      <c r="A89" t="s">
        <v>381</v>
      </c>
      <c r="B89" s="23">
        <v>45575</v>
      </c>
      <c r="C89" s="23" t="str">
        <f t="shared" si="2"/>
        <v>Oct</v>
      </c>
      <c r="D89" s="23" t="str">
        <f t="shared" si="3"/>
        <v>2024</v>
      </c>
      <c r="E89" t="s">
        <v>382</v>
      </c>
      <c r="F89" s="24" t="s">
        <v>32</v>
      </c>
      <c r="G89" s="17">
        <v>3</v>
      </c>
      <c r="H89" s="19">
        <v>225.11</v>
      </c>
      <c r="I89" t="s">
        <v>383</v>
      </c>
      <c r="J89" s="24" t="s">
        <v>65</v>
      </c>
      <c r="K89" s="24" t="s">
        <v>19</v>
      </c>
      <c r="L89" t="s">
        <v>384</v>
      </c>
      <c r="M89" s="17">
        <v>4</v>
      </c>
      <c r="N89" t="s">
        <v>21</v>
      </c>
      <c r="O89" s="24" t="s">
        <v>45</v>
      </c>
      <c r="P89" s="19">
        <v>675.33</v>
      </c>
      <c r="Q89" s="26" t="str">
        <f>IF(OR(P89&lt;'Descriptive Statistics'!$H$17,P89&gt;'Descriptive Statistics'!$H$18),"Potential Outlier","Within Range")</f>
        <v>Within Range</v>
      </c>
      <c r="R89" s="26" t="str">
        <f>IF(OR(G89&lt;'Descriptive Statistics'!$I$17,G89&gt;'Descriptive Statistics'!$I$18),"Potential Outlier","Within Range")</f>
        <v>Within Range</v>
      </c>
      <c r="S89" s="26" t="str">
        <f>IF(OR(H89&lt;'Descriptive Statistics'!$J$17,H89&gt;'Descriptive Statistics'!$J$18),"Potential Outlier","Within Range")</f>
        <v>Within Range</v>
      </c>
    </row>
    <row r="90" hidden="1" spans="1:19">
      <c r="A90" t="s">
        <v>385</v>
      </c>
      <c r="B90" s="23">
        <v>45813</v>
      </c>
      <c r="C90" s="23" t="str">
        <f t="shared" si="2"/>
        <v>Jun</v>
      </c>
      <c r="D90" s="23" t="str">
        <f t="shared" si="3"/>
        <v>2025</v>
      </c>
      <c r="E90" t="s">
        <v>386</v>
      </c>
      <c r="F90" s="24" t="s">
        <v>73</v>
      </c>
      <c r="G90" s="17">
        <v>3</v>
      </c>
      <c r="H90" s="19">
        <v>114.81</v>
      </c>
      <c r="I90" t="s">
        <v>387</v>
      </c>
      <c r="J90" s="24" t="s">
        <v>60</v>
      </c>
      <c r="K90" s="24" t="s">
        <v>35</v>
      </c>
      <c r="L90" t="s">
        <v>388</v>
      </c>
      <c r="M90" s="17">
        <v>7</v>
      </c>
      <c r="N90" t="s">
        <v>4295</v>
      </c>
      <c r="O90" s="24" t="s">
        <v>76</v>
      </c>
      <c r="P90" s="19">
        <v>344.43</v>
      </c>
      <c r="Q90" s="26" t="str">
        <f>IF(OR(P90&lt;'Descriptive Statistics'!$H$17,P90&gt;'Descriptive Statistics'!$H$18),"Potential Outlier","Within Range")</f>
        <v>Within Range</v>
      </c>
      <c r="R90" s="26" t="str">
        <f>IF(OR(G90&lt;'Descriptive Statistics'!$I$17,G90&gt;'Descriptive Statistics'!$I$18),"Potential Outlier","Within Range")</f>
        <v>Within Range</v>
      </c>
      <c r="S90" s="26" t="str">
        <f>IF(OR(H90&lt;'Descriptive Statistics'!$J$17,H90&gt;'Descriptive Statistics'!$J$18),"Potential Outlier","Within Range")</f>
        <v>Within Range</v>
      </c>
    </row>
    <row r="91" hidden="1" spans="1:19">
      <c r="A91" t="s">
        <v>389</v>
      </c>
      <c r="B91" s="23">
        <v>45713</v>
      </c>
      <c r="C91" s="23" t="str">
        <f t="shared" si="2"/>
        <v>Feb</v>
      </c>
      <c r="D91" s="23" t="str">
        <f t="shared" si="3"/>
        <v>2025</v>
      </c>
      <c r="E91" t="s">
        <v>390</v>
      </c>
      <c r="F91" s="24" t="s">
        <v>48</v>
      </c>
      <c r="G91" s="17">
        <v>5</v>
      </c>
      <c r="H91" s="19">
        <v>455.33</v>
      </c>
      <c r="I91" t="s">
        <v>391</v>
      </c>
      <c r="J91" s="24" t="s">
        <v>34</v>
      </c>
      <c r="K91" s="24" t="s">
        <v>35</v>
      </c>
      <c r="L91" t="s">
        <v>392</v>
      </c>
      <c r="M91" s="17">
        <v>8</v>
      </c>
      <c r="N91" t="s">
        <v>37</v>
      </c>
      <c r="O91" s="24" t="s">
        <v>76</v>
      </c>
      <c r="P91" s="19">
        <v>2276.65</v>
      </c>
      <c r="Q91" s="26" t="str">
        <f>IF(OR(P91&lt;'Descriptive Statistics'!$H$17,P91&gt;'Descriptive Statistics'!$H$18),"Potential Outlier","Within Range")</f>
        <v>Within Range</v>
      </c>
      <c r="R91" s="26" t="str">
        <f>IF(OR(G91&lt;'Descriptive Statistics'!$I$17,G91&gt;'Descriptive Statistics'!$I$18),"Potential Outlier","Within Range")</f>
        <v>Within Range</v>
      </c>
      <c r="S91" s="26" t="str">
        <f>IF(OR(H91&lt;'Descriptive Statistics'!$J$17,H91&gt;'Descriptive Statistics'!$J$18),"Potential Outlier","Within Range")</f>
        <v>Within Range</v>
      </c>
    </row>
    <row r="92" hidden="1" spans="1:19">
      <c r="A92" t="s">
        <v>393</v>
      </c>
      <c r="B92" s="23">
        <v>45187</v>
      </c>
      <c r="C92" s="23" t="str">
        <f t="shared" si="2"/>
        <v>Sep</v>
      </c>
      <c r="D92" s="23" t="str">
        <f t="shared" si="3"/>
        <v>2023</v>
      </c>
      <c r="E92" t="s">
        <v>394</v>
      </c>
      <c r="F92" s="24" t="s">
        <v>41</v>
      </c>
      <c r="G92" s="17">
        <v>4</v>
      </c>
      <c r="H92" s="19">
        <v>182.08</v>
      </c>
      <c r="I92" t="s">
        <v>395</v>
      </c>
      <c r="J92" s="24" t="s">
        <v>60</v>
      </c>
      <c r="K92" s="24" t="s">
        <v>50</v>
      </c>
      <c r="L92" t="s">
        <v>396</v>
      </c>
      <c r="M92" s="17">
        <v>4</v>
      </c>
      <c r="N92" t="s">
        <v>21</v>
      </c>
      <c r="O92" s="24" t="s">
        <v>38</v>
      </c>
      <c r="P92" s="19">
        <v>728.32</v>
      </c>
      <c r="Q92" s="26" t="str">
        <f>IF(OR(P92&lt;'Descriptive Statistics'!$H$17,P92&gt;'Descriptive Statistics'!$H$18),"Potential Outlier","Within Range")</f>
        <v>Within Range</v>
      </c>
      <c r="R92" s="26" t="str">
        <f>IF(OR(G92&lt;'Descriptive Statistics'!$I$17,G92&gt;'Descriptive Statistics'!$I$18),"Potential Outlier","Within Range")</f>
        <v>Within Range</v>
      </c>
      <c r="S92" s="26" t="str">
        <f>IF(OR(H92&lt;'Descriptive Statistics'!$J$17,H92&gt;'Descriptive Statistics'!$J$18),"Potential Outlier","Within Range")</f>
        <v>Within Range</v>
      </c>
    </row>
    <row r="93" hidden="1" spans="1:19">
      <c r="A93" t="s">
        <v>397</v>
      </c>
      <c r="B93" s="23">
        <v>45000</v>
      </c>
      <c r="C93" s="23" t="str">
        <f t="shared" si="2"/>
        <v>Mar</v>
      </c>
      <c r="D93" s="23" t="str">
        <f t="shared" si="3"/>
        <v>2023</v>
      </c>
      <c r="E93" t="s">
        <v>398</v>
      </c>
      <c r="F93" s="24" t="s">
        <v>58</v>
      </c>
      <c r="G93" s="17">
        <v>5</v>
      </c>
      <c r="H93" s="19">
        <v>492.75</v>
      </c>
      <c r="I93" t="s">
        <v>399</v>
      </c>
      <c r="J93" s="24" t="s">
        <v>65</v>
      </c>
      <c r="K93" s="24" t="s">
        <v>19</v>
      </c>
      <c r="L93" t="s">
        <v>400</v>
      </c>
      <c r="M93" s="17">
        <v>6</v>
      </c>
      <c r="N93" t="s">
        <v>81</v>
      </c>
      <c r="O93" s="24" t="s">
        <v>29</v>
      </c>
      <c r="P93" s="19">
        <v>2463.75</v>
      </c>
      <c r="Q93" s="26" t="str">
        <f>IF(OR(P93&lt;'Descriptive Statistics'!$H$17,P93&gt;'Descriptive Statistics'!$H$18),"Potential Outlier","Within Range")</f>
        <v>Within Range</v>
      </c>
      <c r="R93" s="26" t="str">
        <f>IF(OR(G93&lt;'Descriptive Statistics'!$I$17,G93&gt;'Descriptive Statistics'!$I$18),"Potential Outlier","Within Range")</f>
        <v>Within Range</v>
      </c>
      <c r="S93" s="26" t="str">
        <f>IF(OR(H93&lt;'Descriptive Statistics'!$J$17,H93&gt;'Descriptive Statistics'!$J$18),"Potential Outlier","Within Range")</f>
        <v>Within Range</v>
      </c>
    </row>
    <row r="94" hidden="1" spans="1:19">
      <c r="A94" t="s">
        <v>401</v>
      </c>
      <c r="B94" s="23">
        <v>45453</v>
      </c>
      <c r="C94" s="23" t="str">
        <f t="shared" si="2"/>
        <v>Jun</v>
      </c>
      <c r="D94" s="23" t="str">
        <f t="shared" si="3"/>
        <v>2024</v>
      </c>
      <c r="E94" t="s">
        <v>402</v>
      </c>
      <c r="F94" s="24" t="s">
        <v>48</v>
      </c>
      <c r="G94" s="17">
        <v>4</v>
      </c>
      <c r="H94" s="19">
        <v>48.61</v>
      </c>
      <c r="I94" t="s">
        <v>403</v>
      </c>
      <c r="J94" s="24" t="s">
        <v>27</v>
      </c>
      <c r="K94" s="24" t="s">
        <v>19</v>
      </c>
      <c r="L94" t="s">
        <v>404</v>
      </c>
      <c r="M94" s="17">
        <v>7</v>
      </c>
      <c r="N94" t="s">
        <v>37</v>
      </c>
      <c r="O94" s="24" t="s">
        <v>45</v>
      </c>
      <c r="P94" s="19">
        <v>194.44</v>
      </c>
      <c r="Q94" s="26" t="str">
        <f>IF(OR(P94&lt;'Descriptive Statistics'!$H$17,P94&gt;'Descriptive Statistics'!$H$18),"Potential Outlier","Within Range")</f>
        <v>Within Range</v>
      </c>
      <c r="R94" s="26" t="str">
        <f>IF(OR(G94&lt;'Descriptive Statistics'!$I$17,G94&gt;'Descriptive Statistics'!$I$18),"Potential Outlier","Within Range")</f>
        <v>Within Range</v>
      </c>
      <c r="S94" s="26" t="str">
        <f>IF(OR(H94&lt;'Descriptive Statistics'!$J$17,H94&gt;'Descriptive Statistics'!$J$18),"Potential Outlier","Within Range")</f>
        <v>Within Range</v>
      </c>
    </row>
    <row r="95" hidden="1" spans="1:19">
      <c r="A95" t="s">
        <v>405</v>
      </c>
      <c r="B95" s="23">
        <v>44940</v>
      </c>
      <c r="C95" s="23" t="str">
        <f t="shared" si="2"/>
        <v>Jan</v>
      </c>
      <c r="D95" s="23" t="str">
        <f t="shared" si="3"/>
        <v>2023</v>
      </c>
      <c r="E95" t="s">
        <v>406</v>
      </c>
      <c r="F95" s="24" t="s">
        <v>73</v>
      </c>
      <c r="G95" s="17">
        <v>4</v>
      </c>
      <c r="H95" s="19">
        <v>431.01</v>
      </c>
      <c r="I95" t="s">
        <v>407</v>
      </c>
      <c r="J95" s="24" t="s">
        <v>34</v>
      </c>
      <c r="K95" s="24" t="s">
        <v>43</v>
      </c>
      <c r="L95" t="s">
        <v>408</v>
      </c>
      <c r="M95" s="17">
        <v>7</v>
      </c>
      <c r="N95" t="s">
        <v>4295</v>
      </c>
      <c r="O95" s="24" t="s">
        <v>29</v>
      </c>
      <c r="P95" s="19">
        <v>1724.04</v>
      </c>
      <c r="Q95" s="26" t="str">
        <f>IF(OR(P95&lt;'Descriptive Statistics'!$H$17,P95&gt;'Descriptive Statistics'!$H$18),"Potential Outlier","Within Range")</f>
        <v>Within Range</v>
      </c>
      <c r="R95" s="26" t="str">
        <f>IF(OR(G95&lt;'Descriptive Statistics'!$I$17,G95&gt;'Descriptive Statistics'!$I$18),"Potential Outlier","Within Range")</f>
        <v>Within Range</v>
      </c>
      <c r="S95" s="26" t="str">
        <f>IF(OR(H95&lt;'Descriptive Statistics'!$J$17,H95&gt;'Descriptive Statistics'!$J$18),"Potential Outlier","Within Range")</f>
        <v>Within Range</v>
      </c>
    </row>
    <row r="96" hidden="1" spans="1:19">
      <c r="A96" t="s">
        <v>409</v>
      </c>
      <c r="B96" s="23">
        <v>44968</v>
      </c>
      <c r="C96" s="23" t="str">
        <f t="shared" si="2"/>
        <v>Feb</v>
      </c>
      <c r="D96" s="23" t="str">
        <f t="shared" si="3"/>
        <v>2023</v>
      </c>
      <c r="E96" t="s">
        <v>410</v>
      </c>
      <c r="F96" s="24" t="s">
        <v>41</v>
      </c>
      <c r="G96" s="17">
        <v>1</v>
      </c>
      <c r="H96" s="19">
        <v>531.18</v>
      </c>
      <c r="I96" t="s">
        <v>411</v>
      </c>
      <c r="J96" s="24" t="s">
        <v>60</v>
      </c>
      <c r="K96" s="24" t="s">
        <v>43</v>
      </c>
      <c r="L96" t="s">
        <v>412</v>
      </c>
      <c r="M96" s="17">
        <v>6</v>
      </c>
      <c r="N96" t="s">
        <v>81</v>
      </c>
      <c r="O96" s="24" t="s">
        <v>22</v>
      </c>
      <c r="P96" s="19">
        <v>531.18</v>
      </c>
      <c r="Q96" s="26" t="str">
        <f>IF(OR(P96&lt;'Descriptive Statistics'!$H$17,P96&gt;'Descriptive Statistics'!$H$18),"Potential Outlier","Within Range")</f>
        <v>Within Range</v>
      </c>
      <c r="R96" s="26" t="str">
        <f>IF(OR(G96&lt;'Descriptive Statistics'!$I$17,G96&gt;'Descriptive Statistics'!$I$18),"Potential Outlier","Within Range")</f>
        <v>Within Range</v>
      </c>
      <c r="S96" s="26" t="str">
        <f>IF(OR(H96&lt;'Descriptive Statistics'!$J$17,H96&gt;'Descriptive Statistics'!$J$18),"Potential Outlier","Within Range")</f>
        <v>Within Range</v>
      </c>
    </row>
    <row r="97" hidden="1" spans="1:19">
      <c r="A97" t="s">
        <v>413</v>
      </c>
      <c r="B97" s="23">
        <v>45009</v>
      </c>
      <c r="C97" s="23" t="str">
        <f t="shared" si="2"/>
        <v>Mar</v>
      </c>
      <c r="D97" s="23" t="str">
        <f t="shared" si="3"/>
        <v>2023</v>
      </c>
      <c r="E97" t="s">
        <v>414</v>
      </c>
      <c r="F97" s="24" t="s">
        <v>48</v>
      </c>
      <c r="G97" s="17">
        <v>4</v>
      </c>
      <c r="H97" s="19">
        <v>117.51</v>
      </c>
      <c r="I97" t="s">
        <v>415</v>
      </c>
      <c r="J97" s="24" t="s">
        <v>18</v>
      </c>
      <c r="K97" s="24" t="s">
        <v>43</v>
      </c>
      <c r="L97" t="s">
        <v>416</v>
      </c>
      <c r="M97" s="17">
        <v>7</v>
      </c>
      <c r="N97" t="s">
        <v>4295</v>
      </c>
      <c r="O97" s="24" t="s">
        <v>29</v>
      </c>
      <c r="P97" s="19">
        <v>470.04</v>
      </c>
      <c r="Q97" s="26" t="str">
        <f>IF(OR(P97&lt;'Descriptive Statistics'!$H$17,P97&gt;'Descriptive Statistics'!$H$18),"Potential Outlier","Within Range")</f>
        <v>Within Range</v>
      </c>
      <c r="R97" s="26" t="str">
        <f>IF(OR(G97&lt;'Descriptive Statistics'!$I$17,G97&gt;'Descriptive Statistics'!$I$18),"Potential Outlier","Within Range")</f>
        <v>Within Range</v>
      </c>
      <c r="S97" s="26" t="str">
        <f>IF(OR(H97&lt;'Descriptive Statistics'!$J$17,H97&gt;'Descriptive Statistics'!$J$18),"Potential Outlier","Within Range")</f>
        <v>Within Range</v>
      </c>
    </row>
    <row r="98" hidden="1" spans="1:19">
      <c r="A98" t="s">
        <v>417</v>
      </c>
      <c r="B98" s="23">
        <v>45444</v>
      </c>
      <c r="C98" s="23" t="str">
        <f t="shared" si="2"/>
        <v>Jun</v>
      </c>
      <c r="D98" s="23" t="str">
        <f t="shared" si="3"/>
        <v>2024</v>
      </c>
      <c r="E98" t="s">
        <v>418</v>
      </c>
      <c r="F98" s="24" t="s">
        <v>25</v>
      </c>
      <c r="G98" s="17">
        <v>2</v>
      </c>
      <c r="H98" s="19">
        <v>232.83</v>
      </c>
      <c r="I98" t="s">
        <v>351</v>
      </c>
      <c r="J98" s="24" t="s">
        <v>60</v>
      </c>
      <c r="K98" s="24" t="s">
        <v>50</v>
      </c>
      <c r="L98" t="s">
        <v>419</v>
      </c>
      <c r="M98" s="17">
        <v>7</v>
      </c>
      <c r="N98" t="s">
        <v>4295</v>
      </c>
      <c r="O98" s="24" t="s">
        <v>22</v>
      </c>
      <c r="P98" s="19">
        <v>465.66</v>
      </c>
      <c r="Q98" s="26" t="str">
        <f>IF(OR(P98&lt;'Descriptive Statistics'!$H$17,P98&gt;'Descriptive Statistics'!$H$18),"Potential Outlier","Within Range")</f>
        <v>Within Range</v>
      </c>
      <c r="R98" s="26" t="str">
        <f>IF(OR(G98&lt;'Descriptive Statistics'!$I$17,G98&gt;'Descriptive Statistics'!$I$18),"Potential Outlier","Within Range")</f>
        <v>Within Range</v>
      </c>
      <c r="S98" s="26" t="str">
        <f>IF(OR(H98&lt;'Descriptive Statistics'!$J$17,H98&gt;'Descriptive Statistics'!$J$18),"Potential Outlier","Within Range")</f>
        <v>Within Range</v>
      </c>
    </row>
    <row r="99" hidden="1" spans="1:19">
      <c r="A99" t="s">
        <v>420</v>
      </c>
      <c r="B99" s="23">
        <v>45678</v>
      </c>
      <c r="C99" s="23" t="str">
        <f t="shared" si="2"/>
        <v>Jan</v>
      </c>
      <c r="D99" s="23" t="str">
        <f t="shared" si="3"/>
        <v>2025</v>
      </c>
      <c r="E99" t="s">
        <v>421</v>
      </c>
      <c r="F99" s="24" t="s">
        <v>32</v>
      </c>
      <c r="G99" s="17">
        <v>5</v>
      </c>
      <c r="H99" s="19">
        <v>619.52</v>
      </c>
      <c r="I99" t="s">
        <v>422</v>
      </c>
      <c r="J99" s="24" t="s">
        <v>18</v>
      </c>
      <c r="K99" s="24" t="s">
        <v>89</v>
      </c>
      <c r="L99" t="s">
        <v>423</v>
      </c>
      <c r="M99" s="17">
        <v>9</v>
      </c>
      <c r="N99" t="s">
        <v>4295</v>
      </c>
      <c r="O99" s="24" t="s">
        <v>38</v>
      </c>
      <c r="P99" s="19">
        <v>3097.6</v>
      </c>
      <c r="Q99" s="26" t="str">
        <f>IF(OR(P99&lt;'Descriptive Statistics'!$H$17,P99&gt;'Descriptive Statistics'!$H$18),"Potential Outlier","Within Range")</f>
        <v>Within Range</v>
      </c>
      <c r="R99" s="26" t="str">
        <f>IF(OR(G99&lt;'Descriptive Statistics'!$I$17,G99&gt;'Descriptive Statistics'!$I$18),"Potential Outlier","Within Range")</f>
        <v>Within Range</v>
      </c>
      <c r="S99" s="26" t="str">
        <f>IF(OR(H99&lt;'Descriptive Statistics'!$J$17,H99&gt;'Descriptive Statistics'!$J$18),"Potential Outlier","Within Range")</f>
        <v>Within Range</v>
      </c>
    </row>
    <row r="100" hidden="1" spans="1:19">
      <c r="A100" t="s">
        <v>424</v>
      </c>
      <c r="B100" s="23">
        <v>44940</v>
      </c>
      <c r="C100" s="23" t="str">
        <f t="shared" si="2"/>
        <v>Jan</v>
      </c>
      <c r="D100" s="23" t="str">
        <f t="shared" si="3"/>
        <v>2023</v>
      </c>
      <c r="E100" t="s">
        <v>425</v>
      </c>
      <c r="F100" s="24" t="s">
        <v>48</v>
      </c>
      <c r="G100" s="17">
        <v>2</v>
      </c>
      <c r="H100" s="19">
        <v>228.54</v>
      </c>
      <c r="I100" t="s">
        <v>426</v>
      </c>
      <c r="J100" s="24" t="s">
        <v>18</v>
      </c>
      <c r="K100" s="24" t="s">
        <v>89</v>
      </c>
      <c r="L100" t="s">
        <v>427</v>
      </c>
      <c r="M100" s="17">
        <v>3</v>
      </c>
      <c r="N100" t="s">
        <v>4295</v>
      </c>
      <c r="O100" s="24" t="s">
        <v>38</v>
      </c>
      <c r="P100" s="19">
        <v>457.08</v>
      </c>
      <c r="Q100" s="26" t="str">
        <f>IF(OR(P100&lt;'Descriptive Statistics'!$H$17,P100&gt;'Descriptive Statistics'!$H$18),"Potential Outlier","Within Range")</f>
        <v>Within Range</v>
      </c>
      <c r="R100" s="26" t="str">
        <f>IF(OR(G100&lt;'Descriptive Statistics'!$I$17,G100&gt;'Descriptive Statistics'!$I$18),"Potential Outlier","Within Range")</f>
        <v>Within Range</v>
      </c>
      <c r="S100" s="26" t="str">
        <f>IF(OR(H100&lt;'Descriptive Statistics'!$J$17,H100&gt;'Descriptive Statistics'!$J$18),"Potential Outlier","Within Range")</f>
        <v>Within Range</v>
      </c>
    </row>
    <row r="101" hidden="1" spans="1:19">
      <c r="A101" t="s">
        <v>428</v>
      </c>
      <c r="B101" s="23">
        <v>45759</v>
      </c>
      <c r="C101" s="23" t="str">
        <f t="shared" si="2"/>
        <v>Apr</v>
      </c>
      <c r="D101" s="23" t="str">
        <f t="shared" si="3"/>
        <v>2025</v>
      </c>
      <c r="E101" t="s">
        <v>429</v>
      </c>
      <c r="F101" s="24" t="s">
        <v>48</v>
      </c>
      <c r="G101" s="17">
        <v>1</v>
      </c>
      <c r="H101" s="19">
        <v>201.58</v>
      </c>
      <c r="I101" t="s">
        <v>430</v>
      </c>
      <c r="J101" s="24" t="s">
        <v>18</v>
      </c>
      <c r="K101" s="24" t="s">
        <v>35</v>
      </c>
      <c r="L101" t="s">
        <v>431</v>
      </c>
      <c r="M101" s="17">
        <v>2</v>
      </c>
      <c r="N101" t="s">
        <v>81</v>
      </c>
      <c r="O101" s="24" t="s">
        <v>38</v>
      </c>
      <c r="P101" s="19">
        <v>201.58</v>
      </c>
      <c r="Q101" s="26" t="str">
        <f>IF(OR(P101&lt;'Descriptive Statistics'!$H$17,P101&gt;'Descriptive Statistics'!$H$18),"Potential Outlier","Within Range")</f>
        <v>Within Range</v>
      </c>
      <c r="R101" s="26" t="str">
        <f>IF(OR(G101&lt;'Descriptive Statistics'!$I$17,G101&gt;'Descriptive Statistics'!$I$18),"Potential Outlier","Within Range")</f>
        <v>Within Range</v>
      </c>
      <c r="S101" s="26" t="str">
        <f>IF(OR(H101&lt;'Descriptive Statistics'!$J$17,H101&gt;'Descriptive Statistics'!$J$18),"Potential Outlier","Within Range")</f>
        <v>Within Range</v>
      </c>
    </row>
    <row r="102" hidden="1" spans="1:19">
      <c r="A102" t="s">
        <v>432</v>
      </c>
      <c r="B102" s="23">
        <v>44974</v>
      </c>
      <c r="C102" s="23" t="str">
        <f t="shared" si="2"/>
        <v>Feb</v>
      </c>
      <c r="D102" s="23" t="str">
        <f t="shared" si="3"/>
        <v>2023</v>
      </c>
      <c r="E102" t="s">
        <v>433</v>
      </c>
      <c r="F102" s="24" t="s">
        <v>25</v>
      </c>
      <c r="G102" s="17">
        <v>3</v>
      </c>
      <c r="H102" s="19">
        <v>664.79</v>
      </c>
      <c r="I102" t="s">
        <v>434</v>
      </c>
      <c r="J102" s="24" t="s">
        <v>27</v>
      </c>
      <c r="K102" s="24" t="s">
        <v>50</v>
      </c>
      <c r="L102" t="s">
        <v>435</v>
      </c>
      <c r="M102" s="17">
        <v>6</v>
      </c>
      <c r="N102" t="s">
        <v>4295</v>
      </c>
      <c r="O102" s="24" t="s">
        <v>45</v>
      </c>
      <c r="P102" s="19">
        <v>1994.37</v>
      </c>
      <c r="Q102" s="26" t="str">
        <f>IF(OR(P102&lt;'Descriptive Statistics'!$H$17,P102&gt;'Descriptive Statistics'!$H$18),"Potential Outlier","Within Range")</f>
        <v>Within Range</v>
      </c>
      <c r="R102" s="26" t="str">
        <f>IF(OR(G102&lt;'Descriptive Statistics'!$I$17,G102&gt;'Descriptive Statistics'!$I$18),"Potential Outlier","Within Range")</f>
        <v>Within Range</v>
      </c>
      <c r="S102" s="26" t="str">
        <f>IF(OR(H102&lt;'Descriptive Statistics'!$J$17,H102&gt;'Descriptive Statistics'!$J$18),"Potential Outlier","Within Range")</f>
        <v>Within Range</v>
      </c>
    </row>
    <row r="103" hidden="1" spans="1:19">
      <c r="A103" t="s">
        <v>436</v>
      </c>
      <c r="B103" s="23">
        <v>45255</v>
      </c>
      <c r="C103" s="23" t="str">
        <f t="shared" si="2"/>
        <v>Nov</v>
      </c>
      <c r="D103" s="23" t="str">
        <f t="shared" si="3"/>
        <v>2023</v>
      </c>
      <c r="E103" t="s">
        <v>437</v>
      </c>
      <c r="F103" s="24" t="s">
        <v>48</v>
      </c>
      <c r="G103" s="17">
        <v>1</v>
      </c>
      <c r="H103" s="19">
        <v>381.02</v>
      </c>
      <c r="I103" t="s">
        <v>438</v>
      </c>
      <c r="J103" s="24" t="s">
        <v>65</v>
      </c>
      <c r="K103" s="24" t="s">
        <v>19</v>
      </c>
      <c r="L103" t="s">
        <v>439</v>
      </c>
      <c r="M103" s="17">
        <v>6</v>
      </c>
      <c r="N103" t="s">
        <v>4295</v>
      </c>
      <c r="O103" s="24" t="s">
        <v>76</v>
      </c>
      <c r="P103" s="19">
        <v>381.02</v>
      </c>
      <c r="Q103" s="26" t="str">
        <f>IF(OR(P103&lt;'Descriptive Statistics'!$H$17,P103&gt;'Descriptive Statistics'!$H$18),"Potential Outlier","Within Range")</f>
        <v>Within Range</v>
      </c>
      <c r="R103" s="26" t="str">
        <f>IF(OR(G103&lt;'Descriptive Statistics'!$I$17,G103&gt;'Descriptive Statistics'!$I$18),"Potential Outlier","Within Range")</f>
        <v>Within Range</v>
      </c>
      <c r="S103" s="26" t="str">
        <f>IF(OR(H103&lt;'Descriptive Statistics'!$J$17,H103&gt;'Descriptive Statistics'!$J$18),"Potential Outlier","Within Range")</f>
        <v>Within Range</v>
      </c>
    </row>
    <row r="104" hidden="1" spans="1:19">
      <c r="A104" t="s">
        <v>440</v>
      </c>
      <c r="B104" s="23">
        <v>44993</v>
      </c>
      <c r="C104" s="23" t="str">
        <f t="shared" si="2"/>
        <v>Mar</v>
      </c>
      <c r="D104" s="23" t="str">
        <f t="shared" si="3"/>
        <v>2023</v>
      </c>
      <c r="E104" t="s">
        <v>441</v>
      </c>
      <c r="F104" s="24" t="s">
        <v>58</v>
      </c>
      <c r="G104" s="17">
        <v>2</v>
      </c>
      <c r="H104" s="19">
        <v>70.34</v>
      </c>
      <c r="I104" t="s">
        <v>442</v>
      </c>
      <c r="J104" s="24" t="s">
        <v>60</v>
      </c>
      <c r="K104" s="24" t="s">
        <v>35</v>
      </c>
      <c r="L104" t="s">
        <v>443</v>
      </c>
      <c r="M104" s="17">
        <v>3</v>
      </c>
      <c r="N104" t="s">
        <v>37</v>
      </c>
      <c r="O104" s="24" t="s">
        <v>38</v>
      </c>
      <c r="P104" s="19">
        <v>140.68</v>
      </c>
      <c r="Q104" s="26" t="str">
        <f>IF(OR(P104&lt;'Descriptive Statistics'!$H$17,P104&gt;'Descriptive Statistics'!$H$18),"Potential Outlier","Within Range")</f>
        <v>Within Range</v>
      </c>
      <c r="R104" s="26" t="str">
        <f>IF(OR(G104&lt;'Descriptive Statistics'!$I$17,G104&gt;'Descriptive Statistics'!$I$18),"Potential Outlier","Within Range")</f>
        <v>Within Range</v>
      </c>
      <c r="S104" s="26" t="str">
        <f>IF(OR(H104&lt;'Descriptive Statistics'!$J$17,H104&gt;'Descriptive Statistics'!$J$18),"Potential Outlier","Within Range")</f>
        <v>Within Range</v>
      </c>
    </row>
    <row r="105" hidden="1" spans="1:19">
      <c r="A105" t="s">
        <v>444</v>
      </c>
      <c r="B105" s="23">
        <v>45682</v>
      </c>
      <c r="C105" s="23" t="str">
        <f t="shared" si="2"/>
        <v>Jan</v>
      </c>
      <c r="D105" s="23" t="str">
        <f t="shared" si="3"/>
        <v>2025</v>
      </c>
      <c r="E105" t="s">
        <v>445</v>
      </c>
      <c r="F105" s="24" t="s">
        <v>25</v>
      </c>
      <c r="G105" s="17">
        <v>4</v>
      </c>
      <c r="H105" s="19">
        <v>218.43</v>
      </c>
      <c r="I105" t="s">
        <v>446</v>
      </c>
      <c r="J105" s="24" t="s">
        <v>34</v>
      </c>
      <c r="K105" s="24" t="s">
        <v>35</v>
      </c>
      <c r="L105" t="s">
        <v>447</v>
      </c>
      <c r="M105" s="17">
        <v>9</v>
      </c>
      <c r="N105" t="s">
        <v>21</v>
      </c>
      <c r="O105" s="24" t="s">
        <v>38</v>
      </c>
      <c r="P105" s="19">
        <v>873.72</v>
      </c>
      <c r="Q105" s="26" t="str">
        <f>IF(OR(P105&lt;'Descriptive Statistics'!$H$17,P105&gt;'Descriptive Statistics'!$H$18),"Potential Outlier","Within Range")</f>
        <v>Within Range</v>
      </c>
      <c r="R105" s="26" t="str">
        <f>IF(OR(G105&lt;'Descriptive Statistics'!$I$17,G105&gt;'Descriptive Statistics'!$I$18),"Potential Outlier","Within Range")</f>
        <v>Within Range</v>
      </c>
      <c r="S105" s="26" t="str">
        <f>IF(OR(H105&lt;'Descriptive Statistics'!$J$17,H105&gt;'Descriptive Statistics'!$J$18),"Potential Outlier","Within Range")</f>
        <v>Within Range</v>
      </c>
    </row>
    <row r="106" hidden="1" spans="1:19">
      <c r="A106" t="s">
        <v>448</v>
      </c>
      <c r="B106" s="23">
        <v>45503</v>
      </c>
      <c r="C106" s="23" t="str">
        <f t="shared" si="2"/>
        <v>Jul</v>
      </c>
      <c r="D106" s="23" t="str">
        <f t="shared" si="3"/>
        <v>2024</v>
      </c>
      <c r="E106" t="s">
        <v>449</v>
      </c>
      <c r="F106" s="24" t="s">
        <v>25</v>
      </c>
      <c r="G106" s="17">
        <v>1</v>
      </c>
      <c r="H106" s="19">
        <v>582.04</v>
      </c>
      <c r="I106" t="s">
        <v>450</v>
      </c>
      <c r="J106" s="24" t="s">
        <v>60</v>
      </c>
      <c r="K106" s="24" t="s">
        <v>50</v>
      </c>
      <c r="L106" t="s">
        <v>451</v>
      </c>
      <c r="M106" s="17">
        <v>1</v>
      </c>
      <c r="N106" t="s">
        <v>37</v>
      </c>
      <c r="O106" s="24" t="s">
        <v>38</v>
      </c>
      <c r="P106" s="19">
        <v>582.04</v>
      </c>
      <c r="Q106" s="26" t="str">
        <f>IF(OR(P106&lt;'Descriptive Statistics'!$H$17,P106&gt;'Descriptive Statistics'!$H$18),"Potential Outlier","Within Range")</f>
        <v>Within Range</v>
      </c>
      <c r="R106" s="26" t="str">
        <f>IF(OR(G106&lt;'Descriptive Statistics'!$I$17,G106&gt;'Descriptive Statistics'!$I$18),"Potential Outlier","Within Range")</f>
        <v>Within Range</v>
      </c>
      <c r="S106" s="26" t="str">
        <f>IF(OR(H106&lt;'Descriptive Statistics'!$J$17,H106&gt;'Descriptive Statistics'!$J$18),"Potential Outlier","Within Range")</f>
        <v>Within Range</v>
      </c>
    </row>
    <row r="107" hidden="1" spans="1:19">
      <c r="A107" t="s">
        <v>452</v>
      </c>
      <c r="B107" s="23">
        <v>45589</v>
      </c>
      <c r="C107" s="23" t="str">
        <f t="shared" si="2"/>
        <v>Oct</v>
      </c>
      <c r="D107" s="23" t="str">
        <f t="shared" si="3"/>
        <v>2024</v>
      </c>
      <c r="E107" t="s">
        <v>453</v>
      </c>
      <c r="F107" s="24" t="s">
        <v>48</v>
      </c>
      <c r="G107" s="17">
        <v>3</v>
      </c>
      <c r="H107" s="19">
        <v>185.4</v>
      </c>
      <c r="I107" t="s">
        <v>454</v>
      </c>
      <c r="J107" s="24" t="s">
        <v>60</v>
      </c>
      <c r="K107" s="24" t="s">
        <v>35</v>
      </c>
      <c r="L107" t="s">
        <v>455</v>
      </c>
      <c r="M107" s="17">
        <v>7</v>
      </c>
      <c r="N107" t="s">
        <v>4295</v>
      </c>
      <c r="O107" s="24" t="s">
        <v>45</v>
      </c>
      <c r="P107" s="19">
        <v>556.2</v>
      </c>
      <c r="Q107" s="26" t="str">
        <f>IF(OR(P107&lt;'Descriptive Statistics'!$H$17,P107&gt;'Descriptive Statistics'!$H$18),"Potential Outlier","Within Range")</f>
        <v>Within Range</v>
      </c>
      <c r="R107" s="26" t="str">
        <f>IF(OR(G107&lt;'Descriptive Statistics'!$I$17,G107&gt;'Descriptive Statistics'!$I$18),"Potential Outlier","Within Range")</f>
        <v>Within Range</v>
      </c>
      <c r="S107" s="26" t="str">
        <f>IF(OR(H107&lt;'Descriptive Statistics'!$J$17,H107&gt;'Descriptive Statistics'!$J$18),"Potential Outlier","Within Range")</f>
        <v>Within Range</v>
      </c>
    </row>
    <row r="108" hidden="1" spans="1:19">
      <c r="A108" t="s">
        <v>456</v>
      </c>
      <c r="B108" s="23">
        <v>45177</v>
      </c>
      <c r="C108" s="23" t="str">
        <f t="shared" si="2"/>
        <v>Sep</v>
      </c>
      <c r="D108" s="23" t="str">
        <f t="shared" si="3"/>
        <v>2023</v>
      </c>
      <c r="E108" t="s">
        <v>457</v>
      </c>
      <c r="F108" s="24" t="s">
        <v>73</v>
      </c>
      <c r="G108" s="17">
        <v>3</v>
      </c>
      <c r="H108" s="19">
        <v>465.05</v>
      </c>
      <c r="I108" t="s">
        <v>458</v>
      </c>
      <c r="J108" s="24" t="s">
        <v>34</v>
      </c>
      <c r="K108" s="24" t="s">
        <v>35</v>
      </c>
      <c r="L108" t="s">
        <v>459</v>
      </c>
      <c r="M108" s="17">
        <v>3</v>
      </c>
      <c r="N108" t="s">
        <v>21</v>
      </c>
      <c r="O108" s="24" t="s">
        <v>38</v>
      </c>
      <c r="P108" s="19">
        <v>1395.15</v>
      </c>
      <c r="Q108" s="26" t="str">
        <f>IF(OR(P108&lt;'Descriptive Statistics'!$H$17,P108&gt;'Descriptive Statistics'!$H$18),"Potential Outlier","Within Range")</f>
        <v>Within Range</v>
      </c>
      <c r="R108" s="26" t="str">
        <f>IF(OR(G108&lt;'Descriptive Statistics'!$I$17,G108&gt;'Descriptive Statistics'!$I$18),"Potential Outlier","Within Range")</f>
        <v>Within Range</v>
      </c>
      <c r="S108" s="26" t="str">
        <f>IF(OR(H108&lt;'Descriptive Statistics'!$J$17,H108&gt;'Descriptive Statistics'!$J$18),"Potential Outlier","Within Range")</f>
        <v>Within Range</v>
      </c>
    </row>
    <row r="109" spans="1:19">
      <c r="A109" t="s">
        <v>460</v>
      </c>
      <c r="B109" s="23">
        <v>45012</v>
      </c>
      <c r="C109" s="23" t="str">
        <f t="shared" si="2"/>
        <v>Mar</v>
      </c>
      <c r="D109" s="23" t="str">
        <f t="shared" si="3"/>
        <v>2023</v>
      </c>
      <c r="E109" t="s">
        <v>461</v>
      </c>
      <c r="F109" s="24" t="s">
        <v>48</v>
      </c>
      <c r="G109" s="17">
        <v>5</v>
      </c>
      <c r="H109" s="19">
        <v>670.75</v>
      </c>
      <c r="I109" t="s">
        <v>462</v>
      </c>
      <c r="J109" s="24" t="s">
        <v>60</v>
      </c>
      <c r="K109" s="24" t="s">
        <v>19</v>
      </c>
      <c r="L109" t="s">
        <v>463</v>
      </c>
      <c r="M109" s="17">
        <v>8</v>
      </c>
      <c r="N109" t="s">
        <v>37</v>
      </c>
      <c r="O109" s="24" t="s">
        <v>22</v>
      </c>
      <c r="P109" s="19">
        <v>3353.75</v>
      </c>
      <c r="Q109" s="26" t="str">
        <f>IF(OR(P109&lt;'Descriptive Statistics'!$H$17,P109&gt;'Descriptive Statistics'!$H$18),"Potential Outlier","Within Range")</f>
        <v>Potential Outlier</v>
      </c>
      <c r="R109" s="26" t="str">
        <f>IF(OR(G109&lt;'Descriptive Statistics'!$I$17,G109&gt;'Descriptive Statistics'!$I$18),"Potential Outlier","Within Range")</f>
        <v>Within Range</v>
      </c>
      <c r="S109" s="26" t="str">
        <f>IF(OR(H109&lt;'Descriptive Statistics'!$J$17,H109&gt;'Descriptive Statistics'!$J$18),"Potential Outlier","Within Range")</f>
        <v>Within Range</v>
      </c>
    </row>
    <row r="110" hidden="1" spans="1:19">
      <c r="A110" t="s">
        <v>464</v>
      </c>
      <c r="B110" s="23">
        <v>45654</v>
      </c>
      <c r="C110" s="23" t="str">
        <f t="shared" si="2"/>
        <v>Dec</v>
      </c>
      <c r="D110" s="23" t="str">
        <f t="shared" si="3"/>
        <v>2024</v>
      </c>
      <c r="E110" t="s">
        <v>465</v>
      </c>
      <c r="F110" s="24" t="s">
        <v>58</v>
      </c>
      <c r="G110" s="17">
        <v>5</v>
      </c>
      <c r="H110" s="19">
        <v>48.38</v>
      </c>
      <c r="I110" t="s">
        <v>466</v>
      </c>
      <c r="J110" s="24" t="s">
        <v>60</v>
      </c>
      <c r="K110" s="24" t="s">
        <v>50</v>
      </c>
      <c r="L110" t="s">
        <v>467</v>
      </c>
      <c r="M110" s="17">
        <v>9</v>
      </c>
      <c r="N110" t="s">
        <v>81</v>
      </c>
      <c r="O110" s="24" t="s">
        <v>38</v>
      </c>
      <c r="P110" s="19">
        <v>241.9</v>
      </c>
      <c r="Q110" s="26" t="str">
        <f>IF(OR(P110&lt;'Descriptive Statistics'!$H$17,P110&gt;'Descriptive Statistics'!$H$18),"Potential Outlier","Within Range")</f>
        <v>Within Range</v>
      </c>
      <c r="R110" s="26" t="str">
        <f>IF(OR(G110&lt;'Descriptive Statistics'!$I$17,G110&gt;'Descriptive Statistics'!$I$18),"Potential Outlier","Within Range")</f>
        <v>Within Range</v>
      </c>
      <c r="S110" s="26" t="str">
        <f>IF(OR(H110&lt;'Descriptive Statistics'!$J$17,H110&gt;'Descriptive Statistics'!$J$18),"Potential Outlier","Within Range")</f>
        <v>Within Range</v>
      </c>
    </row>
    <row r="111" hidden="1" spans="1:19">
      <c r="A111" t="s">
        <v>468</v>
      </c>
      <c r="B111" s="23">
        <v>45186</v>
      </c>
      <c r="C111" s="23" t="str">
        <f t="shared" si="2"/>
        <v>Sep</v>
      </c>
      <c r="D111" s="23" t="str">
        <f t="shared" si="3"/>
        <v>2023</v>
      </c>
      <c r="E111" t="s">
        <v>469</v>
      </c>
      <c r="F111" s="24" t="s">
        <v>73</v>
      </c>
      <c r="G111" s="17">
        <v>3</v>
      </c>
      <c r="H111" s="19">
        <v>592.87</v>
      </c>
      <c r="I111" t="s">
        <v>470</v>
      </c>
      <c r="J111" s="24" t="s">
        <v>60</v>
      </c>
      <c r="K111" s="24" t="s">
        <v>19</v>
      </c>
      <c r="L111" t="s">
        <v>471</v>
      </c>
      <c r="M111" s="17">
        <v>3</v>
      </c>
      <c r="N111" t="s">
        <v>37</v>
      </c>
      <c r="O111" s="24" t="s">
        <v>29</v>
      </c>
      <c r="P111" s="19">
        <v>1778.61</v>
      </c>
      <c r="Q111" s="26" t="str">
        <f>IF(OR(P111&lt;'Descriptive Statistics'!$H$17,P111&gt;'Descriptive Statistics'!$H$18),"Potential Outlier","Within Range")</f>
        <v>Within Range</v>
      </c>
      <c r="R111" s="26" t="str">
        <f>IF(OR(G111&lt;'Descriptive Statistics'!$I$17,G111&gt;'Descriptive Statistics'!$I$18),"Potential Outlier","Within Range")</f>
        <v>Within Range</v>
      </c>
      <c r="S111" s="26" t="str">
        <f>IF(OR(H111&lt;'Descriptive Statistics'!$J$17,H111&gt;'Descriptive Statistics'!$J$18),"Potential Outlier","Within Range")</f>
        <v>Within Range</v>
      </c>
    </row>
    <row r="112" hidden="1" spans="1:19">
      <c r="A112" t="s">
        <v>472</v>
      </c>
      <c r="B112" s="23">
        <v>45403</v>
      </c>
      <c r="C112" s="23" t="str">
        <f t="shared" si="2"/>
        <v>Apr</v>
      </c>
      <c r="D112" s="23" t="str">
        <f t="shared" si="3"/>
        <v>2024</v>
      </c>
      <c r="E112" t="s">
        <v>473</v>
      </c>
      <c r="F112" s="24" t="s">
        <v>32</v>
      </c>
      <c r="G112" s="17">
        <v>1</v>
      </c>
      <c r="H112" s="19">
        <v>220.77</v>
      </c>
      <c r="I112" t="s">
        <v>474</v>
      </c>
      <c r="J112" s="24" t="s">
        <v>60</v>
      </c>
      <c r="K112" s="24" t="s">
        <v>89</v>
      </c>
      <c r="L112" t="s">
        <v>475</v>
      </c>
      <c r="M112" s="17">
        <v>5</v>
      </c>
      <c r="N112" t="s">
        <v>37</v>
      </c>
      <c r="O112" s="24" t="s">
        <v>22</v>
      </c>
      <c r="P112" s="19">
        <v>220.77</v>
      </c>
      <c r="Q112" s="26" t="str">
        <f>IF(OR(P112&lt;'Descriptive Statistics'!$H$17,P112&gt;'Descriptive Statistics'!$H$18),"Potential Outlier","Within Range")</f>
        <v>Within Range</v>
      </c>
      <c r="R112" s="26" t="str">
        <f>IF(OR(G112&lt;'Descriptive Statistics'!$I$17,G112&gt;'Descriptive Statistics'!$I$18),"Potential Outlier","Within Range")</f>
        <v>Within Range</v>
      </c>
      <c r="S112" s="26" t="str">
        <f>IF(OR(H112&lt;'Descriptive Statistics'!$J$17,H112&gt;'Descriptive Statistics'!$J$18),"Potential Outlier","Within Range")</f>
        <v>Within Range</v>
      </c>
    </row>
    <row r="113" hidden="1" spans="1:19">
      <c r="A113" t="s">
        <v>476</v>
      </c>
      <c r="B113" s="23">
        <v>45784</v>
      </c>
      <c r="C113" s="23" t="str">
        <f t="shared" si="2"/>
        <v>May</v>
      </c>
      <c r="D113" s="23" t="str">
        <f t="shared" si="3"/>
        <v>2025</v>
      </c>
      <c r="E113" t="s">
        <v>477</v>
      </c>
      <c r="F113" s="24" t="s">
        <v>73</v>
      </c>
      <c r="G113" s="17">
        <v>3</v>
      </c>
      <c r="H113" s="19">
        <v>309.22</v>
      </c>
      <c r="I113" t="s">
        <v>478</v>
      </c>
      <c r="J113" s="24" t="s">
        <v>27</v>
      </c>
      <c r="K113" s="24" t="s">
        <v>35</v>
      </c>
      <c r="L113" t="s">
        <v>479</v>
      </c>
      <c r="M113" s="17">
        <v>7</v>
      </c>
      <c r="N113" t="s">
        <v>37</v>
      </c>
      <c r="O113" s="24" t="s">
        <v>76</v>
      </c>
      <c r="P113" s="19">
        <v>927.66</v>
      </c>
      <c r="Q113" s="26" t="str">
        <f>IF(OR(P113&lt;'Descriptive Statistics'!$H$17,P113&gt;'Descriptive Statistics'!$H$18),"Potential Outlier","Within Range")</f>
        <v>Within Range</v>
      </c>
      <c r="R113" s="26" t="str">
        <f>IF(OR(G113&lt;'Descriptive Statistics'!$I$17,G113&gt;'Descriptive Statistics'!$I$18),"Potential Outlier","Within Range")</f>
        <v>Within Range</v>
      </c>
      <c r="S113" s="26" t="str">
        <f>IF(OR(H113&lt;'Descriptive Statistics'!$J$17,H113&gt;'Descriptive Statistics'!$J$18),"Potential Outlier","Within Range")</f>
        <v>Within Range</v>
      </c>
    </row>
    <row r="114" hidden="1" spans="1:19">
      <c r="A114" t="s">
        <v>480</v>
      </c>
      <c r="B114" s="23">
        <v>44927</v>
      </c>
      <c r="C114" s="23" t="str">
        <f t="shared" si="2"/>
        <v>Jan</v>
      </c>
      <c r="D114" s="23" t="str">
        <f t="shared" si="3"/>
        <v>2023</v>
      </c>
      <c r="E114" t="s">
        <v>481</v>
      </c>
      <c r="F114" s="24" t="s">
        <v>16</v>
      </c>
      <c r="G114" s="17">
        <v>1</v>
      </c>
      <c r="H114" s="19">
        <v>410.6</v>
      </c>
      <c r="I114" t="s">
        <v>482</v>
      </c>
      <c r="J114" s="24" t="s">
        <v>27</v>
      </c>
      <c r="K114" s="24" t="s">
        <v>35</v>
      </c>
      <c r="L114" t="s">
        <v>483</v>
      </c>
      <c r="M114" s="17">
        <v>2</v>
      </c>
      <c r="N114" t="s">
        <v>81</v>
      </c>
      <c r="O114" s="24" t="s">
        <v>29</v>
      </c>
      <c r="P114" s="19">
        <v>410.6</v>
      </c>
      <c r="Q114" s="26" t="str">
        <f>IF(OR(P114&lt;'Descriptive Statistics'!$H$17,P114&gt;'Descriptive Statistics'!$H$18),"Potential Outlier","Within Range")</f>
        <v>Within Range</v>
      </c>
      <c r="R114" s="26" t="str">
        <f>IF(OR(G114&lt;'Descriptive Statistics'!$I$17,G114&gt;'Descriptive Statistics'!$I$18),"Potential Outlier","Within Range")</f>
        <v>Within Range</v>
      </c>
      <c r="S114" s="26" t="str">
        <f>IF(OR(H114&lt;'Descriptive Statistics'!$J$17,H114&gt;'Descriptive Statistics'!$J$18),"Potential Outlier","Within Range")</f>
        <v>Within Range</v>
      </c>
    </row>
    <row r="115" hidden="1" spans="1:19">
      <c r="A115" t="s">
        <v>484</v>
      </c>
      <c r="B115" s="23">
        <v>45308</v>
      </c>
      <c r="C115" s="23" t="str">
        <f t="shared" si="2"/>
        <v>Jan</v>
      </c>
      <c r="D115" s="23" t="str">
        <f t="shared" si="3"/>
        <v>2024</v>
      </c>
      <c r="E115" t="s">
        <v>485</v>
      </c>
      <c r="F115" s="24" t="s">
        <v>58</v>
      </c>
      <c r="G115" s="17">
        <v>5</v>
      </c>
      <c r="H115" s="19">
        <v>190.08</v>
      </c>
      <c r="I115" t="s">
        <v>486</v>
      </c>
      <c r="J115" s="24" t="s">
        <v>65</v>
      </c>
      <c r="K115" s="24" t="s">
        <v>19</v>
      </c>
      <c r="L115" t="s">
        <v>487</v>
      </c>
      <c r="M115" s="17">
        <v>9</v>
      </c>
      <c r="N115" t="s">
        <v>37</v>
      </c>
      <c r="O115" s="24" t="s">
        <v>22</v>
      </c>
      <c r="P115" s="19">
        <v>950.4</v>
      </c>
      <c r="Q115" s="26" t="str">
        <f>IF(OR(P115&lt;'Descriptive Statistics'!$H$17,P115&gt;'Descriptive Statistics'!$H$18),"Potential Outlier","Within Range")</f>
        <v>Within Range</v>
      </c>
      <c r="R115" s="26" t="str">
        <f>IF(OR(G115&lt;'Descriptive Statistics'!$I$17,G115&gt;'Descriptive Statistics'!$I$18),"Potential Outlier","Within Range")</f>
        <v>Within Range</v>
      </c>
      <c r="S115" s="26" t="str">
        <f>IF(OR(H115&lt;'Descriptive Statistics'!$J$17,H115&gt;'Descriptive Statistics'!$J$18),"Potential Outlier","Within Range")</f>
        <v>Within Range</v>
      </c>
    </row>
    <row r="116" hidden="1" spans="1:19">
      <c r="A116" t="s">
        <v>488</v>
      </c>
      <c r="B116" s="23">
        <v>45684</v>
      </c>
      <c r="C116" s="23" t="str">
        <f t="shared" si="2"/>
        <v>Jan</v>
      </c>
      <c r="D116" s="23" t="str">
        <f t="shared" si="3"/>
        <v>2025</v>
      </c>
      <c r="E116" t="s">
        <v>489</v>
      </c>
      <c r="F116" s="24" t="s">
        <v>16</v>
      </c>
      <c r="G116" s="17">
        <v>5</v>
      </c>
      <c r="H116" s="19">
        <v>498.48</v>
      </c>
      <c r="I116" t="s">
        <v>490</v>
      </c>
      <c r="J116" s="24" t="s">
        <v>27</v>
      </c>
      <c r="K116" s="24" t="s">
        <v>89</v>
      </c>
      <c r="L116" t="s">
        <v>491</v>
      </c>
      <c r="M116" s="17">
        <v>8</v>
      </c>
      <c r="N116" t="s">
        <v>21</v>
      </c>
      <c r="O116" s="24" t="s">
        <v>76</v>
      </c>
      <c r="P116" s="19">
        <v>2492.4</v>
      </c>
      <c r="Q116" s="26" t="str">
        <f>IF(OR(P116&lt;'Descriptive Statistics'!$H$17,P116&gt;'Descriptive Statistics'!$H$18),"Potential Outlier","Within Range")</f>
        <v>Within Range</v>
      </c>
      <c r="R116" s="26" t="str">
        <f>IF(OR(G116&lt;'Descriptive Statistics'!$I$17,G116&gt;'Descriptive Statistics'!$I$18),"Potential Outlier","Within Range")</f>
        <v>Within Range</v>
      </c>
      <c r="S116" s="26" t="str">
        <f>IF(OR(H116&lt;'Descriptive Statistics'!$J$17,H116&gt;'Descriptive Statistics'!$J$18),"Potential Outlier","Within Range")</f>
        <v>Within Range</v>
      </c>
    </row>
    <row r="117" hidden="1" spans="1:19">
      <c r="A117" t="s">
        <v>492</v>
      </c>
      <c r="B117" s="23">
        <v>45257</v>
      </c>
      <c r="C117" s="23" t="str">
        <f t="shared" si="2"/>
        <v>Nov</v>
      </c>
      <c r="D117" s="23" t="str">
        <f t="shared" si="3"/>
        <v>2023</v>
      </c>
      <c r="E117" t="s">
        <v>493</v>
      </c>
      <c r="F117" s="24" t="s">
        <v>25</v>
      </c>
      <c r="G117" s="17">
        <v>5</v>
      </c>
      <c r="H117" s="19">
        <v>374.99</v>
      </c>
      <c r="I117" t="s">
        <v>494</v>
      </c>
      <c r="J117" s="24" t="s">
        <v>27</v>
      </c>
      <c r="K117" s="24" t="s">
        <v>19</v>
      </c>
      <c r="L117" t="s">
        <v>495</v>
      </c>
      <c r="M117" s="17">
        <v>9</v>
      </c>
      <c r="N117" t="s">
        <v>21</v>
      </c>
      <c r="O117" s="24" t="s">
        <v>45</v>
      </c>
      <c r="P117" s="19">
        <v>1874.95</v>
      </c>
      <c r="Q117" s="26" t="str">
        <f>IF(OR(P117&lt;'Descriptive Statistics'!$H$17,P117&gt;'Descriptive Statistics'!$H$18),"Potential Outlier","Within Range")</f>
        <v>Within Range</v>
      </c>
      <c r="R117" s="26" t="str">
        <f>IF(OR(G117&lt;'Descriptive Statistics'!$I$17,G117&gt;'Descriptive Statistics'!$I$18),"Potential Outlier","Within Range")</f>
        <v>Within Range</v>
      </c>
      <c r="S117" s="26" t="str">
        <f>IF(OR(H117&lt;'Descriptive Statistics'!$J$17,H117&gt;'Descriptive Statistics'!$J$18),"Potential Outlier","Within Range")</f>
        <v>Within Range</v>
      </c>
    </row>
    <row r="118" hidden="1" spans="1:19">
      <c r="A118" t="s">
        <v>496</v>
      </c>
      <c r="B118" s="23">
        <v>45004</v>
      </c>
      <c r="C118" s="23" t="str">
        <f t="shared" si="2"/>
        <v>Mar</v>
      </c>
      <c r="D118" s="23" t="str">
        <f t="shared" si="3"/>
        <v>2023</v>
      </c>
      <c r="E118" t="s">
        <v>497</v>
      </c>
      <c r="F118" s="24" t="s">
        <v>48</v>
      </c>
      <c r="G118" s="17">
        <v>4</v>
      </c>
      <c r="H118" s="19">
        <v>291.35</v>
      </c>
      <c r="I118" t="s">
        <v>498</v>
      </c>
      <c r="J118" s="24" t="s">
        <v>34</v>
      </c>
      <c r="K118" s="24" t="s">
        <v>35</v>
      </c>
      <c r="L118" t="s">
        <v>499</v>
      </c>
      <c r="M118" s="17">
        <v>6</v>
      </c>
      <c r="N118" t="s">
        <v>81</v>
      </c>
      <c r="O118" s="24" t="s">
        <v>45</v>
      </c>
      <c r="P118" s="19">
        <v>1165.4</v>
      </c>
      <c r="Q118" s="26" t="str">
        <f>IF(OR(P118&lt;'Descriptive Statistics'!$H$17,P118&gt;'Descriptive Statistics'!$H$18),"Potential Outlier","Within Range")</f>
        <v>Within Range</v>
      </c>
      <c r="R118" s="26" t="str">
        <f>IF(OR(G118&lt;'Descriptive Statistics'!$I$17,G118&gt;'Descriptive Statistics'!$I$18),"Potential Outlier","Within Range")</f>
        <v>Within Range</v>
      </c>
      <c r="S118" s="26" t="str">
        <f>IF(OR(H118&lt;'Descriptive Statistics'!$J$17,H118&gt;'Descriptive Statistics'!$J$18),"Potential Outlier","Within Range")</f>
        <v>Within Range</v>
      </c>
    </row>
    <row r="119" hidden="1" spans="1:19">
      <c r="A119" t="s">
        <v>500</v>
      </c>
      <c r="B119" s="23">
        <v>44993</v>
      </c>
      <c r="C119" s="23" t="str">
        <f t="shared" si="2"/>
        <v>Mar</v>
      </c>
      <c r="D119" s="23" t="str">
        <f t="shared" si="3"/>
        <v>2023</v>
      </c>
      <c r="E119" t="s">
        <v>501</v>
      </c>
      <c r="F119" s="24" t="s">
        <v>32</v>
      </c>
      <c r="G119" s="17">
        <v>1</v>
      </c>
      <c r="H119" s="19">
        <v>535.5</v>
      </c>
      <c r="I119" t="s">
        <v>502</v>
      </c>
      <c r="J119" s="24" t="s">
        <v>60</v>
      </c>
      <c r="K119" s="24" t="s">
        <v>35</v>
      </c>
      <c r="L119" t="s">
        <v>503</v>
      </c>
      <c r="M119" s="17">
        <v>5</v>
      </c>
      <c r="N119" t="s">
        <v>81</v>
      </c>
      <c r="O119" s="24" t="s">
        <v>29</v>
      </c>
      <c r="P119" s="19">
        <v>535.5</v>
      </c>
      <c r="Q119" s="26" t="str">
        <f>IF(OR(P119&lt;'Descriptive Statistics'!$H$17,P119&gt;'Descriptive Statistics'!$H$18),"Potential Outlier","Within Range")</f>
        <v>Within Range</v>
      </c>
      <c r="R119" s="26" t="str">
        <f>IF(OR(G119&lt;'Descriptive Statistics'!$I$17,G119&gt;'Descriptive Statistics'!$I$18),"Potential Outlier","Within Range")</f>
        <v>Within Range</v>
      </c>
      <c r="S119" s="26" t="str">
        <f>IF(OR(H119&lt;'Descriptive Statistics'!$J$17,H119&gt;'Descriptive Statistics'!$J$18),"Potential Outlier","Within Range")</f>
        <v>Within Range</v>
      </c>
    </row>
    <row r="120" hidden="1" spans="1:19">
      <c r="A120" t="s">
        <v>504</v>
      </c>
      <c r="B120" s="23">
        <v>45208</v>
      </c>
      <c r="C120" s="23" t="str">
        <f t="shared" si="2"/>
        <v>Oct</v>
      </c>
      <c r="D120" s="23" t="str">
        <f t="shared" si="3"/>
        <v>2023</v>
      </c>
      <c r="E120" t="s">
        <v>505</v>
      </c>
      <c r="F120" s="24" t="s">
        <v>48</v>
      </c>
      <c r="G120" s="17">
        <v>5</v>
      </c>
      <c r="H120" s="19">
        <v>502.71</v>
      </c>
      <c r="I120" t="s">
        <v>506</v>
      </c>
      <c r="J120" s="24" t="s">
        <v>60</v>
      </c>
      <c r="K120" s="24" t="s">
        <v>19</v>
      </c>
      <c r="L120" t="s">
        <v>507</v>
      </c>
      <c r="M120" s="17">
        <v>7</v>
      </c>
      <c r="N120" t="s">
        <v>37</v>
      </c>
      <c r="O120" s="24" t="s">
        <v>76</v>
      </c>
      <c r="P120" s="19">
        <v>2513.55</v>
      </c>
      <c r="Q120" s="26" t="str">
        <f>IF(OR(P120&lt;'Descriptive Statistics'!$H$17,P120&gt;'Descriptive Statistics'!$H$18),"Potential Outlier","Within Range")</f>
        <v>Within Range</v>
      </c>
      <c r="R120" s="26" t="str">
        <f>IF(OR(G120&lt;'Descriptive Statistics'!$I$17,G120&gt;'Descriptive Statistics'!$I$18),"Potential Outlier","Within Range")</f>
        <v>Within Range</v>
      </c>
      <c r="S120" s="26" t="str">
        <f>IF(OR(H120&lt;'Descriptive Statistics'!$J$17,H120&gt;'Descriptive Statistics'!$J$18),"Potential Outlier","Within Range")</f>
        <v>Within Range</v>
      </c>
    </row>
    <row r="121" hidden="1" spans="1:19">
      <c r="A121" t="s">
        <v>508</v>
      </c>
      <c r="B121" s="23">
        <v>45819</v>
      </c>
      <c r="C121" s="23" t="str">
        <f t="shared" si="2"/>
        <v>Jun</v>
      </c>
      <c r="D121" s="23" t="str">
        <f t="shared" si="3"/>
        <v>2025</v>
      </c>
      <c r="E121" t="s">
        <v>509</v>
      </c>
      <c r="F121" s="24" t="s">
        <v>73</v>
      </c>
      <c r="G121" s="17">
        <v>2</v>
      </c>
      <c r="H121" s="19">
        <v>534.67</v>
      </c>
      <c r="I121" t="s">
        <v>510</v>
      </c>
      <c r="J121" s="24" t="s">
        <v>18</v>
      </c>
      <c r="K121" s="24" t="s">
        <v>19</v>
      </c>
      <c r="L121" t="s">
        <v>511</v>
      </c>
      <c r="M121" s="17">
        <v>7</v>
      </c>
      <c r="N121" t="s">
        <v>37</v>
      </c>
      <c r="O121" s="24" t="s">
        <v>29</v>
      </c>
      <c r="P121" s="19">
        <v>1069.34</v>
      </c>
      <c r="Q121" s="26" t="str">
        <f>IF(OR(P121&lt;'Descriptive Statistics'!$H$17,P121&gt;'Descriptive Statistics'!$H$18),"Potential Outlier","Within Range")</f>
        <v>Within Range</v>
      </c>
      <c r="R121" s="26" t="str">
        <f>IF(OR(G121&lt;'Descriptive Statistics'!$I$17,G121&gt;'Descriptive Statistics'!$I$18),"Potential Outlier","Within Range")</f>
        <v>Within Range</v>
      </c>
      <c r="S121" s="26" t="str">
        <f>IF(OR(H121&lt;'Descriptive Statistics'!$J$17,H121&gt;'Descriptive Statistics'!$J$18),"Potential Outlier","Within Range")</f>
        <v>Within Range</v>
      </c>
    </row>
    <row r="122" hidden="1" spans="1:19">
      <c r="A122" t="s">
        <v>512</v>
      </c>
      <c r="B122" s="23">
        <v>45027</v>
      </c>
      <c r="C122" s="23" t="str">
        <f t="shared" si="2"/>
        <v>Apr</v>
      </c>
      <c r="D122" s="23" t="str">
        <f t="shared" si="3"/>
        <v>2023</v>
      </c>
      <c r="E122" t="s">
        <v>513</v>
      </c>
      <c r="F122" s="24" t="s">
        <v>32</v>
      </c>
      <c r="G122" s="17">
        <v>4</v>
      </c>
      <c r="H122" s="19">
        <v>629.34</v>
      </c>
      <c r="I122" t="s">
        <v>59</v>
      </c>
      <c r="J122" s="24" t="s">
        <v>65</v>
      </c>
      <c r="K122" s="24" t="s">
        <v>35</v>
      </c>
      <c r="L122" t="s">
        <v>514</v>
      </c>
      <c r="M122" s="17">
        <v>4</v>
      </c>
      <c r="N122" t="s">
        <v>81</v>
      </c>
      <c r="O122" s="24" t="s">
        <v>22</v>
      </c>
      <c r="P122" s="19">
        <v>2517.36</v>
      </c>
      <c r="Q122" s="26" t="str">
        <f>IF(OR(P122&lt;'Descriptive Statistics'!$H$17,P122&gt;'Descriptive Statistics'!$H$18),"Potential Outlier","Within Range")</f>
        <v>Within Range</v>
      </c>
      <c r="R122" s="26" t="str">
        <f>IF(OR(G122&lt;'Descriptive Statistics'!$I$17,G122&gt;'Descriptive Statistics'!$I$18),"Potential Outlier","Within Range")</f>
        <v>Within Range</v>
      </c>
      <c r="S122" s="26" t="str">
        <f>IF(OR(H122&lt;'Descriptive Statistics'!$J$17,H122&gt;'Descriptive Statistics'!$J$18),"Potential Outlier","Within Range")</f>
        <v>Within Range</v>
      </c>
    </row>
    <row r="123" hidden="1" spans="1:19">
      <c r="A123" t="s">
        <v>515</v>
      </c>
      <c r="B123" s="23">
        <v>45260</v>
      </c>
      <c r="C123" s="23" t="str">
        <f t="shared" si="2"/>
        <v>Nov</v>
      </c>
      <c r="D123" s="23" t="str">
        <f t="shared" si="3"/>
        <v>2023</v>
      </c>
      <c r="E123" t="s">
        <v>516</v>
      </c>
      <c r="F123" s="24" t="s">
        <v>73</v>
      </c>
      <c r="G123" s="17">
        <v>1</v>
      </c>
      <c r="H123" s="19">
        <v>410.78</v>
      </c>
      <c r="I123" t="s">
        <v>517</v>
      </c>
      <c r="J123" s="24" t="s">
        <v>65</v>
      </c>
      <c r="K123" s="24" t="s">
        <v>35</v>
      </c>
      <c r="L123" t="s">
        <v>518</v>
      </c>
      <c r="M123" s="17">
        <v>1</v>
      </c>
      <c r="N123" t="s">
        <v>37</v>
      </c>
      <c r="O123" s="24" t="s">
        <v>22</v>
      </c>
      <c r="P123" s="19">
        <v>410.78</v>
      </c>
      <c r="Q123" s="26" t="str">
        <f>IF(OR(P123&lt;'Descriptive Statistics'!$H$17,P123&gt;'Descriptive Statistics'!$H$18),"Potential Outlier","Within Range")</f>
        <v>Within Range</v>
      </c>
      <c r="R123" s="26" t="str">
        <f>IF(OR(G123&lt;'Descriptive Statistics'!$I$17,G123&gt;'Descriptive Statistics'!$I$18),"Potential Outlier","Within Range")</f>
        <v>Within Range</v>
      </c>
      <c r="S123" s="26" t="str">
        <f>IF(OR(H123&lt;'Descriptive Statistics'!$J$17,H123&gt;'Descriptive Statistics'!$J$18),"Potential Outlier","Within Range")</f>
        <v>Within Range</v>
      </c>
    </row>
    <row r="124" hidden="1" spans="1:19">
      <c r="A124" t="s">
        <v>519</v>
      </c>
      <c r="B124" s="23">
        <v>45397</v>
      </c>
      <c r="C124" s="23" t="str">
        <f t="shared" si="2"/>
        <v>Apr</v>
      </c>
      <c r="D124" s="23" t="str">
        <f t="shared" si="3"/>
        <v>2024</v>
      </c>
      <c r="E124" t="s">
        <v>520</v>
      </c>
      <c r="F124" s="24" t="s">
        <v>58</v>
      </c>
      <c r="G124" s="17">
        <v>2</v>
      </c>
      <c r="H124" s="19">
        <v>533.02</v>
      </c>
      <c r="I124" t="s">
        <v>521</v>
      </c>
      <c r="J124" s="24" t="s">
        <v>60</v>
      </c>
      <c r="K124" s="24" t="s">
        <v>19</v>
      </c>
      <c r="L124" t="s">
        <v>522</v>
      </c>
      <c r="M124" s="17">
        <v>2</v>
      </c>
      <c r="N124" t="s">
        <v>4295</v>
      </c>
      <c r="O124" s="24" t="s">
        <v>45</v>
      </c>
      <c r="P124" s="19">
        <v>1066.04</v>
      </c>
      <c r="Q124" s="26" t="str">
        <f>IF(OR(P124&lt;'Descriptive Statistics'!$H$17,P124&gt;'Descriptive Statistics'!$H$18),"Potential Outlier","Within Range")</f>
        <v>Within Range</v>
      </c>
      <c r="R124" s="26" t="str">
        <f>IF(OR(G124&lt;'Descriptive Statistics'!$I$17,G124&gt;'Descriptive Statistics'!$I$18),"Potential Outlier","Within Range")</f>
        <v>Within Range</v>
      </c>
      <c r="S124" s="26" t="str">
        <f>IF(OR(H124&lt;'Descriptive Statistics'!$J$17,H124&gt;'Descriptive Statistics'!$J$18),"Potential Outlier","Within Range")</f>
        <v>Within Range</v>
      </c>
    </row>
    <row r="125" hidden="1" spans="1:19">
      <c r="A125" t="s">
        <v>523</v>
      </c>
      <c r="B125" s="23">
        <v>45113</v>
      </c>
      <c r="C125" s="23" t="str">
        <f t="shared" si="2"/>
        <v>Jul</v>
      </c>
      <c r="D125" s="23" t="str">
        <f t="shared" si="3"/>
        <v>2023</v>
      </c>
      <c r="E125" t="s">
        <v>524</v>
      </c>
      <c r="F125" s="24" t="s">
        <v>73</v>
      </c>
      <c r="G125" s="17">
        <v>3</v>
      </c>
      <c r="H125" s="19">
        <v>278.04</v>
      </c>
      <c r="I125" t="s">
        <v>525</v>
      </c>
      <c r="J125" s="24" t="s">
        <v>27</v>
      </c>
      <c r="K125" s="24" t="s">
        <v>50</v>
      </c>
      <c r="L125" t="s">
        <v>526</v>
      </c>
      <c r="M125" s="17">
        <v>5</v>
      </c>
      <c r="N125" t="s">
        <v>4295</v>
      </c>
      <c r="O125" s="24" t="s">
        <v>22</v>
      </c>
      <c r="P125" s="19">
        <v>834.12</v>
      </c>
      <c r="Q125" s="26" t="str">
        <f>IF(OR(P125&lt;'Descriptive Statistics'!$H$17,P125&gt;'Descriptive Statistics'!$H$18),"Potential Outlier","Within Range")</f>
        <v>Within Range</v>
      </c>
      <c r="R125" s="26" t="str">
        <f>IF(OR(G125&lt;'Descriptive Statistics'!$I$17,G125&gt;'Descriptive Statistics'!$I$18),"Potential Outlier","Within Range")</f>
        <v>Within Range</v>
      </c>
      <c r="S125" s="26" t="str">
        <f>IF(OR(H125&lt;'Descriptive Statistics'!$J$17,H125&gt;'Descriptive Statistics'!$J$18),"Potential Outlier","Within Range")</f>
        <v>Within Range</v>
      </c>
    </row>
    <row r="126" hidden="1" spans="1:19">
      <c r="A126" t="s">
        <v>527</v>
      </c>
      <c r="B126" s="23">
        <v>45501</v>
      </c>
      <c r="C126" s="23" t="str">
        <f t="shared" si="2"/>
        <v>Jul</v>
      </c>
      <c r="D126" s="23" t="str">
        <f t="shared" si="3"/>
        <v>2024</v>
      </c>
      <c r="E126" t="s">
        <v>528</v>
      </c>
      <c r="F126" s="24" t="s">
        <v>48</v>
      </c>
      <c r="G126" s="17">
        <v>4</v>
      </c>
      <c r="H126" s="19">
        <v>283.79</v>
      </c>
      <c r="I126" t="s">
        <v>529</v>
      </c>
      <c r="J126" s="24" t="s">
        <v>27</v>
      </c>
      <c r="K126" s="24" t="s">
        <v>89</v>
      </c>
      <c r="L126" t="s">
        <v>530</v>
      </c>
      <c r="M126" s="17">
        <v>8</v>
      </c>
      <c r="N126" t="s">
        <v>4295</v>
      </c>
      <c r="O126" s="24" t="s">
        <v>76</v>
      </c>
      <c r="P126" s="19">
        <v>1135.16</v>
      </c>
      <c r="Q126" s="26" t="str">
        <f>IF(OR(P126&lt;'Descriptive Statistics'!$H$17,P126&gt;'Descriptive Statistics'!$H$18),"Potential Outlier","Within Range")</f>
        <v>Within Range</v>
      </c>
      <c r="R126" s="26" t="str">
        <f>IF(OR(G126&lt;'Descriptive Statistics'!$I$17,G126&gt;'Descriptive Statistics'!$I$18),"Potential Outlier","Within Range")</f>
        <v>Within Range</v>
      </c>
      <c r="S126" s="26" t="str">
        <f>IF(OR(H126&lt;'Descriptive Statistics'!$J$17,H126&gt;'Descriptive Statistics'!$J$18),"Potential Outlier","Within Range")</f>
        <v>Within Range</v>
      </c>
    </row>
    <row r="127" hidden="1" spans="1:19">
      <c r="A127" t="s">
        <v>531</v>
      </c>
      <c r="B127" s="23">
        <v>45602</v>
      </c>
      <c r="C127" s="23" t="str">
        <f t="shared" si="2"/>
        <v>Nov</v>
      </c>
      <c r="D127" s="23" t="str">
        <f t="shared" si="3"/>
        <v>2024</v>
      </c>
      <c r="E127" t="s">
        <v>532</v>
      </c>
      <c r="F127" s="24" t="s">
        <v>25</v>
      </c>
      <c r="G127" s="17">
        <v>2</v>
      </c>
      <c r="H127" s="19">
        <v>512.65</v>
      </c>
      <c r="I127" t="s">
        <v>533</v>
      </c>
      <c r="J127" s="24" t="s">
        <v>34</v>
      </c>
      <c r="K127" s="24" t="s">
        <v>19</v>
      </c>
      <c r="L127" t="s">
        <v>534</v>
      </c>
      <c r="M127" s="17">
        <v>5</v>
      </c>
      <c r="N127" t="s">
        <v>21</v>
      </c>
      <c r="O127" s="24" t="s">
        <v>38</v>
      </c>
      <c r="P127" s="19">
        <v>1025.3</v>
      </c>
      <c r="Q127" s="26" t="str">
        <f>IF(OR(P127&lt;'Descriptive Statistics'!$H$17,P127&gt;'Descriptive Statistics'!$H$18),"Potential Outlier","Within Range")</f>
        <v>Within Range</v>
      </c>
      <c r="R127" s="26" t="str">
        <f>IF(OR(G127&lt;'Descriptive Statistics'!$I$17,G127&gt;'Descriptive Statistics'!$I$18),"Potential Outlier","Within Range")</f>
        <v>Within Range</v>
      </c>
      <c r="S127" s="26" t="str">
        <f>IF(OR(H127&lt;'Descriptive Statistics'!$J$17,H127&gt;'Descriptive Statistics'!$J$18),"Potential Outlier","Within Range")</f>
        <v>Within Range</v>
      </c>
    </row>
    <row r="128" hidden="1" spans="1:19">
      <c r="A128" t="s">
        <v>535</v>
      </c>
      <c r="B128" s="23">
        <v>45780</v>
      </c>
      <c r="C128" s="23" t="str">
        <f t="shared" si="2"/>
        <v>May</v>
      </c>
      <c r="D128" s="23" t="str">
        <f t="shared" si="3"/>
        <v>2025</v>
      </c>
      <c r="E128" t="s">
        <v>536</v>
      </c>
      <c r="F128" s="24" t="s">
        <v>73</v>
      </c>
      <c r="G128" s="17">
        <v>4</v>
      </c>
      <c r="H128" s="19">
        <v>275.5</v>
      </c>
      <c r="I128" t="s">
        <v>537</v>
      </c>
      <c r="J128" s="24" t="s">
        <v>60</v>
      </c>
      <c r="K128" s="24" t="s">
        <v>19</v>
      </c>
      <c r="L128" t="s">
        <v>538</v>
      </c>
      <c r="M128" s="17">
        <v>8</v>
      </c>
      <c r="N128" t="s">
        <v>37</v>
      </c>
      <c r="O128" s="24" t="s">
        <v>76</v>
      </c>
      <c r="P128" s="19">
        <v>1102</v>
      </c>
      <c r="Q128" s="26" t="str">
        <f>IF(OR(P128&lt;'Descriptive Statistics'!$H$17,P128&gt;'Descriptive Statistics'!$H$18),"Potential Outlier","Within Range")</f>
        <v>Within Range</v>
      </c>
      <c r="R128" s="26" t="str">
        <f>IF(OR(G128&lt;'Descriptive Statistics'!$I$17,G128&gt;'Descriptive Statistics'!$I$18),"Potential Outlier","Within Range")</f>
        <v>Within Range</v>
      </c>
      <c r="S128" s="26" t="str">
        <f>IF(OR(H128&lt;'Descriptive Statistics'!$J$17,H128&gt;'Descriptive Statistics'!$J$18),"Potential Outlier","Within Range")</f>
        <v>Within Range</v>
      </c>
    </row>
    <row r="129" hidden="1" spans="1:19">
      <c r="A129" t="s">
        <v>539</v>
      </c>
      <c r="B129" s="23">
        <v>45148</v>
      </c>
      <c r="C129" s="23" t="str">
        <f t="shared" si="2"/>
        <v>Aug</v>
      </c>
      <c r="D129" s="23" t="str">
        <f t="shared" si="3"/>
        <v>2023</v>
      </c>
      <c r="E129" t="s">
        <v>540</v>
      </c>
      <c r="F129" s="24" t="s">
        <v>73</v>
      </c>
      <c r="G129" s="17">
        <v>3</v>
      </c>
      <c r="H129" s="19">
        <v>469.32</v>
      </c>
      <c r="I129" t="s">
        <v>541</v>
      </c>
      <c r="J129" s="24" t="s">
        <v>18</v>
      </c>
      <c r="K129" s="24" t="s">
        <v>19</v>
      </c>
      <c r="L129" t="s">
        <v>542</v>
      </c>
      <c r="M129" s="17">
        <v>3</v>
      </c>
      <c r="N129" t="s">
        <v>4295</v>
      </c>
      <c r="O129" s="24" t="s">
        <v>76</v>
      </c>
      <c r="P129" s="19">
        <v>1407.96</v>
      </c>
      <c r="Q129" s="26" t="str">
        <f>IF(OR(P129&lt;'Descriptive Statistics'!$H$17,P129&gt;'Descriptive Statistics'!$H$18),"Potential Outlier","Within Range")</f>
        <v>Within Range</v>
      </c>
      <c r="R129" s="26" t="str">
        <f>IF(OR(G129&lt;'Descriptive Statistics'!$I$17,G129&gt;'Descriptive Statistics'!$I$18),"Potential Outlier","Within Range")</f>
        <v>Within Range</v>
      </c>
      <c r="S129" s="26" t="str">
        <f>IF(OR(H129&lt;'Descriptive Statistics'!$J$17,H129&gt;'Descriptive Statistics'!$J$18),"Potential Outlier","Within Range")</f>
        <v>Within Range</v>
      </c>
    </row>
    <row r="130" hidden="1" spans="1:19">
      <c r="A130" t="s">
        <v>543</v>
      </c>
      <c r="B130" s="23">
        <v>44974</v>
      </c>
      <c r="C130" s="23" t="str">
        <f t="shared" ref="C130:C193" si="4">TEXT(B130,"MMM")</f>
        <v>Feb</v>
      </c>
      <c r="D130" s="23" t="str">
        <f t="shared" ref="D130:D193" si="5">TEXT(B130,"YYYY")</f>
        <v>2023</v>
      </c>
      <c r="E130" t="s">
        <v>544</v>
      </c>
      <c r="F130" s="24" t="s">
        <v>32</v>
      </c>
      <c r="G130" s="17">
        <v>4</v>
      </c>
      <c r="H130" s="19">
        <v>21.07</v>
      </c>
      <c r="I130" t="s">
        <v>545</v>
      </c>
      <c r="J130" s="24" t="s">
        <v>60</v>
      </c>
      <c r="K130" s="24" t="s">
        <v>50</v>
      </c>
      <c r="L130" t="s">
        <v>546</v>
      </c>
      <c r="M130" s="17">
        <v>4</v>
      </c>
      <c r="N130" t="s">
        <v>37</v>
      </c>
      <c r="O130" s="24" t="s">
        <v>76</v>
      </c>
      <c r="P130" s="19">
        <v>84.28</v>
      </c>
      <c r="Q130" s="26" t="str">
        <f>IF(OR(P130&lt;'Descriptive Statistics'!$H$17,P130&gt;'Descriptive Statistics'!$H$18),"Potential Outlier","Within Range")</f>
        <v>Within Range</v>
      </c>
      <c r="R130" s="26" t="str">
        <f>IF(OR(G130&lt;'Descriptive Statistics'!$I$17,G130&gt;'Descriptive Statistics'!$I$18),"Potential Outlier","Within Range")</f>
        <v>Within Range</v>
      </c>
      <c r="S130" s="26" t="str">
        <f>IF(OR(H130&lt;'Descriptive Statistics'!$J$17,H130&gt;'Descriptive Statistics'!$J$18),"Potential Outlier","Within Range")</f>
        <v>Within Range</v>
      </c>
    </row>
    <row r="131" hidden="1" spans="1:19">
      <c r="A131" t="s">
        <v>547</v>
      </c>
      <c r="B131" s="23">
        <v>45226</v>
      </c>
      <c r="C131" s="23" t="str">
        <f t="shared" si="4"/>
        <v>Oct</v>
      </c>
      <c r="D131" s="23" t="str">
        <f t="shared" si="5"/>
        <v>2023</v>
      </c>
      <c r="E131" t="s">
        <v>548</v>
      </c>
      <c r="F131" s="24" t="s">
        <v>58</v>
      </c>
      <c r="G131" s="17">
        <v>4</v>
      </c>
      <c r="H131" s="19">
        <v>263.93</v>
      </c>
      <c r="I131" t="s">
        <v>549</v>
      </c>
      <c r="J131" s="24" t="s">
        <v>18</v>
      </c>
      <c r="K131" s="24" t="s">
        <v>19</v>
      </c>
      <c r="L131" t="s">
        <v>550</v>
      </c>
      <c r="M131" s="17">
        <v>4</v>
      </c>
      <c r="N131" t="s">
        <v>37</v>
      </c>
      <c r="O131" s="24" t="s">
        <v>45</v>
      </c>
      <c r="P131" s="19">
        <v>1055.72</v>
      </c>
      <c r="Q131" s="26" t="str">
        <f>IF(OR(P131&lt;'Descriptive Statistics'!$H$17,P131&gt;'Descriptive Statistics'!$H$18),"Potential Outlier","Within Range")</f>
        <v>Within Range</v>
      </c>
      <c r="R131" s="26" t="str">
        <f>IF(OR(G131&lt;'Descriptive Statistics'!$I$17,G131&gt;'Descriptive Statistics'!$I$18),"Potential Outlier","Within Range")</f>
        <v>Within Range</v>
      </c>
      <c r="S131" s="26" t="str">
        <f>IF(OR(H131&lt;'Descriptive Statistics'!$J$17,H131&gt;'Descriptive Statistics'!$J$18),"Potential Outlier","Within Range")</f>
        <v>Within Range</v>
      </c>
    </row>
    <row r="132" hidden="1" spans="1:19">
      <c r="A132" t="s">
        <v>551</v>
      </c>
      <c r="B132" s="23">
        <v>45679</v>
      </c>
      <c r="C132" s="23" t="str">
        <f t="shared" si="4"/>
        <v>Jan</v>
      </c>
      <c r="D132" s="23" t="str">
        <f t="shared" si="5"/>
        <v>2025</v>
      </c>
      <c r="E132" t="s">
        <v>552</v>
      </c>
      <c r="F132" s="24" t="s">
        <v>73</v>
      </c>
      <c r="G132" s="17">
        <v>3</v>
      </c>
      <c r="H132" s="19">
        <v>501.3</v>
      </c>
      <c r="I132" t="s">
        <v>553</v>
      </c>
      <c r="J132" s="24" t="s">
        <v>27</v>
      </c>
      <c r="K132" s="24" t="s">
        <v>35</v>
      </c>
      <c r="L132" t="s">
        <v>554</v>
      </c>
      <c r="M132" s="17">
        <v>3</v>
      </c>
      <c r="N132" t="s">
        <v>81</v>
      </c>
      <c r="O132" s="24" t="s">
        <v>45</v>
      </c>
      <c r="P132" s="19">
        <v>1503.9</v>
      </c>
      <c r="Q132" s="26" t="str">
        <f>IF(OR(P132&lt;'Descriptive Statistics'!$H$17,P132&gt;'Descriptive Statistics'!$H$18),"Potential Outlier","Within Range")</f>
        <v>Within Range</v>
      </c>
      <c r="R132" s="26" t="str">
        <f>IF(OR(G132&lt;'Descriptive Statistics'!$I$17,G132&gt;'Descriptive Statistics'!$I$18),"Potential Outlier","Within Range")</f>
        <v>Within Range</v>
      </c>
      <c r="S132" s="26" t="str">
        <f>IF(OR(H132&lt;'Descriptive Statistics'!$J$17,H132&gt;'Descriptive Statistics'!$J$18),"Potential Outlier","Within Range")</f>
        <v>Within Range</v>
      </c>
    </row>
    <row r="133" hidden="1" spans="1:19">
      <c r="A133" t="s">
        <v>555</v>
      </c>
      <c r="B133" s="23">
        <v>44934</v>
      </c>
      <c r="C133" s="23" t="str">
        <f t="shared" si="4"/>
        <v>Jan</v>
      </c>
      <c r="D133" s="23" t="str">
        <f t="shared" si="5"/>
        <v>2023</v>
      </c>
      <c r="E133" t="s">
        <v>556</v>
      </c>
      <c r="F133" s="24" t="s">
        <v>32</v>
      </c>
      <c r="G133" s="17">
        <v>1</v>
      </c>
      <c r="H133" s="19">
        <v>84.8</v>
      </c>
      <c r="I133" t="s">
        <v>557</v>
      </c>
      <c r="J133" s="24" t="s">
        <v>60</v>
      </c>
      <c r="K133" s="24" t="s">
        <v>89</v>
      </c>
      <c r="L133" t="s">
        <v>558</v>
      </c>
      <c r="M133" s="17">
        <v>5</v>
      </c>
      <c r="N133" t="s">
        <v>4295</v>
      </c>
      <c r="O133" s="24" t="s">
        <v>22</v>
      </c>
      <c r="P133" s="19">
        <v>84.8</v>
      </c>
      <c r="Q133" s="26" t="str">
        <f>IF(OR(P133&lt;'Descriptive Statistics'!$H$17,P133&gt;'Descriptive Statistics'!$H$18),"Potential Outlier","Within Range")</f>
        <v>Within Range</v>
      </c>
      <c r="R133" s="26" t="str">
        <f>IF(OR(G133&lt;'Descriptive Statistics'!$I$17,G133&gt;'Descriptive Statistics'!$I$18),"Potential Outlier","Within Range")</f>
        <v>Within Range</v>
      </c>
      <c r="S133" s="26" t="str">
        <f>IF(OR(H133&lt;'Descriptive Statistics'!$J$17,H133&gt;'Descriptive Statistics'!$J$18),"Potential Outlier","Within Range")</f>
        <v>Within Range</v>
      </c>
    </row>
    <row r="134" hidden="1" spans="1:19">
      <c r="A134" t="s">
        <v>559</v>
      </c>
      <c r="B134" s="23">
        <v>45013</v>
      </c>
      <c r="C134" s="23" t="str">
        <f t="shared" si="4"/>
        <v>Mar</v>
      </c>
      <c r="D134" s="23" t="str">
        <f t="shared" si="5"/>
        <v>2023</v>
      </c>
      <c r="E134" t="s">
        <v>560</v>
      </c>
      <c r="F134" s="24" t="s">
        <v>32</v>
      </c>
      <c r="G134" s="17">
        <v>4</v>
      </c>
      <c r="H134" s="19">
        <v>450.75</v>
      </c>
      <c r="I134" t="s">
        <v>561</v>
      </c>
      <c r="J134" s="24" t="s">
        <v>34</v>
      </c>
      <c r="K134" s="24" t="s">
        <v>19</v>
      </c>
      <c r="L134" t="s">
        <v>562</v>
      </c>
      <c r="M134" s="17">
        <v>6</v>
      </c>
      <c r="N134" t="s">
        <v>81</v>
      </c>
      <c r="O134" s="24" t="s">
        <v>38</v>
      </c>
      <c r="P134" s="19">
        <v>1803</v>
      </c>
      <c r="Q134" s="26" t="str">
        <f>IF(OR(P134&lt;'Descriptive Statistics'!$H$17,P134&gt;'Descriptive Statistics'!$H$18),"Potential Outlier","Within Range")</f>
        <v>Within Range</v>
      </c>
      <c r="R134" s="26" t="str">
        <f>IF(OR(G134&lt;'Descriptive Statistics'!$I$17,G134&gt;'Descriptive Statistics'!$I$18),"Potential Outlier","Within Range")</f>
        <v>Within Range</v>
      </c>
      <c r="S134" s="26" t="str">
        <f>IF(OR(H134&lt;'Descriptive Statistics'!$J$17,H134&gt;'Descriptive Statistics'!$J$18),"Potential Outlier","Within Range")</f>
        <v>Within Range</v>
      </c>
    </row>
    <row r="135" hidden="1" spans="1:19">
      <c r="A135" t="s">
        <v>563</v>
      </c>
      <c r="B135" s="23">
        <v>45828</v>
      </c>
      <c r="C135" s="23" t="str">
        <f t="shared" si="4"/>
        <v>Jun</v>
      </c>
      <c r="D135" s="23" t="str">
        <f t="shared" si="5"/>
        <v>2025</v>
      </c>
      <c r="E135" t="s">
        <v>564</v>
      </c>
      <c r="F135" s="24" t="s">
        <v>41</v>
      </c>
      <c r="G135" s="17">
        <v>4</v>
      </c>
      <c r="H135" s="19">
        <v>302.05</v>
      </c>
      <c r="I135" t="s">
        <v>565</v>
      </c>
      <c r="J135" s="24" t="s">
        <v>18</v>
      </c>
      <c r="K135" s="24" t="s">
        <v>35</v>
      </c>
      <c r="L135" t="s">
        <v>566</v>
      </c>
      <c r="M135" s="17">
        <v>6</v>
      </c>
      <c r="N135" t="s">
        <v>21</v>
      </c>
      <c r="O135" s="24" t="s">
        <v>76</v>
      </c>
      <c r="P135" s="19">
        <v>1208.2</v>
      </c>
      <c r="Q135" s="26" t="str">
        <f>IF(OR(P135&lt;'Descriptive Statistics'!$H$17,P135&gt;'Descriptive Statistics'!$H$18),"Potential Outlier","Within Range")</f>
        <v>Within Range</v>
      </c>
      <c r="R135" s="26" t="str">
        <f>IF(OR(G135&lt;'Descriptive Statistics'!$I$17,G135&gt;'Descriptive Statistics'!$I$18),"Potential Outlier","Within Range")</f>
        <v>Within Range</v>
      </c>
      <c r="S135" s="26" t="str">
        <f>IF(OR(H135&lt;'Descriptive Statistics'!$J$17,H135&gt;'Descriptive Statistics'!$J$18),"Potential Outlier","Within Range")</f>
        <v>Within Range</v>
      </c>
    </row>
    <row r="136" hidden="1" spans="1:19">
      <c r="A136" t="s">
        <v>567</v>
      </c>
      <c r="B136" s="23">
        <v>45831</v>
      </c>
      <c r="C136" s="23" t="str">
        <f t="shared" si="4"/>
        <v>Jun</v>
      </c>
      <c r="D136" s="23" t="str">
        <f t="shared" si="5"/>
        <v>2025</v>
      </c>
      <c r="E136" t="s">
        <v>568</v>
      </c>
      <c r="F136" s="24" t="s">
        <v>58</v>
      </c>
      <c r="G136" s="17">
        <v>2</v>
      </c>
      <c r="H136" s="19">
        <v>199.7</v>
      </c>
      <c r="I136" t="s">
        <v>561</v>
      </c>
      <c r="J136" s="24" t="s">
        <v>65</v>
      </c>
      <c r="K136" s="24" t="s">
        <v>89</v>
      </c>
      <c r="L136" t="s">
        <v>569</v>
      </c>
      <c r="M136" s="17">
        <v>4</v>
      </c>
      <c r="N136" t="s">
        <v>4295</v>
      </c>
      <c r="O136" s="24" t="s">
        <v>38</v>
      </c>
      <c r="P136" s="19">
        <v>399.4</v>
      </c>
      <c r="Q136" s="26" t="str">
        <f>IF(OR(P136&lt;'Descriptive Statistics'!$H$17,P136&gt;'Descriptive Statistics'!$H$18),"Potential Outlier","Within Range")</f>
        <v>Within Range</v>
      </c>
      <c r="R136" s="26" t="str">
        <f>IF(OR(G136&lt;'Descriptive Statistics'!$I$17,G136&gt;'Descriptive Statistics'!$I$18),"Potential Outlier","Within Range")</f>
        <v>Within Range</v>
      </c>
      <c r="S136" s="26" t="str">
        <f>IF(OR(H136&lt;'Descriptive Statistics'!$J$17,H136&gt;'Descriptive Statistics'!$J$18),"Potential Outlier","Within Range")</f>
        <v>Within Range</v>
      </c>
    </row>
    <row r="137" hidden="1" spans="1:19">
      <c r="A137" t="s">
        <v>570</v>
      </c>
      <c r="B137" s="23">
        <v>45142</v>
      </c>
      <c r="C137" s="23" t="str">
        <f t="shared" si="4"/>
        <v>Aug</v>
      </c>
      <c r="D137" s="23" t="str">
        <f t="shared" si="5"/>
        <v>2023</v>
      </c>
      <c r="E137" t="s">
        <v>571</v>
      </c>
      <c r="F137" s="24" t="s">
        <v>48</v>
      </c>
      <c r="G137" s="17">
        <v>2</v>
      </c>
      <c r="H137" s="19">
        <v>68.81</v>
      </c>
      <c r="I137" t="s">
        <v>572</v>
      </c>
      <c r="J137" s="24" t="s">
        <v>60</v>
      </c>
      <c r="K137" s="24" t="s">
        <v>19</v>
      </c>
      <c r="L137" t="s">
        <v>573</v>
      </c>
      <c r="M137" s="17">
        <v>5</v>
      </c>
      <c r="N137" t="s">
        <v>21</v>
      </c>
      <c r="O137" s="24" t="s">
        <v>29</v>
      </c>
      <c r="P137" s="19">
        <v>137.62</v>
      </c>
      <c r="Q137" s="26" t="str">
        <f>IF(OR(P137&lt;'Descriptive Statistics'!$H$17,P137&gt;'Descriptive Statistics'!$H$18),"Potential Outlier","Within Range")</f>
        <v>Within Range</v>
      </c>
      <c r="R137" s="26" t="str">
        <f>IF(OR(G137&lt;'Descriptive Statistics'!$I$17,G137&gt;'Descriptive Statistics'!$I$18),"Potential Outlier","Within Range")</f>
        <v>Within Range</v>
      </c>
      <c r="S137" s="26" t="str">
        <f>IF(OR(H137&lt;'Descriptive Statistics'!$J$17,H137&gt;'Descriptive Statistics'!$J$18),"Potential Outlier","Within Range")</f>
        <v>Within Range</v>
      </c>
    </row>
    <row r="138" hidden="1" spans="1:19">
      <c r="A138" t="s">
        <v>574</v>
      </c>
      <c r="B138" s="23">
        <v>45409</v>
      </c>
      <c r="C138" s="23" t="str">
        <f t="shared" si="4"/>
        <v>Apr</v>
      </c>
      <c r="D138" s="23" t="str">
        <f t="shared" si="5"/>
        <v>2024</v>
      </c>
      <c r="E138" t="s">
        <v>575</v>
      </c>
      <c r="F138" s="24" t="s">
        <v>58</v>
      </c>
      <c r="G138" s="17">
        <v>1</v>
      </c>
      <c r="H138" s="19">
        <v>44.35</v>
      </c>
      <c r="I138" t="s">
        <v>576</v>
      </c>
      <c r="J138" s="24" t="s">
        <v>60</v>
      </c>
      <c r="K138" s="24" t="s">
        <v>35</v>
      </c>
      <c r="L138" t="s">
        <v>577</v>
      </c>
      <c r="M138" s="17">
        <v>1</v>
      </c>
      <c r="N138" t="s">
        <v>21</v>
      </c>
      <c r="O138" s="24" t="s">
        <v>22</v>
      </c>
      <c r="P138" s="19">
        <v>44.35</v>
      </c>
      <c r="Q138" s="26" t="str">
        <f>IF(OR(P138&lt;'Descriptive Statistics'!$H$17,P138&gt;'Descriptive Statistics'!$H$18),"Potential Outlier","Within Range")</f>
        <v>Within Range</v>
      </c>
      <c r="R138" s="26" t="str">
        <f>IF(OR(G138&lt;'Descriptive Statistics'!$I$17,G138&gt;'Descriptive Statistics'!$I$18),"Potential Outlier","Within Range")</f>
        <v>Within Range</v>
      </c>
      <c r="S138" s="26" t="str">
        <f>IF(OR(H138&lt;'Descriptive Statistics'!$J$17,H138&gt;'Descriptive Statistics'!$J$18),"Potential Outlier","Within Range")</f>
        <v>Within Range</v>
      </c>
    </row>
    <row r="139" hidden="1" spans="1:19">
      <c r="A139" t="s">
        <v>578</v>
      </c>
      <c r="B139" s="23">
        <v>45622</v>
      </c>
      <c r="C139" s="23" t="str">
        <f t="shared" si="4"/>
        <v>Nov</v>
      </c>
      <c r="D139" s="23" t="str">
        <f t="shared" si="5"/>
        <v>2024</v>
      </c>
      <c r="E139" t="s">
        <v>579</v>
      </c>
      <c r="F139" s="24" t="s">
        <v>16</v>
      </c>
      <c r="G139" s="17">
        <v>2</v>
      </c>
      <c r="H139" s="19">
        <v>250.98</v>
      </c>
      <c r="I139" t="s">
        <v>580</v>
      </c>
      <c r="J139" s="24" t="s">
        <v>34</v>
      </c>
      <c r="K139" s="24" t="s">
        <v>50</v>
      </c>
      <c r="L139" t="s">
        <v>581</v>
      </c>
      <c r="M139" s="17">
        <v>5</v>
      </c>
      <c r="N139" t="s">
        <v>4295</v>
      </c>
      <c r="O139" s="24" t="s">
        <v>76</v>
      </c>
      <c r="P139" s="19">
        <v>501.96</v>
      </c>
      <c r="Q139" s="26" t="str">
        <f>IF(OR(P139&lt;'Descriptive Statistics'!$H$17,P139&gt;'Descriptive Statistics'!$H$18),"Potential Outlier","Within Range")</f>
        <v>Within Range</v>
      </c>
      <c r="R139" s="26" t="str">
        <f>IF(OR(G139&lt;'Descriptive Statistics'!$I$17,G139&gt;'Descriptive Statistics'!$I$18),"Potential Outlier","Within Range")</f>
        <v>Within Range</v>
      </c>
      <c r="S139" s="26" t="str">
        <f>IF(OR(H139&lt;'Descriptive Statistics'!$J$17,H139&gt;'Descriptive Statistics'!$J$18),"Potential Outlier","Within Range")</f>
        <v>Within Range</v>
      </c>
    </row>
    <row r="140" hidden="1" spans="1:19">
      <c r="A140" t="s">
        <v>582</v>
      </c>
      <c r="B140" s="23">
        <v>45281</v>
      </c>
      <c r="C140" s="23" t="str">
        <f t="shared" si="4"/>
        <v>Dec</v>
      </c>
      <c r="D140" s="23" t="str">
        <f t="shared" si="5"/>
        <v>2023</v>
      </c>
      <c r="E140" t="s">
        <v>583</v>
      </c>
      <c r="F140" s="24" t="s">
        <v>32</v>
      </c>
      <c r="G140" s="17">
        <v>1</v>
      </c>
      <c r="H140" s="19">
        <v>298.06</v>
      </c>
      <c r="I140" t="s">
        <v>584</v>
      </c>
      <c r="J140" s="24" t="s">
        <v>18</v>
      </c>
      <c r="K140" s="24" t="s">
        <v>89</v>
      </c>
      <c r="L140" t="s">
        <v>585</v>
      </c>
      <c r="M140" s="17">
        <v>3</v>
      </c>
      <c r="N140" t="s">
        <v>81</v>
      </c>
      <c r="O140" s="24" t="s">
        <v>76</v>
      </c>
      <c r="P140" s="19">
        <v>298.06</v>
      </c>
      <c r="Q140" s="26" t="str">
        <f>IF(OR(P140&lt;'Descriptive Statistics'!$H$17,P140&gt;'Descriptive Statistics'!$H$18),"Potential Outlier","Within Range")</f>
        <v>Within Range</v>
      </c>
      <c r="R140" s="26" t="str">
        <f>IF(OR(G140&lt;'Descriptive Statistics'!$I$17,G140&gt;'Descriptive Statistics'!$I$18),"Potential Outlier","Within Range")</f>
        <v>Within Range</v>
      </c>
      <c r="S140" s="26" t="str">
        <f>IF(OR(H140&lt;'Descriptive Statistics'!$J$17,H140&gt;'Descriptive Statistics'!$J$18),"Potential Outlier","Within Range")</f>
        <v>Within Range</v>
      </c>
    </row>
    <row r="141" hidden="1" spans="1:19">
      <c r="A141" t="s">
        <v>586</v>
      </c>
      <c r="B141" s="23">
        <v>45026</v>
      </c>
      <c r="C141" s="23" t="str">
        <f t="shared" si="4"/>
        <v>Apr</v>
      </c>
      <c r="D141" s="23" t="str">
        <f t="shared" si="5"/>
        <v>2023</v>
      </c>
      <c r="E141" t="s">
        <v>587</v>
      </c>
      <c r="F141" s="24" t="s">
        <v>25</v>
      </c>
      <c r="G141" s="17">
        <v>1</v>
      </c>
      <c r="H141" s="19">
        <v>583.9</v>
      </c>
      <c r="I141" t="s">
        <v>588</v>
      </c>
      <c r="J141" s="24" t="s">
        <v>65</v>
      </c>
      <c r="K141" s="24" t="s">
        <v>43</v>
      </c>
      <c r="L141" t="s">
        <v>589</v>
      </c>
      <c r="M141" s="17">
        <v>1</v>
      </c>
      <c r="N141" t="s">
        <v>4295</v>
      </c>
      <c r="O141" s="24" t="s">
        <v>38</v>
      </c>
      <c r="P141" s="19">
        <v>583.9</v>
      </c>
      <c r="Q141" s="26" t="str">
        <f>IF(OR(P141&lt;'Descriptive Statistics'!$H$17,P141&gt;'Descriptive Statistics'!$H$18),"Potential Outlier","Within Range")</f>
        <v>Within Range</v>
      </c>
      <c r="R141" s="26" t="str">
        <f>IF(OR(G141&lt;'Descriptive Statistics'!$I$17,G141&gt;'Descriptive Statistics'!$I$18),"Potential Outlier","Within Range")</f>
        <v>Within Range</v>
      </c>
      <c r="S141" s="26" t="str">
        <f>IF(OR(H141&lt;'Descriptive Statistics'!$J$17,H141&gt;'Descriptive Statistics'!$J$18),"Potential Outlier","Within Range")</f>
        <v>Within Range</v>
      </c>
    </row>
    <row r="142" hidden="1" spans="1:19">
      <c r="A142" t="s">
        <v>590</v>
      </c>
      <c r="B142" s="23">
        <v>45808</v>
      </c>
      <c r="C142" s="23" t="str">
        <f t="shared" si="4"/>
        <v>May</v>
      </c>
      <c r="D142" s="23" t="str">
        <f t="shared" si="5"/>
        <v>2025</v>
      </c>
      <c r="E142" t="s">
        <v>591</v>
      </c>
      <c r="F142" s="24" t="s">
        <v>41</v>
      </c>
      <c r="G142" s="17">
        <v>3</v>
      </c>
      <c r="H142" s="19">
        <v>528.14</v>
      </c>
      <c r="I142" t="s">
        <v>474</v>
      </c>
      <c r="J142" s="24" t="s">
        <v>27</v>
      </c>
      <c r="K142" s="24" t="s">
        <v>50</v>
      </c>
      <c r="L142" t="s">
        <v>592</v>
      </c>
      <c r="M142" s="17">
        <v>3</v>
      </c>
      <c r="N142" t="s">
        <v>37</v>
      </c>
      <c r="O142" s="24" t="s">
        <v>38</v>
      </c>
      <c r="P142" s="19">
        <v>1584.42</v>
      </c>
      <c r="Q142" s="26" t="str">
        <f>IF(OR(P142&lt;'Descriptive Statistics'!$H$17,P142&gt;'Descriptive Statistics'!$H$18),"Potential Outlier","Within Range")</f>
        <v>Within Range</v>
      </c>
      <c r="R142" s="26" t="str">
        <f>IF(OR(G142&lt;'Descriptive Statistics'!$I$17,G142&gt;'Descriptive Statistics'!$I$18),"Potential Outlier","Within Range")</f>
        <v>Within Range</v>
      </c>
      <c r="S142" s="26" t="str">
        <f>IF(OR(H142&lt;'Descriptive Statistics'!$J$17,H142&gt;'Descriptive Statistics'!$J$18),"Potential Outlier","Within Range")</f>
        <v>Within Range</v>
      </c>
    </row>
    <row r="143" hidden="1" spans="1:19">
      <c r="A143" t="s">
        <v>593</v>
      </c>
      <c r="B143" s="23">
        <v>45248</v>
      </c>
      <c r="C143" s="23" t="str">
        <f t="shared" si="4"/>
        <v>Nov</v>
      </c>
      <c r="D143" s="23" t="str">
        <f t="shared" si="5"/>
        <v>2023</v>
      </c>
      <c r="E143" t="s">
        <v>594</v>
      </c>
      <c r="F143" s="24" t="s">
        <v>48</v>
      </c>
      <c r="G143" s="17">
        <v>3</v>
      </c>
      <c r="H143" s="19">
        <v>684.14</v>
      </c>
      <c r="I143" t="s">
        <v>595</v>
      </c>
      <c r="J143" s="24" t="s">
        <v>65</v>
      </c>
      <c r="K143" s="24" t="s">
        <v>35</v>
      </c>
      <c r="L143" t="s">
        <v>596</v>
      </c>
      <c r="M143" s="17">
        <v>3</v>
      </c>
      <c r="N143" t="s">
        <v>81</v>
      </c>
      <c r="O143" s="24" t="s">
        <v>22</v>
      </c>
      <c r="P143" s="19">
        <v>2052.42</v>
      </c>
      <c r="Q143" s="26" t="str">
        <f>IF(OR(P143&lt;'Descriptive Statistics'!$H$17,P143&gt;'Descriptive Statistics'!$H$18),"Potential Outlier","Within Range")</f>
        <v>Within Range</v>
      </c>
      <c r="R143" s="26" t="str">
        <f>IF(OR(G143&lt;'Descriptive Statistics'!$I$17,G143&gt;'Descriptive Statistics'!$I$18),"Potential Outlier","Within Range")</f>
        <v>Within Range</v>
      </c>
      <c r="S143" s="26" t="str">
        <f>IF(OR(H143&lt;'Descriptive Statistics'!$J$17,H143&gt;'Descriptive Statistics'!$J$18),"Potential Outlier","Within Range")</f>
        <v>Within Range</v>
      </c>
    </row>
    <row r="144" hidden="1" spans="1:19">
      <c r="A144" t="s">
        <v>597</v>
      </c>
      <c r="B144" s="23">
        <v>45175</v>
      </c>
      <c r="C144" s="23" t="str">
        <f t="shared" si="4"/>
        <v>Sep</v>
      </c>
      <c r="D144" s="23" t="str">
        <f t="shared" si="5"/>
        <v>2023</v>
      </c>
      <c r="E144" t="s">
        <v>598</v>
      </c>
      <c r="F144" s="24" t="s">
        <v>73</v>
      </c>
      <c r="G144" s="17">
        <v>5</v>
      </c>
      <c r="H144" s="19">
        <v>272.77</v>
      </c>
      <c r="I144" t="s">
        <v>599</v>
      </c>
      <c r="J144" s="24" t="s">
        <v>65</v>
      </c>
      <c r="K144" s="24" t="s">
        <v>89</v>
      </c>
      <c r="L144" t="s">
        <v>600</v>
      </c>
      <c r="M144" s="17">
        <v>7</v>
      </c>
      <c r="N144" t="s">
        <v>81</v>
      </c>
      <c r="O144" s="24" t="s">
        <v>38</v>
      </c>
      <c r="P144" s="19">
        <v>1363.85</v>
      </c>
      <c r="Q144" s="26" t="str">
        <f>IF(OR(P144&lt;'Descriptive Statistics'!$H$17,P144&gt;'Descriptive Statistics'!$H$18),"Potential Outlier","Within Range")</f>
        <v>Within Range</v>
      </c>
      <c r="R144" s="26" t="str">
        <f>IF(OR(G144&lt;'Descriptive Statistics'!$I$17,G144&gt;'Descriptive Statistics'!$I$18),"Potential Outlier","Within Range")</f>
        <v>Within Range</v>
      </c>
      <c r="S144" s="26" t="str">
        <f>IF(OR(H144&lt;'Descriptive Statistics'!$J$17,H144&gt;'Descriptive Statistics'!$J$18),"Potential Outlier","Within Range")</f>
        <v>Within Range</v>
      </c>
    </row>
    <row r="145" hidden="1" spans="1:19">
      <c r="A145" t="s">
        <v>601</v>
      </c>
      <c r="B145" s="23">
        <v>45456</v>
      </c>
      <c r="C145" s="23" t="str">
        <f t="shared" si="4"/>
        <v>Jun</v>
      </c>
      <c r="D145" s="23" t="str">
        <f t="shared" si="5"/>
        <v>2024</v>
      </c>
      <c r="E145" t="s">
        <v>602</v>
      </c>
      <c r="F145" s="24" t="s">
        <v>41</v>
      </c>
      <c r="G145" s="17">
        <v>4</v>
      </c>
      <c r="H145" s="19">
        <v>400.07</v>
      </c>
      <c r="I145" t="s">
        <v>603</v>
      </c>
      <c r="J145" s="24" t="s">
        <v>27</v>
      </c>
      <c r="K145" s="24" t="s">
        <v>19</v>
      </c>
      <c r="L145" t="s">
        <v>604</v>
      </c>
      <c r="M145" s="17">
        <v>5</v>
      </c>
      <c r="N145" t="s">
        <v>4295</v>
      </c>
      <c r="O145" s="24" t="s">
        <v>29</v>
      </c>
      <c r="P145" s="19">
        <v>1600.28</v>
      </c>
      <c r="Q145" s="26" t="str">
        <f>IF(OR(P145&lt;'Descriptive Statistics'!$H$17,P145&gt;'Descriptive Statistics'!$H$18),"Potential Outlier","Within Range")</f>
        <v>Within Range</v>
      </c>
      <c r="R145" s="26" t="str">
        <f>IF(OR(G145&lt;'Descriptive Statistics'!$I$17,G145&gt;'Descriptive Statistics'!$I$18),"Potential Outlier","Within Range")</f>
        <v>Within Range</v>
      </c>
      <c r="S145" s="26" t="str">
        <f>IF(OR(H145&lt;'Descriptive Statistics'!$J$17,H145&gt;'Descriptive Statistics'!$J$18),"Potential Outlier","Within Range")</f>
        <v>Within Range</v>
      </c>
    </row>
    <row r="146" hidden="1" spans="1:19">
      <c r="A146" t="s">
        <v>605</v>
      </c>
      <c r="B146" s="23">
        <v>45142</v>
      </c>
      <c r="C146" s="23" t="str">
        <f t="shared" si="4"/>
        <v>Aug</v>
      </c>
      <c r="D146" s="23" t="str">
        <f t="shared" si="5"/>
        <v>2023</v>
      </c>
      <c r="E146" t="s">
        <v>606</v>
      </c>
      <c r="F146" s="24" t="s">
        <v>73</v>
      </c>
      <c r="G146" s="17">
        <v>5</v>
      </c>
      <c r="H146" s="19">
        <v>219.78</v>
      </c>
      <c r="I146" t="s">
        <v>161</v>
      </c>
      <c r="J146" s="24" t="s">
        <v>34</v>
      </c>
      <c r="K146" s="24" t="s">
        <v>89</v>
      </c>
      <c r="L146" t="s">
        <v>607</v>
      </c>
      <c r="M146" s="17">
        <v>8</v>
      </c>
      <c r="N146" t="s">
        <v>4295</v>
      </c>
      <c r="O146" s="24" t="s">
        <v>45</v>
      </c>
      <c r="P146" s="19">
        <v>1098.9</v>
      </c>
      <c r="Q146" s="26" t="str">
        <f>IF(OR(P146&lt;'Descriptive Statistics'!$H$17,P146&gt;'Descriptive Statistics'!$H$18),"Potential Outlier","Within Range")</f>
        <v>Within Range</v>
      </c>
      <c r="R146" s="26" t="str">
        <f>IF(OR(G146&lt;'Descriptive Statistics'!$I$17,G146&gt;'Descriptive Statistics'!$I$18),"Potential Outlier","Within Range")</f>
        <v>Within Range</v>
      </c>
      <c r="S146" s="26" t="str">
        <f>IF(OR(H146&lt;'Descriptive Statistics'!$J$17,H146&gt;'Descriptive Statistics'!$J$18),"Potential Outlier","Within Range")</f>
        <v>Within Range</v>
      </c>
    </row>
    <row r="147" hidden="1" spans="1:19">
      <c r="A147" t="s">
        <v>608</v>
      </c>
      <c r="B147" s="23">
        <v>45353</v>
      </c>
      <c r="C147" s="23" t="str">
        <f t="shared" si="4"/>
        <v>Mar</v>
      </c>
      <c r="D147" s="23" t="str">
        <f t="shared" si="5"/>
        <v>2024</v>
      </c>
      <c r="E147" t="s">
        <v>609</v>
      </c>
      <c r="F147" s="24" t="s">
        <v>48</v>
      </c>
      <c r="G147" s="17">
        <v>3</v>
      </c>
      <c r="H147" s="19">
        <v>146.91</v>
      </c>
      <c r="I147" t="s">
        <v>610</v>
      </c>
      <c r="J147" s="24" t="s">
        <v>34</v>
      </c>
      <c r="K147" s="24" t="s">
        <v>50</v>
      </c>
      <c r="L147" t="s">
        <v>611</v>
      </c>
      <c r="M147" s="17">
        <v>6</v>
      </c>
      <c r="N147" t="s">
        <v>37</v>
      </c>
      <c r="O147" s="24" t="s">
        <v>76</v>
      </c>
      <c r="P147" s="19">
        <v>440.73</v>
      </c>
      <c r="Q147" s="26" t="str">
        <f>IF(OR(P147&lt;'Descriptive Statistics'!$H$17,P147&gt;'Descriptive Statistics'!$H$18),"Potential Outlier","Within Range")</f>
        <v>Within Range</v>
      </c>
      <c r="R147" s="26" t="str">
        <f>IF(OR(G147&lt;'Descriptive Statistics'!$I$17,G147&gt;'Descriptive Statistics'!$I$18),"Potential Outlier","Within Range")</f>
        <v>Within Range</v>
      </c>
      <c r="S147" s="26" t="str">
        <f>IF(OR(H147&lt;'Descriptive Statistics'!$J$17,H147&gt;'Descriptive Statistics'!$J$18),"Potential Outlier","Within Range")</f>
        <v>Within Range</v>
      </c>
    </row>
    <row r="148" hidden="1" spans="1:19">
      <c r="A148" t="s">
        <v>612</v>
      </c>
      <c r="B148" s="23">
        <v>45777</v>
      </c>
      <c r="C148" s="23" t="str">
        <f t="shared" si="4"/>
        <v>Apr</v>
      </c>
      <c r="D148" s="23" t="str">
        <f t="shared" si="5"/>
        <v>2025</v>
      </c>
      <c r="E148" t="s">
        <v>613</v>
      </c>
      <c r="F148" s="24" t="s">
        <v>32</v>
      </c>
      <c r="G148" s="17">
        <v>2</v>
      </c>
      <c r="H148" s="19">
        <v>411.49</v>
      </c>
      <c r="I148" t="s">
        <v>614</v>
      </c>
      <c r="J148" s="24" t="s">
        <v>34</v>
      </c>
      <c r="K148" s="24" t="s">
        <v>43</v>
      </c>
      <c r="L148" t="s">
        <v>615</v>
      </c>
      <c r="M148" s="17">
        <v>4</v>
      </c>
      <c r="N148" t="s">
        <v>4295</v>
      </c>
      <c r="O148" s="24" t="s">
        <v>22</v>
      </c>
      <c r="P148" s="19">
        <v>822.98</v>
      </c>
      <c r="Q148" s="26" t="str">
        <f>IF(OR(P148&lt;'Descriptive Statistics'!$H$17,P148&gt;'Descriptive Statistics'!$H$18),"Potential Outlier","Within Range")</f>
        <v>Within Range</v>
      </c>
      <c r="R148" s="26" t="str">
        <f>IF(OR(G148&lt;'Descriptive Statistics'!$I$17,G148&gt;'Descriptive Statistics'!$I$18),"Potential Outlier","Within Range")</f>
        <v>Within Range</v>
      </c>
      <c r="S148" s="26" t="str">
        <f>IF(OR(H148&lt;'Descriptive Statistics'!$J$17,H148&gt;'Descriptive Statistics'!$J$18),"Potential Outlier","Within Range")</f>
        <v>Within Range</v>
      </c>
    </row>
    <row r="149" hidden="1" spans="1:19">
      <c r="A149" t="s">
        <v>616</v>
      </c>
      <c r="B149" s="23">
        <v>45783</v>
      </c>
      <c r="C149" s="23" t="str">
        <f t="shared" si="4"/>
        <v>May</v>
      </c>
      <c r="D149" s="23" t="str">
        <f t="shared" si="5"/>
        <v>2025</v>
      </c>
      <c r="E149" t="s">
        <v>617</v>
      </c>
      <c r="F149" s="24" t="s">
        <v>58</v>
      </c>
      <c r="G149" s="17">
        <v>2</v>
      </c>
      <c r="H149" s="19">
        <v>465.18</v>
      </c>
      <c r="I149" t="s">
        <v>618</v>
      </c>
      <c r="J149" s="24" t="s">
        <v>34</v>
      </c>
      <c r="K149" s="24" t="s">
        <v>35</v>
      </c>
      <c r="L149" t="s">
        <v>619</v>
      </c>
      <c r="M149" s="17">
        <v>2</v>
      </c>
      <c r="N149" t="s">
        <v>21</v>
      </c>
      <c r="O149" s="24" t="s">
        <v>76</v>
      </c>
      <c r="P149" s="19">
        <v>930.36</v>
      </c>
      <c r="Q149" s="26" t="str">
        <f>IF(OR(P149&lt;'Descriptive Statistics'!$H$17,P149&gt;'Descriptive Statistics'!$H$18),"Potential Outlier","Within Range")</f>
        <v>Within Range</v>
      </c>
      <c r="R149" s="26" t="str">
        <f>IF(OR(G149&lt;'Descriptive Statistics'!$I$17,G149&gt;'Descriptive Statistics'!$I$18),"Potential Outlier","Within Range")</f>
        <v>Within Range</v>
      </c>
      <c r="S149" s="26" t="str">
        <f>IF(OR(H149&lt;'Descriptive Statistics'!$J$17,H149&gt;'Descriptive Statistics'!$J$18),"Potential Outlier","Within Range")</f>
        <v>Within Range</v>
      </c>
    </row>
    <row r="150" hidden="1" spans="1:19">
      <c r="A150" t="s">
        <v>620</v>
      </c>
      <c r="B150" s="23">
        <v>45641</v>
      </c>
      <c r="C150" s="23" t="str">
        <f t="shared" si="4"/>
        <v>Dec</v>
      </c>
      <c r="D150" s="23" t="str">
        <f t="shared" si="5"/>
        <v>2024</v>
      </c>
      <c r="E150" t="s">
        <v>621</v>
      </c>
      <c r="F150" s="24" t="s">
        <v>25</v>
      </c>
      <c r="G150" s="17">
        <v>2</v>
      </c>
      <c r="H150" s="19">
        <v>319.91</v>
      </c>
      <c r="I150" t="s">
        <v>622</v>
      </c>
      <c r="J150" s="24" t="s">
        <v>34</v>
      </c>
      <c r="K150" s="24" t="s">
        <v>35</v>
      </c>
      <c r="L150" t="s">
        <v>623</v>
      </c>
      <c r="M150" s="17">
        <v>3</v>
      </c>
      <c r="N150" t="s">
        <v>81</v>
      </c>
      <c r="O150" s="24" t="s">
        <v>76</v>
      </c>
      <c r="P150" s="19">
        <v>639.82</v>
      </c>
      <c r="Q150" s="26" t="str">
        <f>IF(OR(P150&lt;'Descriptive Statistics'!$H$17,P150&gt;'Descriptive Statistics'!$H$18),"Potential Outlier","Within Range")</f>
        <v>Within Range</v>
      </c>
      <c r="R150" s="26" t="str">
        <f>IF(OR(G150&lt;'Descriptive Statistics'!$I$17,G150&gt;'Descriptive Statistics'!$I$18),"Potential Outlier","Within Range")</f>
        <v>Within Range</v>
      </c>
      <c r="S150" s="26" t="str">
        <f>IF(OR(H150&lt;'Descriptive Statistics'!$J$17,H150&gt;'Descriptive Statistics'!$J$18),"Potential Outlier","Within Range")</f>
        <v>Within Range</v>
      </c>
    </row>
    <row r="151" hidden="1" spans="1:19">
      <c r="A151" t="s">
        <v>624</v>
      </c>
      <c r="B151" s="23">
        <v>45287</v>
      </c>
      <c r="C151" s="23" t="str">
        <f t="shared" si="4"/>
        <v>Dec</v>
      </c>
      <c r="D151" s="23" t="str">
        <f t="shared" si="5"/>
        <v>2023</v>
      </c>
      <c r="E151" t="s">
        <v>625</v>
      </c>
      <c r="F151" s="24" t="s">
        <v>58</v>
      </c>
      <c r="G151" s="17">
        <v>1</v>
      </c>
      <c r="H151" s="19">
        <v>217.56</v>
      </c>
      <c r="I151" t="s">
        <v>626</v>
      </c>
      <c r="J151" s="24" t="s">
        <v>18</v>
      </c>
      <c r="K151" s="24" t="s">
        <v>50</v>
      </c>
      <c r="L151" t="s">
        <v>627</v>
      </c>
      <c r="M151" s="17">
        <v>3</v>
      </c>
      <c r="N151" t="s">
        <v>4295</v>
      </c>
      <c r="O151" s="24" t="s">
        <v>45</v>
      </c>
      <c r="P151" s="19">
        <v>217.56</v>
      </c>
      <c r="Q151" s="26" t="str">
        <f>IF(OR(P151&lt;'Descriptive Statistics'!$H$17,P151&gt;'Descriptive Statistics'!$H$18),"Potential Outlier","Within Range")</f>
        <v>Within Range</v>
      </c>
      <c r="R151" s="26" t="str">
        <f>IF(OR(G151&lt;'Descriptive Statistics'!$I$17,G151&gt;'Descriptive Statistics'!$I$18),"Potential Outlier","Within Range")</f>
        <v>Within Range</v>
      </c>
      <c r="S151" s="26" t="str">
        <f>IF(OR(H151&lt;'Descriptive Statistics'!$J$17,H151&gt;'Descriptive Statistics'!$J$18),"Potential Outlier","Within Range")</f>
        <v>Within Range</v>
      </c>
    </row>
    <row r="152" hidden="1" spans="1:19">
      <c r="A152" t="s">
        <v>628</v>
      </c>
      <c r="B152" s="23">
        <v>45273</v>
      </c>
      <c r="C152" s="23" t="str">
        <f t="shared" si="4"/>
        <v>Dec</v>
      </c>
      <c r="D152" s="23" t="str">
        <f t="shared" si="5"/>
        <v>2023</v>
      </c>
      <c r="E152" t="s">
        <v>629</v>
      </c>
      <c r="F152" s="24" t="s">
        <v>25</v>
      </c>
      <c r="G152" s="17">
        <v>2</v>
      </c>
      <c r="H152" s="19">
        <v>105.57</v>
      </c>
      <c r="I152" t="s">
        <v>630</v>
      </c>
      <c r="J152" s="24" t="s">
        <v>18</v>
      </c>
      <c r="K152" s="24" t="s">
        <v>43</v>
      </c>
      <c r="L152" t="s">
        <v>631</v>
      </c>
      <c r="M152" s="17">
        <v>5</v>
      </c>
      <c r="N152" t="s">
        <v>81</v>
      </c>
      <c r="O152" s="24" t="s">
        <v>76</v>
      </c>
      <c r="P152" s="19">
        <v>211.14</v>
      </c>
      <c r="Q152" s="26" t="str">
        <f>IF(OR(P152&lt;'Descriptive Statistics'!$H$17,P152&gt;'Descriptive Statistics'!$H$18),"Potential Outlier","Within Range")</f>
        <v>Within Range</v>
      </c>
      <c r="R152" s="26" t="str">
        <f>IF(OR(G152&lt;'Descriptive Statistics'!$I$17,G152&gt;'Descriptive Statistics'!$I$18),"Potential Outlier","Within Range")</f>
        <v>Within Range</v>
      </c>
      <c r="S152" s="26" t="str">
        <f>IF(OR(H152&lt;'Descriptive Statistics'!$J$17,H152&gt;'Descriptive Statistics'!$J$18),"Potential Outlier","Within Range")</f>
        <v>Within Range</v>
      </c>
    </row>
    <row r="153" hidden="1" spans="1:19">
      <c r="A153" t="s">
        <v>632</v>
      </c>
      <c r="B153" s="23">
        <v>45261</v>
      </c>
      <c r="C153" s="23" t="str">
        <f t="shared" si="4"/>
        <v>Dec</v>
      </c>
      <c r="D153" s="23" t="str">
        <f t="shared" si="5"/>
        <v>2023</v>
      </c>
      <c r="E153" t="s">
        <v>633</v>
      </c>
      <c r="F153" s="24" t="s">
        <v>48</v>
      </c>
      <c r="G153" s="17">
        <v>5</v>
      </c>
      <c r="H153" s="19">
        <v>444.76</v>
      </c>
      <c r="I153" t="s">
        <v>634</v>
      </c>
      <c r="J153" s="24" t="s">
        <v>18</v>
      </c>
      <c r="K153" s="24" t="s">
        <v>43</v>
      </c>
      <c r="L153" t="s">
        <v>635</v>
      </c>
      <c r="M153" s="17">
        <v>7</v>
      </c>
      <c r="N153" t="s">
        <v>4295</v>
      </c>
      <c r="O153" s="24" t="s">
        <v>38</v>
      </c>
      <c r="P153" s="19">
        <v>2223.8</v>
      </c>
      <c r="Q153" s="26" t="str">
        <f>IF(OR(P153&lt;'Descriptive Statistics'!$H$17,P153&gt;'Descriptive Statistics'!$H$18),"Potential Outlier","Within Range")</f>
        <v>Within Range</v>
      </c>
      <c r="R153" s="26" t="str">
        <f>IF(OR(G153&lt;'Descriptive Statistics'!$I$17,G153&gt;'Descriptive Statistics'!$I$18),"Potential Outlier","Within Range")</f>
        <v>Within Range</v>
      </c>
      <c r="S153" s="26" t="str">
        <f>IF(OR(H153&lt;'Descriptive Statistics'!$J$17,H153&gt;'Descriptive Statistics'!$J$18),"Potential Outlier","Within Range")</f>
        <v>Within Range</v>
      </c>
    </row>
    <row r="154" hidden="1" spans="1:19">
      <c r="A154" t="s">
        <v>636</v>
      </c>
      <c r="B154" s="23">
        <v>45659</v>
      </c>
      <c r="C154" s="23" t="str">
        <f t="shared" si="4"/>
        <v>Jan</v>
      </c>
      <c r="D154" s="23" t="str">
        <f t="shared" si="5"/>
        <v>2025</v>
      </c>
      <c r="E154" t="s">
        <v>637</v>
      </c>
      <c r="F154" s="24" t="s">
        <v>41</v>
      </c>
      <c r="G154" s="17">
        <v>2</v>
      </c>
      <c r="H154" s="19">
        <v>399.04</v>
      </c>
      <c r="I154" t="s">
        <v>638</v>
      </c>
      <c r="J154" s="24" t="s">
        <v>65</v>
      </c>
      <c r="K154" s="24" t="s">
        <v>35</v>
      </c>
      <c r="L154" t="s">
        <v>639</v>
      </c>
      <c r="M154" s="17">
        <v>3</v>
      </c>
      <c r="N154" t="s">
        <v>37</v>
      </c>
      <c r="O154" s="24" t="s">
        <v>29</v>
      </c>
      <c r="P154" s="19">
        <v>798.08</v>
      </c>
      <c r="Q154" s="26" t="str">
        <f>IF(OR(P154&lt;'Descriptive Statistics'!$H$17,P154&gt;'Descriptive Statistics'!$H$18),"Potential Outlier","Within Range")</f>
        <v>Within Range</v>
      </c>
      <c r="R154" s="26" t="str">
        <f>IF(OR(G154&lt;'Descriptive Statistics'!$I$17,G154&gt;'Descriptive Statistics'!$I$18),"Potential Outlier","Within Range")</f>
        <v>Within Range</v>
      </c>
      <c r="S154" s="26" t="str">
        <f>IF(OR(H154&lt;'Descriptive Statistics'!$J$17,H154&gt;'Descriptive Statistics'!$J$18),"Potential Outlier","Within Range")</f>
        <v>Within Range</v>
      </c>
    </row>
    <row r="155" hidden="1" spans="1:19">
      <c r="A155" t="s">
        <v>640</v>
      </c>
      <c r="B155" s="23">
        <v>45644</v>
      </c>
      <c r="C155" s="23" t="str">
        <f t="shared" si="4"/>
        <v>Dec</v>
      </c>
      <c r="D155" s="23" t="str">
        <f t="shared" si="5"/>
        <v>2024</v>
      </c>
      <c r="E155" t="s">
        <v>641</v>
      </c>
      <c r="F155" s="24" t="s">
        <v>41</v>
      </c>
      <c r="G155" s="17">
        <v>4</v>
      </c>
      <c r="H155" s="19">
        <v>534.48</v>
      </c>
      <c r="I155" t="s">
        <v>642</v>
      </c>
      <c r="J155" s="24" t="s">
        <v>27</v>
      </c>
      <c r="K155" s="24" t="s">
        <v>43</v>
      </c>
      <c r="L155" t="s">
        <v>643</v>
      </c>
      <c r="M155" s="17">
        <v>9</v>
      </c>
      <c r="N155" t="s">
        <v>81</v>
      </c>
      <c r="O155" s="24" t="s">
        <v>22</v>
      </c>
      <c r="P155" s="19">
        <v>2137.92</v>
      </c>
      <c r="Q155" s="26" t="str">
        <f>IF(OR(P155&lt;'Descriptive Statistics'!$H$17,P155&gt;'Descriptive Statistics'!$H$18),"Potential Outlier","Within Range")</f>
        <v>Within Range</v>
      </c>
      <c r="R155" s="26" t="str">
        <f>IF(OR(G155&lt;'Descriptive Statistics'!$I$17,G155&gt;'Descriptive Statistics'!$I$18),"Potential Outlier","Within Range")</f>
        <v>Within Range</v>
      </c>
      <c r="S155" s="26" t="str">
        <f>IF(OR(H155&lt;'Descriptive Statistics'!$J$17,H155&gt;'Descriptive Statistics'!$J$18),"Potential Outlier","Within Range")</f>
        <v>Within Range</v>
      </c>
    </row>
    <row r="156" hidden="1" spans="1:19">
      <c r="A156" t="s">
        <v>644</v>
      </c>
      <c r="B156" s="23">
        <v>45127</v>
      </c>
      <c r="C156" s="23" t="str">
        <f t="shared" si="4"/>
        <v>Jul</v>
      </c>
      <c r="D156" s="23" t="str">
        <f t="shared" si="5"/>
        <v>2023</v>
      </c>
      <c r="E156" t="s">
        <v>645</v>
      </c>
      <c r="F156" s="24" t="s">
        <v>25</v>
      </c>
      <c r="G156" s="17">
        <v>4</v>
      </c>
      <c r="H156" s="19">
        <v>408.21</v>
      </c>
      <c r="I156" t="s">
        <v>525</v>
      </c>
      <c r="J156" s="24" t="s">
        <v>34</v>
      </c>
      <c r="K156" s="24" t="s">
        <v>89</v>
      </c>
      <c r="L156" t="s">
        <v>646</v>
      </c>
      <c r="M156" s="17">
        <v>9</v>
      </c>
      <c r="N156" t="s">
        <v>4295</v>
      </c>
      <c r="O156" s="24" t="s">
        <v>22</v>
      </c>
      <c r="P156" s="19">
        <v>1632.84</v>
      </c>
      <c r="Q156" s="26" t="str">
        <f>IF(OR(P156&lt;'Descriptive Statistics'!$H$17,P156&gt;'Descriptive Statistics'!$H$18),"Potential Outlier","Within Range")</f>
        <v>Within Range</v>
      </c>
      <c r="R156" s="26" t="str">
        <f>IF(OR(G156&lt;'Descriptive Statistics'!$I$17,G156&gt;'Descriptive Statistics'!$I$18),"Potential Outlier","Within Range")</f>
        <v>Within Range</v>
      </c>
      <c r="S156" s="26" t="str">
        <f>IF(OR(H156&lt;'Descriptive Statistics'!$J$17,H156&gt;'Descriptive Statistics'!$J$18),"Potential Outlier","Within Range")</f>
        <v>Within Range</v>
      </c>
    </row>
    <row r="157" hidden="1" spans="1:19">
      <c r="A157" t="s">
        <v>647</v>
      </c>
      <c r="B157" s="23">
        <v>44984</v>
      </c>
      <c r="C157" s="23" t="str">
        <f t="shared" si="4"/>
        <v>Feb</v>
      </c>
      <c r="D157" s="23" t="str">
        <f t="shared" si="5"/>
        <v>2023</v>
      </c>
      <c r="E157" t="s">
        <v>648</v>
      </c>
      <c r="F157" s="24" t="s">
        <v>25</v>
      </c>
      <c r="G157" s="17">
        <v>1</v>
      </c>
      <c r="H157" s="19">
        <v>424.4</v>
      </c>
      <c r="I157" t="s">
        <v>238</v>
      </c>
      <c r="J157" s="24" t="s">
        <v>27</v>
      </c>
      <c r="K157" s="24" t="s">
        <v>19</v>
      </c>
      <c r="L157" t="s">
        <v>649</v>
      </c>
      <c r="M157" s="17">
        <v>6</v>
      </c>
      <c r="N157" t="s">
        <v>81</v>
      </c>
      <c r="O157" s="24" t="s">
        <v>29</v>
      </c>
      <c r="P157" s="19">
        <v>424.4</v>
      </c>
      <c r="Q157" s="26" t="str">
        <f>IF(OR(P157&lt;'Descriptive Statistics'!$H$17,P157&gt;'Descriptive Statistics'!$H$18),"Potential Outlier","Within Range")</f>
        <v>Within Range</v>
      </c>
      <c r="R157" s="26" t="str">
        <f>IF(OR(G157&lt;'Descriptive Statistics'!$I$17,G157&gt;'Descriptive Statistics'!$I$18),"Potential Outlier","Within Range")</f>
        <v>Within Range</v>
      </c>
      <c r="S157" s="26" t="str">
        <f>IF(OR(H157&lt;'Descriptive Statistics'!$J$17,H157&gt;'Descriptive Statistics'!$J$18),"Potential Outlier","Within Range")</f>
        <v>Within Range</v>
      </c>
    </row>
    <row r="158" hidden="1" spans="1:19">
      <c r="A158" t="s">
        <v>650</v>
      </c>
      <c r="B158" s="23">
        <v>45604</v>
      </c>
      <c r="C158" s="23" t="str">
        <f t="shared" si="4"/>
        <v>Nov</v>
      </c>
      <c r="D158" s="23" t="str">
        <f t="shared" si="5"/>
        <v>2024</v>
      </c>
      <c r="E158" t="s">
        <v>651</v>
      </c>
      <c r="F158" s="24" t="s">
        <v>41</v>
      </c>
      <c r="G158" s="17">
        <v>2</v>
      </c>
      <c r="H158" s="19">
        <v>269.83</v>
      </c>
      <c r="I158" t="s">
        <v>652</v>
      </c>
      <c r="J158" s="24" t="s">
        <v>27</v>
      </c>
      <c r="K158" s="24" t="s">
        <v>50</v>
      </c>
      <c r="L158" t="s">
        <v>653</v>
      </c>
      <c r="M158" s="17">
        <v>4</v>
      </c>
      <c r="N158" t="s">
        <v>21</v>
      </c>
      <c r="O158" s="24" t="s">
        <v>38</v>
      </c>
      <c r="P158" s="19">
        <v>539.66</v>
      </c>
      <c r="Q158" s="26" t="str">
        <f>IF(OR(P158&lt;'Descriptive Statistics'!$H$17,P158&gt;'Descriptive Statistics'!$H$18),"Potential Outlier","Within Range")</f>
        <v>Within Range</v>
      </c>
      <c r="R158" s="26" t="str">
        <f>IF(OR(G158&lt;'Descriptive Statistics'!$I$17,G158&gt;'Descriptive Statistics'!$I$18),"Potential Outlier","Within Range")</f>
        <v>Within Range</v>
      </c>
      <c r="S158" s="26" t="str">
        <f>IF(OR(H158&lt;'Descriptive Statistics'!$J$17,H158&gt;'Descriptive Statistics'!$J$18),"Potential Outlier","Within Range")</f>
        <v>Within Range</v>
      </c>
    </row>
    <row r="159" hidden="1" spans="1:19">
      <c r="A159" t="s">
        <v>654</v>
      </c>
      <c r="B159" s="23">
        <v>45709</v>
      </c>
      <c r="C159" s="23" t="str">
        <f t="shared" si="4"/>
        <v>Feb</v>
      </c>
      <c r="D159" s="23" t="str">
        <f t="shared" si="5"/>
        <v>2025</v>
      </c>
      <c r="E159" t="s">
        <v>655</v>
      </c>
      <c r="F159" s="24" t="s">
        <v>16</v>
      </c>
      <c r="G159" s="17">
        <v>2</v>
      </c>
      <c r="H159" s="19">
        <v>564.58</v>
      </c>
      <c r="I159" t="s">
        <v>565</v>
      </c>
      <c r="J159" s="24" t="s">
        <v>27</v>
      </c>
      <c r="K159" s="24" t="s">
        <v>43</v>
      </c>
      <c r="L159" t="s">
        <v>656</v>
      </c>
      <c r="M159" s="17">
        <v>4</v>
      </c>
      <c r="N159" t="s">
        <v>81</v>
      </c>
      <c r="O159" s="24" t="s">
        <v>45</v>
      </c>
      <c r="P159" s="19">
        <v>1129.16</v>
      </c>
      <c r="Q159" s="26" t="str">
        <f>IF(OR(P159&lt;'Descriptive Statistics'!$H$17,P159&gt;'Descriptive Statistics'!$H$18),"Potential Outlier","Within Range")</f>
        <v>Within Range</v>
      </c>
      <c r="R159" s="26" t="str">
        <f>IF(OR(G159&lt;'Descriptive Statistics'!$I$17,G159&gt;'Descriptive Statistics'!$I$18),"Potential Outlier","Within Range")</f>
        <v>Within Range</v>
      </c>
      <c r="S159" s="26" t="str">
        <f>IF(OR(H159&lt;'Descriptive Statistics'!$J$17,H159&gt;'Descriptive Statistics'!$J$18),"Potential Outlier","Within Range")</f>
        <v>Within Range</v>
      </c>
    </row>
    <row r="160" hidden="1" spans="1:19">
      <c r="A160" t="s">
        <v>657</v>
      </c>
      <c r="B160" s="23">
        <v>45428</v>
      </c>
      <c r="C160" s="23" t="str">
        <f t="shared" si="4"/>
        <v>May</v>
      </c>
      <c r="D160" s="23" t="str">
        <f t="shared" si="5"/>
        <v>2024</v>
      </c>
      <c r="E160" t="s">
        <v>658</v>
      </c>
      <c r="F160" s="24" t="s">
        <v>32</v>
      </c>
      <c r="G160" s="17">
        <v>1</v>
      </c>
      <c r="H160" s="19">
        <v>331.06</v>
      </c>
      <c r="I160" t="s">
        <v>659</v>
      </c>
      <c r="J160" s="24" t="s">
        <v>34</v>
      </c>
      <c r="K160" s="24" t="s">
        <v>89</v>
      </c>
      <c r="L160" t="s">
        <v>660</v>
      </c>
      <c r="M160" s="17">
        <v>5</v>
      </c>
      <c r="N160" t="s">
        <v>81</v>
      </c>
      <c r="O160" s="24" t="s">
        <v>22</v>
      </c>
      <c r="P160" s="19">
        <v>331.06</v>
      </c>
      <c r="Q160" s="26" t="str">
        <f>IF(OR(P160&lt;'Descriptive Statistics'!$H$17,P160&gt;'Descriptive Statistics'!$H$18),"Potential Outlier","Within Range")</f>
        <v>Within Range</v>
      </c>
      <c r="R160" s="26" t="str">
        <f>IF(OR(G160&lt;'Descriptive Statistics'!$I$17,G160&gt;'Descriptive Statistics'!$I$18),"Potential Outlier","Within Range")</f>
        <v>Within Range</v>
      </c>
      <c r="S160" s="26" t="str">
        <f>IF(OR(H160&lt;'Descriptive Statistics'!$J$17,H160&gt;'Descriptive Statistics'!$J$18),"Potential Outlier","Within Range")</f>
        <v>Within Range</v>
      </c>
    </row>
    <row r="161" hidden="1" spans="1:19">
      <c r="A161" t="s">
        <v>661</v>
      </c>
      <c r="B161" s="23">
        <v>45230</v>
      </c>
      <c r="C161" s="23" t="str">
        <f t="shared" si="4"/>
        <v>Oct</v>
      </c>
      <c r="D161" s="23" t="str">
        <f t="shared" si="5"/>
        <v>2023</v>
      </c>
      <c r="E161" t="s">
        <v>662</v>
      </c>
      <c r="F161" s="24" t="s">
        <v>48</v>
      </c>
      <c r="G161" s="17">
        <v>1</v>
      </c>
      <c r="H161" s="19">
        <v>299.35</v>
      </c>
      <c r="I161" t="s">
        <v>663</v>
      </c>
      <c r="J161" s="24" t="s">
        <v>34</v>
      </c>
      <c r="K161" s="24" t="s">
        <v>35</v>
      </c>
      <c r="L161" t="s">
        <v>664</v>
      </c>
      <c r="M161" s="17">
        <v>5</v>
      </c>
      <c r="N161" t="s">
        <v>81</v>
      </c>
      <c r="O161" s="24" t="s">
        <v>38</v>
      </c>
      <c r="P161" s="19">
        <v>299.35</v>
      </c>
      <c r="Q161" s="26" t="str">
        <f>IF(OR(P161&lt;'Descriptive Statistics'!$H$17,P161&gt;'Descriptive Statistics'!$H$18),"Potential Outlier","Within Range")</f>
        <v>Within Range</v>
      </c>
      <c r="R161" s="26" t="str">
        <f>IF(OR(G161&lt;'Descriptive Statistics'!$I$17,G161&gt;'Descriptive Statistics'!$I$18),"Potential Outlier","Within Range")</f>
        <v>Within Range</v>
      </c>
      <c r="S161" s="26" t="str">
        <f>IF(OR(H161&lt;'Descriptive Statistics'!$J$17,H161&gt;'Descriptive Statistics'!$J$18),"Potential Outlier","Within Range")</f>
        <v>Within Range</v>
      </c>
    </row>
    <row r="162" hidden="1" spans="1:19">
      <c r="A162" t="s">
        <v>665</v>
      </c>
      <c r="B162" s="23">
        <v>44974</v>
      </c>
      <c r="C162" s="23" t="str">
        <f t="shared" si="4"/>
        <v>Feb</v>
      </c>
      <c r="D162" s="23" t="str">
        <f t="shared" si="5"/>
        <v>2023</v>
      </c>
      <c r="E162" t="s">
        <v>666</v>
      </c>
      <c r="F162" s="24" t="s">
        <v>16</v>
      </c>
      <c r="G162" s="17">
        <v>4</v>
      </c>
      <c r="H162" s="19">
        <v>101.32</v>
      </c>
      <c r="I162" t="s">
        <v>667</v>
      </c>
      <c r="J162" s="24" t="s">
        <v>65</v>
      </c>
      <c r="K162" s="24" t="s">
        <v>89</v>
      </c>
      <c r="L162" t="s">
        <v>668</v>
      </c>
      <c r="M162" s="17">
        <v>7</v>
      </c>
      <c r="N162" t="s">
        <v>4295</v>
      </c>
      <c r="O162" s="24" t="s">
        <v>29</v>
      </c>
      <c r="P162" s="19">
        <v>405.28</v>
      </c>
      <c r="Q162" s="26" t="str">
        <f>IF(OR(P162&lt;'Descriptive Statistics'!$H$17,P162&gt;'Descriptive Statistics'!$H$18),"Potential Outlier","Within Range")</f>
        <v>Within Range</v>
      </c>
      <c r="R162" s="26" t="str">
        <f>IF(OR(G162&lt;'Descriptive Statistics'!$I$17,G162&gt;'Descriptive Statistics'!$I$18),"Potential Outlier","Within Range")</f>
        <v>Within Range</v>
      </c>
      <c r="S162" s="26" t="str">
        <f>IF(OR(H162&lt;'Descriptive Statistics'!$J$17,H162&gt;'Descriptive Statistics'!$J$18),"Potential Outlier","Within Range")</f>
        <v>Within Range</v>
      </c>
    </row>
    <row r="163" hidden="1" spans="1:19">
      <c r="A163" t="s">
        <v>669</v>
      </c>
      <c r="B163" s="23">
        <v>45380</v>
      </c>
      <c r="C163" s="23" t="str">
        <f t="shared" si="4"/>
        <v>Mar</v>
      </c>
      <c r="D163" s="23" t="str">
        <f t="shared" si="5"/>
        <v>2024</v>
      </c>
      <c r="E163" t="s">
        <v>670</v>
      </c>
      <c r="F163" s="24" t="s">
        <v>16</v>
      </c>
      <c r="G163" s="17">
        <v>1</v>
      </c>
      <c r="H163" s="19">
        <v>211.14</v>
      </c>
      <c r="I163" t="s">
        <v>553</v>
      </c>
      <c r="J163" s="24" t="s">
        <v>34</v>
      </c>
      <c r="K163" s="24" t="s">
        <v>35</v>
      </c>
      <c r="L163" t="s">
        <v>671</v>
      </c>
      <c r="M163" s="17">
        <v>1</v>
      </c>
      <c r="N163" t="s">
        <v>21</v>
      </c>
      <c r="O163" s="24" t="s">
        <v>45</v>
      </c>
      <c r="P163" s="19">
        <v>211.14</v>
      </c>
      <c r="Q163" s="26" t="str">
        <f>IF(OR(P163&lt;'Descriptive Statistics'!$H$17,P163&gt;'Descriptive Statistics'!$H$18),"Potential Outlier","Within Range")</f>
        <v>Within Range</v>
      </c>
      <c r="R163" s="26" t="str">
        <f>IF(OR(G163&lt;'Descriptive Statistics'!$I$17,G163&gt;'Descriptive Statistics'!$I$18),"Potential Outlier","Within Range")</f>
        <v>Within Range</v>
      </c>
      <c r="S163" s="26" t="str">
        <f>IF(OR(H163&lt;'Descriptive Statistics'!$J$17,H163&gt;'Descriptive Statistics'!$J$18),"Potential Outlier","Within Range")</f>
        <v>Within Range</v>
      </c>
    </row>
    <row r="164" hidden="1" spans="1:19">
      <c r="A164" t="s">
        <v>672</v>
      </c>
      <c r="B164" s="23">
        <v>45134</v>
      </c>
      <c r="C164" s="23" t="str">
        <f t="shared" si="4"/>
        <v>Jul</v>
      </c>
      <c r="D164" s="23" t="str">
        <f t="shared" si="5"/>
        <v>2023</v>
      </c>
      <c r="E164" t="s">
        <v>673</v>
      </c>
      <c r="F164" s="24" t="s">
        <v>41</v>
      </c>
      <c r="G164" s="17">
        <v>3</v>
      </c>
      <c r="H164" s="19">
        <v>65.86</v>
      </c>
      <c r="I164" t="s">
        <v>335</v>
      </c>
      <c r="J164" s="24" t="s">
        <v>27</v>
      </c>
      <c r="K164" s="24" t="s">
        <v>89</v>
      </c>
      <c r="L164" t="s">
        <v>674</v>
      </c>
      <c r="M164" s="17">
        <v>8</v>
      </c>
      <c r="N164" t="s">
        <v>81</v>
      </c>
      <c r="O164" s="24" t="s">
        <v>76</v>
      </c>
      <c r="P164" s="19">
        <v>197.58</v>
      </c>
      <c r="Q164" s="26" t="str">
        <f>IF(OR(P164&lt;'Descriptive Statistics'!$H$17,P164&gt;'Descriptive Statistics'!$H$18),"Potential Outlier","Within Range")</f>
        <v>Within Range</v>
      </c>
      <c r="R164" s="26" t="str">
        <f>IF(OR(G164&lt;'Descriptive Statistics'!$I$17,G164&gt;'Descriptive Statistics'!$I$18),"Potential Outlier","Within Range")</f>
        <v>Within Range</v>
      </c>
      <c r="S164" s="26" t="str">
        <f>IF(OR(H164&lt;'Descriptive Statistics'!$J$17,H164&gt;'Descriptive Statistics'!$J$18),"Potential Outlier","Within Range")</f>
        <v>Within Range</v>
      </c>
    </row>
    <row r="165" hidden="1" spans="1:19">
      <c r="A165" t="s">
        <v>675</v>
      </c>
      <c r="B165" s="23">
        <v>45832</v>
      </c>
      <c r="C165" s="23" t="str">
        <f t="shared" si="4"/>
        <v>Jun</v>
      </c>
      <c r="D165" s="23" t="str">
        <f t="shared" si="5"/>
        <v>2025</v>
      </c>
      <c r="E165" t="s">
        <v>676</v>
      </c>
      <c r="F165" s="24" t="s">
        <v>32</v>
      </c>
      <c r="G165" s="17">
        <v>1</v>
      </c>
      <c r="H165" s="19">
        <v>641.39</v>
      </c>
      <c r="I165" t="s">
        <v>677</v>
      </c>
      <c r="J165" s="24" t="s">
        <v>27</v>
      </c>
      <c r="K165" s="24" t="s">
        <v>35</v>
      </c>
      <c r="L165" t="s">
        <v>678</v>
      </c>
      <c r="M165" s="17">
        <v>1</v>
      </c>
      <c r="N165" t="s">
        <v>4295</v>
      </c>
      <c r="O165" s="24" t="s">
        <v>29</v>
      </c>
      <c r="P165" s="19">
        <v>641.39</v>
      </c>
      <c r="Q165" s="26" t="str">
        <f>IF(OR(P165&lt;'Descriptive Statistics'!$H$17,P165&gt;'Descriptive Statistics'!$H$18),"Potential Outlier","Within Range")</f>
        <v>Within Range</v>
      </c>
      <c r="R165" s="26" t="str">
        <f>IF(OR(G165&lt;'Descriptive Statistics'!$I$17,G165&gt;'Descriptive Statistics'!$I$18),"Potential Outlier","Within Range")</f>
        <v>Within Range</v>
      </c>
      <c r="S165" s="26" t="str">
        <f>IF(OR(H165&lt;'Descriptive Statistics'!$J$17,H165&gt;'Descriptive Statistics'!$J$18),"Potential Outlier","Within Range")</f>
        <v>Within Range</v>
      </c>
    </row>
    <row r="166" hidden="1" spans="1:19">
      <c r="A166" t="s">
        <v>679</v>
      </c>
      <c r="B166" s="23">
        <v>45288</v>
      </c>
      <c r="C166" s="23" t="str">
        <f t="shared" si="4"/>
        <v>Dec</v>
      </c>
      <c r="D166" s="23" t="str">
        <f t="shared" si="5"/>
        <v>2023</v>
      </c>
      <c r="E166" t="s">
        <v>680</v>
      </c>
      <c r="F166" s="24" t="s">
        <v>73</v>
      </c>
      <c r="G166" s="17">
        <v>5</v>
      </c>
      <c r="H166" s="19">
        <v>536.58</v>
      </c>
      <c r="I166" t="s">
        <v>681</v>
      </c>
      <c r="J166" s="24" t="s">
        <v>60</v>
      </c>
      <c r="K166" s="24" t="s">
        <v>89</v>
      </c>
      <c r="L166" t="s">
        <v>682</v>
      </c>
      <c r="M166" s="17">
        <v>5</v>
      </c>
      <c r="N166" t="s">
        <v>21</v>
      </c>
      <c r="O166" s="24" t="s">
        <v>76</v>
      </c>
      <c r="P166" s="19">
        <v>2682.9</v>
      </c>
      <c r="Q166" s="26" t="str">
        <f>IF(OR(P166&lt;'Descriptive Statistics'!$H$17,P166&gt;'Descriptive Statistics'!$H$18),"Potential Outlier","Within Range")</f>
        <v>Within Range</v>
      </c>
      <c r="R166" s="26" t="str">
        <f>IF(OR(G166&lt;'Descriptive Statistics'!$I$17,G166&gt;'Descriptive Statistics'!$I$18),"Potential Outlier","Within Range")</f>
        <v>Within Range</v>
      </c>
      <c r="S166" s="26" t="str">
        <f>IF(OR(H166&lt;'Descriptive Statistics'!$J$17,H166&gt;'Descriptive Statistics'!$J$18),"Potential Outlier","Within Range")</f>
        <v>Within Range</v>
      </c>
    </row>
    <row r="167" hidden="1" spans="1:19">
      <c r="A167" t="s">
        <v>683</v>
      </c>
      <c r="B167" s="23">
        <v>45549</v>
      </c>
      <c r="C167" s="23" t="str">
        <f t="shared" si="4"/>
        <v>Sep</v>
      </c>
      <c r="D167" s="23" t="str">
        <f t="shared" si="5"/>
        <v>2024</v>
      </c>
      <c r="E167" t="s">
        <v>684</v>
      </c>
      <c r="F167" s="24" t="s">
        <v>16</v>
      </c>
      <c r="G167" s="17">
        <v>2</v>
      </c>
      <c r="H167" s="19">
        <v>500.29</v>
      </c>
      <c r="I167" t="s">
        <v>685</v>
      </c>
      <c r="J167" s="24" t="s">
        <v>27</v>
      </c>
      <c r="K167" s="24" t="s">
        <v>43</v>
      </c>
      <c r="L167" t="s">
        <v>686</v>
      </c>
      <c r="M167" s="17">
        <v>7</v>
      </c>
      <c r="N167" t="s">
        <v>81</v>
      </c>
      <c r="O167" s="24" t="s">
        <v>76</v>
      </c>
      <c r="P167" s="19">
        <v>1000.58</v>
      </c>
      <c r="Q167" s="26" t="str">
        <f>IF(OR(P167&lt;'Descriptive Statistics'!$H$17,P167&gt;'Descriptive Statistics'!$H$18),"Potential Outlier","Within Range")</f>
        <v>Within Range</v>
      </c>
      <c r="R167" s="26" t="str">
        <f>IF(OR(G167&lt;'Descriptive Statistics'!$I$17,G167&gt;'Descriptive Statistics'!$I$18),"Potential Outlier","Within Range")</f>
        <v>Within Range</v>
      </c>
      <c r="S167" s="26" t="str">
        <f>IF(OR(H167&lt;'Descriptive Statistics'!$J$17,H167&gt;'Descriptive Statistics'!$J$18),"Potential Outlier","Within Range")</f>
        <v>Within Range</v>
      </c>
    </row>
    <row r="168" hidden="1" spans="1:19">
      <c r="A168" t="s">
        <v>687</v>
      </c>
      <c r="B168" s="23">
        <v>45720</v>
      </c>
      <c r="C168" s="23" t="str">
        <f t="shared" si="4"/>
        <v>Mar</v>
      </c>
      <c r="D168" s="23" t="str">
        <f t="shared" si="5"/>
        <v>2025</v>
      </c>
      <c r="E168" t="s">
        <v>688</v>
      </c>
      <c r="F168" s="24" t="s">
        <v>41</v>
      </c>
      <c r="G168" s="17">
        <v>3</v>
      </c>
      <c r="H168" s="19">
        <v>86.29</v>
      </c>
      <c r="I168" t="s">
        <v>257</v>
      </c>
      <c r="J168" s="24" t="s">
        <v>65</v>
      </c>
      <c r="K168" s="24" t="s">
        <v>50</v>
      </c>
      <c r="L168" t="s">
        <v>689</v>
      </c>
      <c r="M168" s="17">
        <v>6</v>
      </c>
      <c r="N168" t="s">
        <v>81</v>
      </c>
      <c r="O168" s="24" t="s">
        <v>22</v>
      </c>
      <c r="P168" s="19">
        <v>258.87</v>
      </c>
      <c r="Q168" s="26" t="str">
        <f>IF(OR(P168&lt;'Descriptive Statistics'!$H$17,P168&gt;'Descriptive Statistics'!$H$18),"Potential Outlier","Within Range")</f>
        <v>Within Range</v>
      </c>
      <c r="R168" s="26" t="str">
        <f>IF(OR(G168&lt;'Descriptive Statistics'!$I$17,G168&gt;'Descriptive Statistics'!$I$18),"Potential Outlier","Within Range")</f>
        <v>Within Range</v>
      </c>
      <c r="S168" s="26" t="str">
        <f>IF(OR(H168&lt;'Descriptive Statistics'!$J$17,H168&gt;'Descriptive Statistics'!$J$18),"Potential Outlier","Within Range")</f>
        <v>Within Range</v>
      </c>
    </row>
    <row r="169" hidden="1" spans="1:19">
      <c r="A169" t="s">
        <v>690</v>
      </c>
      <c r="B169" s="23">
        <v>45073</v>
      </c>
      <c r="C169" s="23" t="str">
        <f t="shared" si="4"/>
        <v>May</v>
      </c>
      <c r="D169" s="23" t="str">
        <f t="shared" si="5"/>
        <v>2023</v>
      </c>
      <c r="E169" t="s">
        <v>691</v>
      </c>
      <c r="F169" s="24" t="s">
        <v>41</v>
      </c>
      <c r="G169" s="17">
        <v>2</v>
      </c>
      <c r="H169" s="19">
        <v>384.14</v>
      </c>
      <c r="I169" t="s">
        <v>692</v>
      </c>
      <c r="J169" s="24" t="s">
        <v>27</v>
      </c>
      <c r="K169" s="24" t="s">
        <v>43</v>
      </c>
      <c r="L169" t="s">
        <v>693</v>
      </c>
      <c r="M169" s="17">
        <v>2</v>
      </c>
      <c r="N169" t="s">
        <v>81</v>
      </c>
      <c r="O169" s="24" t="s">
        <v>38</v>
      </c>
      <c r="P169" s="19">
        <v>768.28</v>
      </c>
      <c r="Q169" s="26" t="str">
        <f>IF(OR(P169&lt;'Descriptive Statistics'!$H$17,P169&gt;'Descriptive Statistics'!$H$18),"Potential Outlier","Within Range")</f>
        <v>Within Range</v>
      </c>
      <c r="R169" s="26" t="str">
        <f>IF(OR(G169&lt;'Descriptive Statistics'!$I$17,G169&gt;'Descriptive Statistics'!$I$18),"Potential Outlier","Within Range")</f>
        <v>Within Range</v>
      </c>
      <c r="S169" s="26" t="str">
        <f>IF(OR(H169&lt;'Descriptive Statistics'!$J$17,H169&gt;'Descriptive Statistics'!$J$18),"Potential Outlier","Within Range")</f>
        <v>Within Range</v>
      </c>
    </row>
    <row r="170" hidden="1" spans="1:19">
      <c r="A170" t="s">
        <v>694</v>
      </c>
      <c r="B170" s="23">
        <v>45661</v>
      </c>
      <c r="C170" s="23" t="str">
        <f t="shared" si="4"/>
        <v>Jan</v>
      </c>
      <c r="D170" s="23" t="str">
        <f t="shared" si="5"/>
        <v>2025</v>
      </c>
      <c r="E170" t="s">
        <v>695</v>
      </c>
      <c r="F170" s="24" t="s">
        <v>48</v>
      </c>
      <c r="G170" s="17">
        <v>1</v>
      </c>
      <c r="H170" s="19">
        <v>594.96</v>
      </c>
      <c r="I170" t="s">
        <v>696</v>
      </c>
      <c r="J170" s="24" t="s">
        <v>65</v>
      </c>
      <c r="K170" s="24" t="s">
        <v>43</v>
      </c>
      <c r="L170" t="s">
        <v>697</v>
      </c>
      <c r="M170" s="17">
        <v>6</v>
      </c>
      <c r="N170" t="s">
        <v>4295</v>
      </c>
      <c r="O170" s="24" t="s">
        <v>45</v>
      </c>
      <c r="P170" s="19">
        <v>594.96</v>
      </c>
      <c r="Q170" s="26" t="str">
        <f>IF(OR(P170&lt;'Descriptive Statistics'!$H$17,P170&gt;'Descriptive Statistics'!$H$18),"Potential Outlier","Within Range")</f>
        <v>Within Range</v>
      </c>
      <c r="R170" s="26" t="str">
        <f>IF(OR(G170&lt;'Descriptive Statistics'!$I$17,G170&gt;'Descriptive Statistics'!$I$18),"Potential Outlier","Within Range")</f>
        <v>Within Range</v>
      </c>
      <c r="S170" s="26" t="str">
        <f>IF(OR(H170&lt;'Descriptive Statistics'!$J$17,H170&gt;'Descriptive Statistics'!$J$18),"Potential Outlier","Within Range")</f>
        <v>Within Range</v>
      </c>
    </row>
    <row r="171" hidden="1" spans="1:19">
      <c r="A171" t="s">
        <v>698</v>
      </c>
      <c r="B171" s="23">
        <v>45389</v>
      </c>
      <c r="C171" s="23" t="str">
        <f t="shared" si="4"/>
        <v>Apr</v>
      </c>
      <c r="D171" s="23" t="str">
        <f t="shared" si="5"/>
        <v>2024</v>
      </c>
      <c r="E171" t="s">
        <v>699</v>
      </c>
      <c r="F171" s="24" t="s">
        <v>48</v>
      </c>
      <c r="G171" s="17">
        <v>1</v>
      </c>
      <c r="H171" s="19">
        <v>427.82</v>
      </c>
      <c r="I171" t="s">
        <v>700</v>
      </c>
      <c r="J171" s="24" t="s">
        <v>27</v>
      </c>
      <c r="K171" s="24" t="s">
        <v>50</v>
      </c>
      <c r="L171" t="s">
        <v>701</v>
      </c>
      <c r="M171" s="17">
        <v>2</v>
      </c>
      <c r="N171" t="s">
        <v>81</v>
      </c>
      <c r="O171" s="24" t="s">
        <v>38</v>
      </c>
      <c r="P171" s="19">
        <v>427.82</v>
      </c>
      <c r="Q171" s="26" t="str">
        <f>IF(OR(P171&lt;'Descriptive Statistics'!$H$17,P171&gt;'Descriptive Statistics'!$H$18),"Potential Outlier","Within Range")</f>
        <v>Within Range</v>
      </c>
      <c r="R171" s="26" t="str">
        <f>IF(OR(G171&lt;'Descriptive Statistics'!$I$17,G171&gt;'Descriptive Statistics'!$I$18),"Potential Outlier","Within Range")</f>
        <v>Within Range</v>
      </c>
      <c r="S171" s="26" t="str">
        <f>IF(OR(H171&lt;'Descriptive Statistics'!$J$17,H171&gt;'Descriptive Statistics'!$J$18),"Potential Outlier","Within Range")</f>
        <v>Within Range</v>
      </c>
    </row>
    <row r="172" hidden="1" spans="1:19">
      <c r="A172" t="s">
        <v>702</v>
      </c>
      <c r="B172" s="23">
        <v>45751</v>
      </c>
      <c r="C172" s="23" t="str">
        <f t="shared" si="4"/>
        <v>Apr</v>
      </c>
      <c r="D172" s="23" t="str">
        <f t="shared" si="5"/>
        <v>2025</v>
      </c>
      <c r="E172" t="s">
        <v>703</v>
      </c>
      <c r="F172" s="24" t="s">
        <v>73</v>
      </c>
      <c r="G172" s="17">
        <v>4</v>
      </c>
      <c r="H172" s="19">
        <v>662.94</v>
      </c>
      <c r="I172" t="s">
        <v>704</v>
      </c>
      <c r="J172" s="24" t="s">
        <v>65</v>
      </c>
      <c r="K172" s="24" t="s">
        <v>35</v>
      </c>
      <c r="L172" t="s">
        <v>705</v>
      </c>
      <c r="M172" s="17">
        <v>8</v>
      </c>
      <c r="N172" t="s">
        <v>21</v>
      </c>
      <c r="O172" s="24" t="s">
        <v>22</v>
      </c>
      <c r="P172" s="19">
        <v>2651.76</v>
      </c>
      <c r="Q172" s="26" t="str">
        <f>IF(OR(P172&lt;'Descriptive Statistics'!$H$17,P172&gt;'Descriptive Statistics'!$H$18),"Potential Outlier","Within Range")</f>
        <v>Within Range</v>
      </c>
      <c r="R172" s="26" t="str">
        <f>IF(OR(G172&lt;'Descriptive Statistics'!$I$17,G172&gt;'Descriptive Statistics'!$I$18),"Potential Outlier","Within Range")</f>
        <v>Within Range</v>
      </c>
      <c r="S172" s="26" t="str">
        <f>IF(OR(H172&lt;'Descriptive Statistics'!$J$17,H172&gt;'Descriptive Statistics'!$J$18),"Potential Outlier","Within Range")</f>
        <v>Within Range</v>
      </c>
    </row>
    <row r="173" hidden="1" spans="1:19">
      <c r="A173" t="s">
        <v>706</v>
      </c>
      <c r="B173" s="23">
        <v>45153</v>
      </c>
      <c r="C173" s="23" t="str">
        <f t="shared" si="4"/>
        <v>Aug</v>
      </c>
      <c r="D173" s="23" t="str">
        <f t="shared" si="5"/>
        <v>2023</v>
      </c>
      <c r="E173" t="s">
        <v>707</v>
      </c>
      <c r="F173" s="24" t="s">
        <v>32</v>
      </c>
      <c r="G173" s="17">
        <v>2</v>
      </c>
      <c r="H173" s="19">
        <v>148.22</v>
      </c>
      <c r="I173" t="s">
        <v>708</v>
      </c>
      <c r="J173" s="24" t="s">
        <v>34</v>
      </c>
      <c r="K173" s="24" t="s">
        <v>50</v>
      </c>
      <c r="L173" t="s">
        <v>709</v>
      </c>
      <c r="M173" s="17">
        <v>7</v>
      </c>
      <c r="N173" t="s">
        <v>81</v>
      </c>
      <c r="O173" s="24" t="s">
        <v>22</v>
      </c>
      <c r="P173" s="19">
        <v>296.44</v>
      </c>
      <c r="Q173" s="26" t="str">
        <f>IF(OR(P173&lt;'Descriptive Statistics'!$H$17,P173&gt;'Descriptive Statistics'!$H$18),"Potential Outlier","Within Range")</f>
        <v>Within Range</v>
      </c>
      <c r="R173" s="26" t="str">
        <f>IF(OR(G173&lt;'Descriptive Statistics'!$I$17,G173&gt;'Descriptive Statistics'!$I$18),"Potential Outlier","Within Range")</f>
        <v>Within Range</v>
      </c>
      <c r="S173" s="26" t="str">
        <f>IF(OR(H173&lt;'Descriptive Statistics'!$J$17,H173&gt;'Descriptive Statistics'!$J$18),"Potential Outlier","Within Range")</f>
        <v>Within Range</v>
      </c>
    </row>
    <row r="174" hidden="1" spans="1:19">
      <c r="A174" t="s">
        <v>710</v>
      </c>
      <c r="B174" s="23">
        <v>45753</v>
      </c>
      <c r="C174" s="23" t="str">
        <f t="shared" si="4"/>
        <v>Apr</v>
      </c>
      <c r="D174" s="23" t="str">
        <f t="shared" si="5"/>
        <v>2025</v>
      </c>
      <c r="E174" t="s">
        <v>711</v>
      </c>
      <c r="F174" s="24" t="s">
        <v>48</v>
      </c>
      <c r="G174" s="17">
        <v>1</v>
      </c>
      <c r="H174" s="19">
        <v>254.12</v>
      </c>
      <c r="I174" t="s">
        <v>541</v>
      </c>
      <c r="J174" s="24" t="s">
        <v>27</v>
      </c>
      <c r="K174" s="24" t="s">
        <v>50</v>
      </c>
      <c r="L174" t="s">
        <v>712</v>
      </c>
      <c r="M174" s="17">
        <v>1</v>
      </c>
      <c r="N174" t="s">
        <v>81</v>
      </c>
      <c r="O174" s="24" t="s">
        <v>38</v>
      </c>
      <c r="P174" s="19">
        <v>254.12</v>
      </c>
      <c r="Q174" s="26" t="str">
        <f>IF(OR(P174&lt;'Descriptive Statistics'!$H$17,P174&gt;'Descriptive Statistics'!$H$18),"Potential Outlier","Within Range")</f>
        <v>Within Range</v>
      </c>
      <c r="R174" s="26" t="str">
        <f>IF(OR(G174&lt;'Descriptive Statistics'!$I$17,G174&gt;'Descriptive Statistics'!$I$18),"Potential Outlier","Within Range")</f>
        <v>Within Range</v>
      </c>
      <c r="S174" s="26" t="str">
        <f>IF(OR(H174&lt;'Descriptive Statistics'!$J$17,H174&gt;'Descriptive Statistics'!$J$18),"Potential Outlier","Within Range")</f>
        <v>Within Range</v>
      </c>
    </row>
    <row r="175" hidden="1" spans="1:19">
      <c r="A175" t="s">
        <v>713</v>
      </c>
      <c r="B175" s="23">
        <v>45375</v>
      </c>
      <c r="C175" s="23" t="str">
        <f t="shared" si="4"/>
        <v>Mar</v>
      </c>
      <c r="D175" s="23" t="str">
        <f t="shared" si="5"/>
        <v>2024</v>
      </c>
      <c r="E175" t="s">
        <v>714</v>
      </c>
      <c r="F175" s="24" t="s">
        <v>25</v>
      </c>
      <c r="G175" s="17">
        <v>3</v>
      </c>
      <c r="H175" s="19">
        <v>664.46</v>
      </c>
      <c r="I175" t="s">
        <v>715</v>
      </c>
      <c r="J175" s="24" t="s">
        <v>27</v>
      </c>
      <c r="K175" s="24" t="s">
        <v>50</v>
      </c>
      <c r="L175" t="s">
        <v>716</v>
      </c>
      <c r="M175" s="17">
        <v>4</v>
      </c>
      <c r="N175" t="s">
        <v>37</v>
      </c>
      <c r="O175" s="24" t="s">
        <v>76</v>
      </c>
      <c r="P175" s="19">
        <v>1993.38</v>
      </c>
      <c r="Q175" s="26" t="str">
        <f>IF(OR(P175&lt;'Descriptive Statistics'!$H$17,P175&gt;'Descriptive Statistics'!$H$18),"Potential Outlier","Within Range")</f>
        <v>Within Range</v>
      </c>
      <c r="R175" s="26" t="str">
        <f>IF(OR(G175&lt;'Descriptive Statistics'!$I$17,G175&gt;'Descriptive Statistics'!$I$18),"Potential Outlier","Within Range")</f>
        <v>Within Range</v>
      </c>
      <c r="S175" s="26" t="str">
        <f>IF(OR(H175&lt;'Descriptive Statistics'!$J$17,H175&gt;'Descriptive Statistics'!$J$18),"Potential Outlier","Within Range")</f>
        <v>Within Range</v>
      </c>
    </row>
    <row r="176" hidden="1" spans="1:19">
      <c r="A176" t="s">
        <v>717</v>
      </c>
      <c r="B176" s="23">
        <v>45398</v>
      </c>
      <c r="C176" s="23" t="str">
        <f t="shared" si="4"/>
        <v>Apr</v>
      </c>
      <c r="D176" s="23" t="str">
        <f t="shared" si="5"/>
        <v>2024</v>
      </c>
      <c r="E176" t="s">
        <v>718</v>
      </c>
      <c r="F176" s="24" t="s">
        <v>48</v>
      </c>
      <c r="G176" s="17">
        <v>4</v>
      </c>
      <c r="H176" s="19">
        <v>600.81</v>
      </c>
      <c r="I176" t="s">
        <v>719</v>
      </c>
      <c r="J176" s="24" t="s">
        <v>18</v>
      </c>
      <c r="K176" s="24" t="s">
        <v>50</v>
      </c>
      <c r="L176" t="s">
        <v>720</v>
      </c>
      <c r="M176" s="17">
        <v>9</v>
      </c>
      <c r="N176" t="s">
        <v>21</v>
      </c>
      <c r="O176" s="24" t="s">
        <v>38</v>
      </c>
      <c r="P176" s="19">
        <v>2403.24</v>
      </c>
      <c r="Q176" s="26" t="str">
        <f>IF(OR(P176&lt;'Descriptive Statistics'!$H$17,P176&gt;'Descriptive Statistics'!$H$18),"Potential Outlier","Within Range")</f>
        <v>Within Range</v>
      </c>
      <c r="R176" s="26" t="str">
        <f>IF(OR(G176&lt;'Descriptive Statistics'!$I$17,G176&gt;'Descriptive Statistics'!$I$18),"Potential Outlier","Within Range")</f>
        <v>Within Range</v>
      </c>
      <c r="S176" s="26" t="str">
        <f>IF(OR(H176&lt;'Descriptive Statistics'!$J$17,H176&gt;'Descriptive Statistics'!$J$18),"Potential Outlier","Within Range")</f>
        <v>Within Range</v>
      </c>
    </row>
    <row r="177" hidden="1" spans="1:19">
      <c r="A177" t="s">
        <v>721</v>
      </c>
      <c r="B177" s="23">
        <v>45696</v>
      </c>
      <c r="C177" s="23" t="str">
        <f t="shared" si="4"/>
        <v>Feb</v>
      </c>
      <c r="D177" s="23" t="str">
        <f t="shared" si="5"/>
        <v>2025</v>
      </c>
      <c r="E177" t="s">
        <v>722</v>
      </c>
      <c r="F177" s="24" t="s">
        <v>41</v>
      </c>
      <c r="G177" s="17">
        <v>5</v>
      </c>
      <c r="H177" s="19">
        <v>68.34</v>
      </c>
      <c r="I177" t="s">
        <v>723</v>
      </c>
      <c r="J177" s="24" t="s">
        <v>18</v>
      </c>
      <c r="K177" s="24" t="s">
        <v>89</v>
      </c>
      <c r="L177" t="s">
        <v>724</v>
      </c>
      <c r="M177" s="17">
        <v>6</v>
      </c>
      <c r="N177" t="s">
        <v>81</v>
      </c>
      <c r="O177" s="24" t="s">
        <v>29</v>
      </c>
      <c r="P177" s="19">
        <v>341.7</v>
      </c>
      <c r="Q177" s="26" t="str">
        <f>IF(OR(P177&lt;'Descriptive Statistics'!$H$17,P177&gt;'Descriptive Statistics'!$H$18),"Potential Outlier","Within Range")</f>
        <v>Within Range</v>
      </c>
      <c r="R177" s="26" t="str">
        <f>IF(OR(G177&lt;'Descriptive Statistics'!$I$17,G177&gt;'Descriptive Statistics'!$I$18),"Potential Outlier","Within Range")</f>
        <v>Within Range</v>
      </c>
      <c r="S177" s="26" t="str">
        <f>IF(OR(H177&lt;'Descriptive Statistics'!$J$17,H177&gt;'Descriptive Statistics'!$J$18),"Potential Outlier","Within Range")</f>
        <v>Within Range</v>
      </c>
    </row>
    <row r="178" hidden="1" spans="1:19">
      <c r="A178" t="s">
        <v>725</v>
      </c>
      <c r="B178" s="23">
        <v>45836</v>
      </c>
      <c r="C178" s="23" t="str">
        <f t="shared" si="4"/>
        <v>Jun</v>
      </c>
      <c r="D178" s="23" t="str">
        <f t="shared" si="5"/>
        <v>2025</v>
      </c>
      <c r="E178" t="s">
        <v>726</v>
      </c>
      <c r="F178" s="24" t="s">
        <v>32</v>
      </c>
      <c r="G178" s="17">
        <v>4</v>
      </c>
      <c r="H178" s="19">
        <v>430.83</v>
      </c>
      <c r="I178" t="s">
        <v>727</v>
      </c>
      <c r="J178" s="24" t="s">
        <v>60</v>
      </c>
      <c r="K178" s="24" t="s">
        <v>89</v>
      </c>
      <c r="L178" t="s">
        <v>728</v>
      </c>
      <c r="M178" s="17">
        <v>8</v>
      </c>
      <c r="N178" t="s">
        <v>81</v>
      </c>
      <c r="O178" s="24" t="s">
        <v>29</v>
      </c>
      <c r="P178" s="19">
        <v>1723.32</v>
      </c>
      <c r="Q178" s="26" t="str">
        <f>IF(OR(P178&lt;'Descriptive Statistics'!$H$17,P178&gt;'Descriptive Statistics'!$H$18),"Potential Outlier","Within Range")</f>
        <v>Within Range</v>
      </c>
      <c r="R178" s="26" t="str">
        <f>IF(OR(G178&lt;'Descriptive Statistics'!$I$17,G178&gt;'Descriptive Statistics'!$I$18),"Potential Outlier","Within Range")</f>
        <v>Within Range</v>
      </c>
      <c r="S178" s="26" t="str">
        <f>IF(OR(H178&lt;'Descriptive Statistics'!$J$17,H178&gt;'Descriptive Statistics'!$J$18),"Potential Outlier","Within Range")</f>
        <v>Within Range</v>
      </c>
    </row>
    <row r="179" hidden="1" spans="1:19">
      <c r="A179" t="s">
        <v>729</v>
      </c>
      <c r="B179" s="23">
        <v>45143</v>
      </c>
      <c r="C179" s="23" t="str">
        <f t="shared" si="4"/>
        <v>Aug</v>
      </c>
      <c r="D179" s="23" t="str">
        <f t="shared" si="5"/>
        <v>2023</v>
      </c>
      <c r="E179" t="s">
        <v>730</v>
      </c>
      <c r="F179" s="24" t="s">
        <v>41</v>
      </c>
      <c r="G179" s="17">
        <v>5</v>
      </c>
      <c r="H179" s="19">
        <v>431.69</v>
      </c>
      <c r="I179" t="s">
        <v>731</v>
      </c>
      <c r="J179" s="24" t="s">
        <v>34</v>
      </c>
      <c r="K179" s="24" t="s">
        <v>89</v>
      </c>
      <c r="L179" t="s">
        <v>732</v>
      </c>
      <c r="M179" s="17">
        <v>10</v>
      </c>
      <c r="N179" t="s">
        <v>4295</v>
      </c>
      <c r="O179" s="24" t="s">
        <v>45</v>
      </c>
      <c r="P179" s="19">
        <v>2158.45</v>
      </c>
      <c r="Q179" s="26" t="str">
        <f>IF(OR(P179&lt;'Descriptive Statistics'!$H$17,P179&gt;'Descriptive Statistics'!$H$18),"Potential Outlier","Within Range")</f>
        <v>Within Range</v>
      </c>
      <c r="R179" s="26" t="str">
        <f>IF(OR(G179&lt;'Descriptive Statistics'!$I$17,G179&gt;'Descriptive Statistics'!$I$18),"Potential Outlier","Within Range")</f>
        <v>Within Range</v>
      </c>
      <c r="S179" s="26" t="str">
        <f>IF(OR(H179&lt;'Descriptive Statistics'!$J$17,H179&gt;'Descriptive Statistics'!$J$18),"Potential Outlier","Within Range")</f>
        <v>Within Range</v>
      </c>
    </row>
    <row r="180" hidden="1" spans="1:19">
      <c r="A180" t="s">
        <v>733</v>
      </c>
      <c r="B180" s="23">
        <v>45393</v>
      </c>
      <c r="C180" s="23" t="str">
        <f t="shared" si="4"/>
        <v>Apr</v>
      </c>
      <c r="D180" s="23" t="str">
        <f t="shared" si="5"/>
        <v>2024</v>
      </c>
      <c r="E180" t="s">
        <v>734</v>
      </c>
      <c r="F180" s="24" t="s">
        <v>41</v>
      </c>
      <c r="G180" s="17">
        <v>4</v>
      </c>
      <c r="H180" s="19">
        <v>512.06</v>
      </c>
      <c r="I180" t="s">
        <v>735</v>
      </c>
      <c r="J180" s="24" t="s">
        <v>27</v>
      </c>
      <c r="K180" s="24" t="s">
        <v>50</v>
      </c>
      <c r="L180" t="s">
        <v>736</v>
      </c>
      <c r="M180" s="17">
        <v>5</v>
      </c>
      <c r="N180" t="s">
        <v>21</v>
      </c>
      <c r="O180" s="24" t="s">
        <v>76</v>
      </c>
      <c r="P180" s="19">
        <v>2048.24</v>
      </c>
      <c r="Q180" s="26" t="str">
        <f>IF(OR(P180&lt;'Descriptive Statistics'!$H$17,P180&gt;'Descriptive Statistics'!$H$18),"Potential Outlier","Within Range")</f>
        <v>Within Range</v>
      </c>
      <c r="R180" s="26" t="str">
        <f>IF(OR(G180&lt;'Descriptive Statistics'!$I$17,G180&gt;'Descriptive Statistics'!$I$18),"Potential Outlier","Within Range")</f>
        <v>Within Range</v>
      </c>
      <c r="S180" s="26" t="str">
        <f>IF(OR(H180&lt;'Descriptive Statistics'!$J$17,H180&gt;'Descriptive Statistics'!$J$18),"Potential Outlier","Within Range")</f>
        <v>Within Range</v>
      </c>
    </row>
    <row r="181" hidden="1" spans="1:19">
      <c r="A181" t="s">
        <v>737</v>
      </c>
      <c r="B181" s="23">
        <v>45620</v>
      </c>
      <c r="C181" s="23" t="str">
        <f t="shared" si="4"/>
        <v>Nov</v>
      </c>
      <c r="D181" s="23" t="str">
        <f t="shared" si="5"/>
        <v>2024</v>
      </c>
      <c r="E181" t="s">
        <v>738</v>
      </c>
      <c r="F181" s="24" t="s">
        <v>58</v>
      </c>
      <c r="G181" s="17">
        <v>3</v>
      </c>
      <c r="H181" s="19">
        <v>539.91</v>
      </c>
      <c r="I181" t="s">
        <v>739</v>
      </c>
      <c r="J181" s="24" t="s">
        <v>34</v>
      </c>
      <c r="K181" s="24" t="s">
        <v>50</v>
      </c>
      <c r="L181" t="s">
        <v>740</v>
      </c>
      <c r="M181" s="17">
        <v>8</v>
      </c>
      <c r="N181" t="s">
        <v>4295</v>
      </c>
      <c r="O181" s="24" t="s">
        <v>38</v>
      </c>
      <c r="P181" s="19">
        <v>1619.73</v>
      </c>
      <c r="Q181" s="26" t="str">
        <f>IF(OR(P181&lt;'Descriptive Statistics'!$H$17,P181&gt;'Descriptive Statistics'!$H$18),"Potential Outlier","Within Range")</f>
        <v>Within Range</v>
      </c>
      <c r="R181" s="26" t="str">
        <f>IF(OR(G181&lt;'Descriptive Statistics'!$I$17,G181&gt;'Descriptive Statistics'!$I$18),"Potential Outlier","Within Range")</f>
        <v>Within Range</v>
      </c>
      <c r="S181" s="26" t="str">
        <f>IF(OR(H181&lt;'Descriptive Statistics'!$J$17,H181&gt;'Descriptive Statistics'!$J$18),"Potential Outlier","Within Range")</f>
        <v>Within Range</v>
      </c>
    </row>
    <row r="182" hidden="1" spans="1:19">
      <c r="A182" t="s">
        <v>741</v>
      </c>
      <c r="B182" s="23">
        <v>45003</v>
      </c>
      <c r="C182" s="23" t="str">
        <f t="shared" si="4"/>
        <v>Mar</v>
      </c>
      <c r="D182" s="23" t="str">
        <f t="shared" si="5"/>
        <v>2023</v>
      </c>
      <c r="E182" t="s">
        <v>742</v>
      </c>
      <c r="F182" s="24" t="s">
        <v>32</v>
      </c>
      <c r="G182" s="17">
        <v>5</v>
      </c>
      <c r="H182" s="19">
        <v>316.07</v>
      </c>
      <c r="I182" t="s">
        <v>743</v>
      </c>
      <c r="J182" s="24" t="s">
        <v>65</v>
      </c>
      <c r="K182" s="24" t="s">
        <v>43</v>
      </c>
      <c r="L182" t="s">
        <v>744</v>
      </c>
      <c r="M182" s="17">
        <v>10</v>
      </c>
      <c r="N182" t="s">
        <v>4295</v>
      </c>
      <c r="O182" s="24" t="s">
        <v>76</v>
      </c>
      <c r="P182" s="19">
        <v>1580.35</v>
      </c>
      <c r="Q182" s="26" t="str">
        <f>IF(OR(P182&lt;'Descriptive Statistics'!$H$17,P182&gt;'Descriptive Statistics'!$H$18),"Potential Outlier","Within Range")</f>
        <v>Within Range</v>
      </c>
      <c r="R182" s="26" t="str">
        <f>IF(OR(G182&lt;'Descriptive Statistics'!$I$17,G182&gt;'Descriptive Statistics'!$I$18),"Potential Outlier","Within Range")</f>
        <v>Within Range</v>
      </c>
      <c r="S182" s="26" t="str">
        <f>IF(OR(H182&lt;'Descriptive Statistics'!$J$17,H182&gt;'Descriptive Statistics'!$J$18),"Potential Outlier","Within Range")</f>
        <v>Within Range</v>
      </c>
    </row>
    <row r="183" hidden="1" spans="1:19">
      <c r="A183" t="s">
        <v>745</v>
      </c>
      <c r="B183" s="23">
        <v>45535</v>
      </c>
      <c r="C183" s="23" t="str">
        <f t="shared" si="4"/>
        <v>Aug</v>
      </c>
      <c r="D183" s="23" t="str">
        <f t="shared" si="5"/>
        <v>2024</v>
      </c>
      <c r="E183" t="s">
        <v>746</v>
      </c>
      <c r="F183" s="24" t="s">
        <v>48</v>
      </c>
      <c r="G183" s="17">
        <v>5</v>
      </c>
      <c r="H183" s="19">
        <v>404.39</v>
      </c>
      <c r="I183" t="s">
        <v>747</v>
      </c>
      <c r="J183" s="24" t="s">
        <v>27</v>
      </c>
      <c r="K183" s="24" t="s">
        <v>19</v>
      </c>
      <c r="L183" t="s">
        <v>748</v>
      </c>
      <c r="M183" s="17">
        <v>10</v>
      </c>
      <c r="N183" t="s">
        <v>4295</v>
      </c>
      <c r="O183" s="24" t="s">
        <v>29</v>
      </c>
      <c r="P183" s="19">
        <v>2021.95</v>
      </c>
      <c r="Q183" s="26" t="str">
        <f>IF(OR(P183&lt;'Descriptive Statistics'!$H$17,P183&gt;'Descriptive Statistics'!$H$18),"Potential Outlier","Within Range")</f>
        <v>Within Range</v>
      </c>
      <c r="R183" s="26" t="str">
        <f>IF(OR(G183&lt;'Descriptive Statistics'!$I$17,G183&gt;'Descriptive Statistics'!$I$18),"Potential Outlier","Within Range")</f>
        <v>Within Range</v>
      </c>
      <c r="S183" s="26" t="str">
        <f>IF(OR(H183&lt;'Descriptive Statistics'!$J$17,H183&gt;'Descriptive Statistics'!$J$18),"Potential Outlier","Within Range")</f>
        <v>Within Range</v>
      </c>
    </row>
    <row r="184" hidden="1" spans="1:19">
      <c r="A184" t="s">
        <v>749</v>
      </c>
      <c r="B184" s="23">
        <v>45735</v>
      </c>
      <c r="C184" s="23" t="str">
        <f t="shared" si="4"/>
        <v>Mar</v>
      </c>
      <c r="D184" s="23" t="str">
        <f t="shared" si="5"/>
        <v>2025</v>
      </c>
      <c r="E184" t="s">
        <v>750</v>
      </c>
      <c r="F184" s="24" t="s">
        <v>73</v>
      </c>
      <c r="G184" s="17">
        <v>1</v>
      </c>
      <c r="H184" s="19">
        <v>600.54</v>
      </c>
      <c r="I184" t="s">
        <v>751</v>
      </c>
      <c r="J184" s="24" t="s">
        <v>18</v>
      </c>
      <c r="K184" s="24" t="s">
        <v>89</v>
      </c>
      <c r="L184" t="s">
        <v>752</v>
      </c>
      <c r="M184" s="17">
        <v>4</v>
      </c>
      <c r="N184" t="s">
        <v>81</v>
      </c>
      <c r="O184" s="24" t="s">
        <v>76</v>
      </c>
      <c r="P184" s="19">
        <v>600.54</v>
      </c>
      <c r="Q184" s="26" t="str">
        <f>IF(OR(P184&lt;'Descriptive Statistics'!$H$17,P184&gt;'Descriptive Statistics'!$H$18),"Potential Outlier","Within Range")</f>
        <v>Within Range</v>
      </c>
      <c r="R184" s="26" t="str">
        <f>IF(OR(G184&lt;'Descriptive Statistics'!$I$17,G184&gt;'Descriptive Statistics'!$I$18),"Potential Outlier","Within Range")</f>
        <v>Within Range</v>
      </c>
      <c r="S184" s="26" t="str">
        <f>IF(OR(H184&lt;'Descriptive Statistics'!$J$17,H184&gt;'Descriptive Statistics'!$J$18),"Potential Outlier","Within Range")</f>
        <v>Within Range</v>
      </c>
    </row>
    <row r="185" hidden="1" spans="1:19">
      <c r="A185" t="s">
        <v>753</v>
      </c>
      <c r="B185" s="23">
        <v>45400</v>
      </c>
      <c r="C185" s="23" t="str">
        <f t="shared" si="4"/>
        <v>Apr</v>
      </c>
      <c r="D185" s="23" t="str">
        <f t="shared" si="5"/>
        <v>2024</v>
      </c>
      <c r="E185" t="s">
        <v>754</v>
      </c>
      <c r="F185" s="24" t="s">
        <v>16</v>
      </c>
      <c r="G185" s="17">
        <v>5</v>
      </c>
      <c r="H185" s="19">
        <v>186.28</v>
      </c>
      <c r="I185" t="s">
        <v>755</v>
      </c>
      <c r="J185" s="24" t="s">
        <v>18</v>
      </c>
      <c r="K185" s="24" t="s">
        <v>50</v>
      </c>
      <c r="L185" t="s">
        <v>756</v>
      </c>
      <c r="M185" s="17">
        <v>8</v>
      </c>
      <c r="N185" t="s">
        <v>21</v>
      </c>
      <c r="O185" s="24" t="s">
        <v>38</v>
      </c>
      <c r="P185" s="19">
        <v>931.4</v>
      </c>
      <c r="Q185" s="26" t="str">
        <f>IF(OR(P185&lt;'Descriptive Statistics'!$H$17,P185&gt;'Descriptive Statistics'!$H$18),"Potential Outlier","Within Range")</f>
        <v>Within Range</v>
      </c>
      <c r="R185" s="26" t="str">
        <f>IF(OR(G185&lt;'Descriptive Statistics'!$I$17,G185&gt;'Descriptive Statistics'!$I$18),"Potential Outlier","Within Range")</f>
        <v>Within Range</v>
      </c>
      <c r="S185" s="26" t="str">
        <f>IF(OR(H185&lt;'Descriptive Statistics'!$J$17,H185&gt;'Descriptive Statistics'!$J$18),"Potential Outlier","Within Range")</f>
        <v>Within Range</v>
      </c>
    </row>
    <row r="186" hidden="1" spans="1:19">
      <c r="A186" t="s">
        <v>757</v>
      </c>
      <c r="B186" s="23">
        <v>45386</v>
      </c>
      <c r="C186" s="23" t="str">
        <f t="shared" si="4"/>
        <v>Apr</v>
      </c>
      <c r="D186" s="23" t="str">
        <f t="shared" si="5"/>
        <v>2024</v>
      </c>
      <c r="E186" t="s">
        <v>758</v>
      </c>
      <c r="F186" s="24" t="s">
        <v>32</v>
      </c>
      <c r="G186" s="17">
        <v>4</v>
      </c>
      <c r="H186" s="19">
        <v>214.54</v>
      </c>
      <c r="I186" t="s">
        <v>759</v>
      </c>
      <c r="J186" s="24" t="s">
        <v>60</v>
      </c>
      <c r="K186" s="24" t="s">
        <v>35</v>
      </c>
      <c r="L186" t="s">
        <v>760</v>
      </c>
      <c r="M186" s="17">
        <v>7</v>
      </c>
      <c r="N186" t="s">
        <v>4295</v>
      </c>
      <c r="O186" s="24" t="s">
        <v>29</v>
      </c>
      <c r="P186" s="19">
        <v>858.16</v>
      </c>
      <c r="Q186" s="26" t="str">
        <f>IF(OR(P186&lt;'Descriptive Statistics'!$H$17,P186&gt;'Descriptive Statistics'!$H$18),"Potential Outlier","Within Range")</f>
        <v>Within Range</v>
      </c>
      <c r="R186" s="26" t="str">
        <f>IF(OR(G186&lt;'Descriptive Statistics'!$I$17,G186&gt;'Descriptive Statistics'!$I$18),"Potential Outlier","Within Range")</f>
        <v>Within Range</v>
      </c>
      <c r="S186" s="26" t="str">
        <f>IF(OR(H186&lt;'Descriptive Statistics'!$J$17,H186&gt;'Descriptive Statistics'!$J$18),"Potential Outlier","Within Range")</f>
        <v>Within Range</v>
      </c>
    </row>
    <row r="187" hidden="1" spans="1:19">
      <c r="A187" t="s">
        <v>761</v>
      </c>
      <c r="B187" s="23">
        <v>45690</v>
      </c>
      <c r="C187" s="23" t="str">
        <f t="shared" si="4"/>
        <v>Feb</v>
      </c>
      <c r="D187" s="23" t="str">
        <f t="shared" si="5"/>
        <v>2025</v>
      </c>
      <c r="E187" t="s">
        <v>762</v>
      </c>
      <c r="F187" s="24" t="s">
        <v>58</v>
      </c>
      <c r="G187" s="17">
        <v>1</v>
      </c>
      <c r="H187" s="19">
        <v>210.7</v>
      </c>
      <c r="I187" t="s">
        <v>763</v>
      </c>
      <c r="J187" s="24" t="s">
        <v>27</v>
      </c>
      <c r="K187" s="24" t="s">
        <v>19</v>
      </c>
      <c r="L187" t="s">
        <v>764</v>
      </c>
      <c r="M187" s="17">
        <v>2</v>
      </c>
      <c r="N187" t="s">
        <v>81</v>
      </c>
      <c r="O187" s="24" t="s">
        <v>29</v>
      </c>
      <c r="P187" s="19">
        <v>210.7</v>
      </c>
      <c r="Q187" s="26" t="str">
        <f>IF(OR(P187&lt;'Descriptive Statistics'!$H$17,P187&gt;'Descriptive Statistics'!$H$18),"Potential Outlier","Within Range")</f>
        <v>Within Range</v>
      </c>
      <c r="R187" s="26" t="str">
        <f>IF(OR(G187&lt;'Descriptive Statistics'!$I$17,G187&gt;'Descriptive Statistics'!$I$18),"Potential Outlier","Within Range")</f>
        <v>Within Range</v>
      </c>
      <c r="S187" s="26" t="str">
        <f>IF(OR(H187&lt;'Descriptive Statistics'!$J$17,H187&gt;'Descriptive Statistics'!$J$18),"Potential Outlier","Within Range")</f>
        <v>Within Range</v>
      </c>
    </row>
    <row r="188" hidden="1" spans="1:19">
      <c r="A188" t="s">
        <v>765</v>
      </c>
      <c r="B188" s="23">
        <v>45267</v>
      </c>
      <c r="C188" s="23" t="str">
        <f t="shared" si="4"/>
        <v>Dec</v>
      </c>
      <c r="D188" s="23" t="str">
        <f t="shared" si="5"/>
        <v>2023</v>
      </c>
      <c r="E188" t="s">
        <v>766</v>
      </c>
      <c r="F188" s="24" t="s">
        <v>25</v>
      </c>
      <c r="G188" s="17">
        <v>2</v>
      </c>
      <c r="H188" s="19">
        <v>133.55</v>
      </c>
      <c r="I188" t="s">
        <v>767</v>
      </c>
      <c r="J188" s="24" t="s">
        <v>65</v>
      </c>
      <c r="K188" s="24" t="s">
        <v>89</v>
      </c>
      <c r="L188" t="s">
        <v>768</v>
      </c>
      <c r="M188" s="17">
        <v>7</v>
      </c>
      <c r="N188" t="s">
        <v>37</v>
      </c>
      <c r="O188" s="24" t="s">
        <v>45</v>
      </c>
      <c r="P188" s="19">
        <v>267.1</v>
      </c>
      <c r="Q188" s="26" t="str">
        <f>IF(OR(P188&lt;'Descriptive Statistics'!$H$17,P188&gt;'Descriptive Statistics'!$H$18),"Potential Outlier","Within Range")</f>
        <v>Within Range</v>
      </c>
      <c r="R188" s="26" t="str">
        <f>IF(OR(G188&lt;'Descriptive Statistics'!$I$17,G188&gt;'Descriptive Statistics'!$I$18),"Potential Outlier","Within Range")</f>
        <v>Within Range</v>
      </c>
      <c r="S188" s="26" t="str">
        <f>IF(OR(H188&lt;'Descriptive Statistics'!$J$17,H188&gt;'Descriptive Statistics'!$J$18),"Potential Outlier","Within Range")</f>
        <v>Within Range</v>
      </c>
    </row>
    <row r="189" hidden="1" spans="1:19">
      <c r="A189" t="s">
        <v>769</v>
      </c>
      <c r="B189" s="23">
        <v>44965</v>
      </c>
      <c r="C189" s="23" t="str">
        <f t="shared" si="4"/>
        <v>Feb</v>
      </c>
      <c r="D189" s="23" t="str">
        <f t="shared" si="5"/>
        <v>2023</v>
      </c>
      <c r="E189" t="s">
        <v>770</v>
      </c>
      <c r="F189" s="24" t="s">
        <v>41</v>
      </c>
      <c r="G189" s="17">
        <v>1</v>
      </c>
      <c r="H189" s="19">
        <v>590.87</v>
      </c>
      <c r="I189" t="s">
        <v>771</v>
      </c>
      <c r="J189" s="24" t="s">
        <v>60</v>
      </c>
      <c r="K189" s="24" t="s">
        <v>43</v>
      </c>
      <c r="L189" t="s">
        <v>772</v>
      </c>
      <c r="M189" s="17">
        <v>6</v>
      </c>
      <c r="N189" t="s">
        <v>37</v>
      </c>
      <c r="O189" s="24" t="s">
        <v>29</v>
      </c>
      <c r="P189" s="19">
        <v>590.87</v>
      </c>
      <c r="Q189" s="26" t="str">
        <f>IF(OR(P189&lt;'Descriptive Statistics'!$H$17,P189&gt;'Descriptive Statistics'!$H$18),"Potential Outlier","Within Range")</f>
        <v>Within Range</v>
      </c>
      <c r="R189" s="26" t="str">
        <f>IF(OR(G189&lt;'Descriptive Statistics'!$I$17,G189&gt;'Descriptive Statistics'!$I$18),"Potential Outlier","Within Range")</f>
        <v>Within Range</v>
      </c>
      <c r="S189" s="26" t="str">
        <f>IF(OR(H189&lt;'Descriptive Statistics'!$J$17,H189&gt;'Descriptive Statistics'!$J$18),"Potential Outlier","Within Range")</f>
        <v>Within Range</v>
      </c>
    </row>
    <row r="190" hidden="1" spans="1:19">
      <c r="A190" t="s">
        <v>773</v>
      </c>
      <c r="B190" s="23">
        <v>45731</v>
      </c>
      <c r="C190" s="23" t="str">
        <f t="shared" si="4"/>
        <v>Mar</v>
      </c>
      <c r="D190" s="23" t="str">
        <f t="shared" si="5"/>
        <v>2025</v>
      </c>
      <c r="E190" t="s">
        <v>774</v>
      </c>
      <c r="F190" s="24" t="s">
        <v>41</v>
      </c>
      <c r="G190" s="17">
        <v>2</v>
      </c>
      <c r="H190" s="19">
        <v>363.91</v>
      </c>
      <c r="I190" t="s">
        <v>775</v>
      </c>
      <c r="J190" s="24" t="s">
        <v>60</v>
      </c>
      <c r="K190" s="24" t="s">
        <v>19</v>
      </c>
      <c r="L190" t="s">
        <v>776</v>
      </c>
      <c r="M190" s="17">
        <v>2</v>
      </c>
      <c r="N190" t="s">
        <v>37</v>
      </c>
      <c r="O190" s="24" t="s">
        <v>29</v>
      </c>
      <c r="P190" s="19">
        <v>727.82</v>
      </c>
      <c r="Q190" s="26" t="str">
        <f>IF(OR(P190&lt;'Descriptive Statistics'!$H$17,P190&gt;'Descriptive Statistics'!$H$18),"Potential Outlier","Within Range")</f>
        <v>Within Range</v>
      </c>
      <c r="R190" s="26" t="str">
        <f>IF(OR(G190&lt;'Descriptive Statistics'!$I$17,G190&gt;'Descriptive Statistics'!$I$18),"Potential Outlier","Within Range")</f>
        <v>Within Range</v>
      </c>
      <c r="S190" s="26" t="str">
        <f>IF(OR(H190&lt;'Descriptive Statistics'!$J$17,H190&gt;'Descriptive Statistics'!$J$18),"Potential Outlier","Within Range")</f>
        <v>Within Range</v>
      </c>
    </row>
    <row r="191" hidden="1" spans="1:19">
      <c r="A191" t="s">
        <v>777</v>
      </c>
      <c r="B191" s="23">
        <v>45112</v>
      </c>
      <c r="C191" s="23" t="str">
        <f t="shared" si="4"/>
        <v>Jul</v>
      </c>
      <c r="D191" s="23" t="str">
        <f t="shared" si="5"/>
        <v>2023</v>
      </c>
      <c r="E191" t="s">
        <v>778</v>
      </c>
      <c r="F191" s="24" t="s">
        <v>48</v>
      </c>
      <c r="G191" s="17">
        <v>5</v>
      </c>
      <c r="H191" s="19">
        <v>429.45</v>
      </c>
      <c r="I191" t="s">
        <v>779</v>
      </c>
      <c r="J191" s="24" t="s">
        <v>60</v>
      </c>
      <c r="K191" s="24" t="s">
        <v>35</v>
      </c>
      <c r="L191" t="s">
        <v>780</v>
      </c>
      <c r="M191" s="17">
        <v>5</v>
      </c>
      <c r="N191" t="s">
        <v>81</v>
      </c>
      <c r="O191" s="24" t="s">
        <v>38</v>
      </c>
      <c r="P191" s="19">
        <v>2147.25</v>
      </c>
      <c r="Q191" s="26" t="str">
        <f>IF(OR(P191&lt;'Descriptive Statistics'!$H$17,P191&gt;'Descriptive Statistics'!$H$18),"Potential Outlier","Within Range")</f>
        <v>Within Range</v>
      </c>
      <c r="R191" s="26" t="str">
        <f>IF(OR(G191&lt;'Descriptive Statistics'!$I$17,G191&gt;'Descriptive Statistics'!$I$18),"Potential Outlier","Within Range")</f>
        <v>Within Range</v>
      </c>
      <c r="S191" s="26" t="str">
        <f>IF(OR(H191&lt;'Descriptive Statistics'!$J$17,H191&gt;'Descriptive Statistics'!$J$18),"Potential Outlier","Within Range")</f>
        <v>Within Range</v>
      </c>
    </row>
    <row r="192" hidden="1" spans="1:19">
      <c r="A192" t="s">
        <v>781</v>
      </c>
      <c r="B192" s="23">
        <v>45535</v>
      </c>
      <c r="C192" s="23" t="str">
        <f t="shared" si="4"/>
        <v>Aug</v>
      </c>
      <c r="D192" s="23" t="str">
        <f t="shared" si="5"/>
        <v>2024</v>
      </c>
      <c r="E192" t="s">
        <v>782</v>
      </c>
      <c r="F192" s="24" t="s">
        <v>48</v>
      </c>
      <c r="G192" s="17">
        <v>3</v>
      </c>
      <c r="H192" s="19">
        <v>223.7</v>
      </c>
      <c r="I192" t="s">
        <v>783</v>
      </c>
      <c r="J192" s="24" t="s">
        <v>65</v>
      </c>
      <c r="K192" s="24" t="s">
        <v>43</v>
      </c>
      <c r="L192" t="s">
        <v>784</v>
      </c>
      <c r="M192" s="17">
        <v>3</v>
      </c>
      <c r="N192" t="s">
        <v>21</v>
      </c>
      <c r="O192" s="24" t="s">
        <v>38</v>
      </c>
      <c r="P192" s="19">
        <v>671.1</v>
      </c>
      <c r="Q192" s="26" t="str">
        <f>IF(OR(P192&lt;'Descriptive Statistics'!$H$17,P192&gt;'Descriptive Statistics'!$H$18),"Potential Outlier","Within Range")</f>
        <v>Within Range</v>
      </c>
      <c r="R192" s="26" t="str">
        <f>IF(OR(G192&lt;'Descriptive Statistics'!$I$17,G192&gt;'Descriptive Statistics'!$I$18),"Potential Outlier","Within Range")</f>
        <v>Within Range</v>
      </c>
      <c r="S192" s="26" t="str">
        <f>IF(OR(H192&lt;'Descriptive Statistics'!$J$17,H192&gt;'Descriptive Statistics'!$J$18),"Potential Outlier","Within Range")</f>
        <v>Within Range</v>
      </c>
    </row>
    <row r="193" hidden="1" spans="1:19">
      <c r="A193" t="s">
        <v>785</v>
      </c>
      <c r="B193" s="23">
        <v>45724</v>
      </c>
      <c r="C193" s="23" t="str">
        <f t="shared" si="4"/>
        <v>Mar</v>
      </c>
      <c r="D193" s="23" t="str">
        <f t="shared" si="5"/>
        <v>2025</v>
      </c>
      <c r="E193" t="s">
        <v>786</v>
      </c>
      <c r="F193" s="24" t="s">
        <v>58</v>
      </c>
      <c r="G193" s="17">
        <v>2</v>
      </c>
      <c r="H193" s="19">
        <v>488.87</v>
      </c>
      <c r="I193" t="s">
        <v>787</v>
      </c>
      <c r="J193" s="24" t="s">
        <v>27</v>
      </c>
      <c r="K193" s="24" t="s">
        <v>35</v>
      </c>
      <c r="L193" t="s">
        <v>788</v>
      </c>
      <c r="M193" s="17">
        <v>4</v>
      </c>
      <c r="N193" t="s">
        <v>37</v>
      </c>
      <c r="O193" s="24" t="s">
        <v>76</v>
      </c>
      <c r="P193" s="19">
        <v>977.74</v>
      </c>
      <c r="Q193" s="26" t="str">
        <f>IF(OR(P193&lt;'Descriptive Statistics'!$H$17,P193&gt;'Descriptive Statistics'!$H$18),"Potential Outlier","Within Range")</f>
        <v>Within Range</v>
      </c>
      <c r="R193" s="26" t="str">
        <f>IF(OR(G193&lt;'Descriptive Statistics'!$I$17,G193&gt;'Descriptive Statistics'!$I$18),"Potential Outlier","Within Range")</f>
        <v>Within Range</v>
      </c>
      <c r="S193" s="26" t="str">
        <f>IF(OR(H193&lt;'Descriptive Statistics'!$J$17,H193&gt;'Descriptive Statistics'!$J$18),"Potential Outlier","Within Range")</f>
        <v>Within Range</v>
      </c>
    </row>
    <row r="194" hidden="1" spans="1:19">
      <c r="A194" t="s">
        <v>789</v>
      </c>
      <c r="B194" s="23">
        <v>45149</v>
      </c>
      <c r="C194" s="23" t="str">
        <f t="shared" ref="C194:C257" si="6">TEXT(B194,"MMM")</f>
        <v>Aug</v>
      </c>
      <c r="D194" s="23" t="str">
        <f t="shared" ref="D194:D257" si="7">TEXT(B194,"YYYY")</f>
        <v>2023</v>
      </c>
      <c r="E194" t="s">
        <v>790</v>
      </c>
      <c r="F194" s="24" t="s">
        <v>73</v>
      </c>
      <c r="G194" s="17">
        <v>1</v>
      </c>
      <c r="H194" s="19">
        <v>645.46</v>
      </c>
      <c r="I194" t="s">
        <v>595</v>
      </c>
      <c r="J194" s="24" t="s">
        <v>60</v>
      </c>
      <c r="K194" s="24" t="s">
        <v>35</v>
      </c>
      <c r="L194" t="s">
        <v>791</v>
      </c>
      <c r="M194" s="17">
        <v>5</v>
      </c>
      <c r="N194" t="s">
        <v>21</v>
      </c>
      <c r="O194" s="24" t="s">
        <v>76</v>
      </c>
      <c r="P194" s="19">
        <v>645.46</v>
      </c>
      <c r="Q194" s="26" t="str">
        <f>IF(OR(P194&lt;'Descriptive Statistics'!$H$17,P194&gt;'Descriptive Statistics'!$H$18),"Potential Outlier","Within Range")</f>
        <v>Within Range</v>
      </c>
      <c r="R194" s="26" t="str">
        <f>IF(OR(G194&lt;'Descriptive Statistics'!$I$17,G194&gt;'Descriptive Statistics'!$I$18),"Potential Outlier","Within Range")</f>
        <v>Within Range</v>
      </c>
      <c r="S194" s="26" t="str">
        <f>IF(OR(H194&lt;'Descriptive Statistics'!$J$17,H194&gt;'Descriptive Statistics'!$J$18),"Potential Outlier","Within Range")</f>
        <v>Within Range</v>
      </c>
    </row>
    <row r="195" hidden="1" spans="1:19">
      <c r="A195" t="s">
        <v>792</v>
      </c>
      <c r="B195" s="23">
        <v>45128</v>
      </c>
      <c r="C195" s="23" t="str">
        <f t="shared" si="6"/>
        <v>Jul</v>
      </c>
      <c r="D195" s="23" t="str">
        <f t="shared" si="7"/>
        <v>2023</v>
      </c>
      <c r="E195" t="s">
        <v>793</v>
      </c>
      <c r="F195" s="24" t="s">
        <v>48</v>
      </c>
      <c r="G195" s="17">
        <v>1</v>
      </c>
      <c r="H195" s="19">
        <v>46.66</v>
      </c>
      <c r="I195" t="s">
        <v>794</v>
      </c>
      <c r="J195" s="24" t="s">
        <v>65</v>
      </c>
      <c r="K195" s="24" t="s">
        <v>35</v>
      </c>
      <c r="L195" t="s">
        <v>795</v>
      </c>
      <c r="M195" s="17">
        <v>6</v>
      </c>
      <c r="N195" t="s">
        <v>4295</v>
      </c>
      <c r="O195" s="24" t="s">
        <v>76</v>
      </c>
      <c r="P195" s="19">
        <v>46.66</v>
      </c>
      <c r="Q195" s="26" t="str">
        <f>IF(OR(P195&lt;'Descriptive Statistics'!$H$17,P195&gt;'Descriptive Statistics'!$H$18),"Potential Outlier","Within Range")</f>
        <v>Within Range</v>
      </c>
      <c r="R195" s="26" t="str">
        <f>IF(OR(G195&lt;'Descriptive Statistics'!$I$17,G195&gt;'Descriptive Statistics'!$I$18),"Potential Outlier","Within Range")</f>
        <v>Within Range</v>
      </c>
      <c r="S195" s="26" t="str">
        <f>IF(OR(H195&lt;'Descriptive Statistics'!$J$17,H195&gt;'Descriptive Statistics'!$J$18),"Potential Outlier","Within Range")</f>
        <v>Within Range</v>
      </c>
    </row>
    <row r="196" hidden="1" spans="1:19">
      <c r="A196" t="s">
        <v>796</v>
      </c>
      <c r="B196" s="23">
        <v>45451</v>
      </c>
      <c r="C196" s="23" t="str">
        <f t="shared" si="6"/>
        <v>Jun</v>
      </c>
      <c r="D196" s="23" t="str">
        <f t="shared" si="7"/>
        <v>2024</v>
      </c>
      <c r="E196" t="s">
        <v>797</v>
      </c>
      <c r="F196" s="24" t="s">
        <v>16</v>
      </c>
      <c r="G196" s="17">
        <v>1</v>
      </c>
      <c r="H196" s="19">
        <v>249.57</v>
      </c>
      <c r="I196" t="s">
        <v>798</v>
      </c>
      <c r="J196" s="24" t="s">
        <v>65</v>
      </c>
      <c r="K196" s="24" t="s">
        <v>19</v>
      </c>
      <c r="L196" t="s">
        <v>799</v>
      </c>
      <c r="M196" s="17">
        <v>3</v>
      </c>
      <c r="N196" t="s">
        <v>37</v>
      </c>
      <c r="O196" s="24" t="s">
        <v>76</v>
      </c>
      <c r="P196" s="19">
        <v>249.57</v>
      </c>
      <c r="Q196" s="26" t="str">
        <f>IF(OR(P196&lt;'Descriptive Statistics'!$H$17,P196&gt;'Descriptive Statistics'!$H$18),"Potential Outlier","Within Range")</f>
        <v>Within Range</v>
      </c>
      <c r="R196" s="26" t="str">
        <f>IF(OR(G196&lt;'Descriptive Statistics'!$I$17,G196&gt;'Descriptive Statistics'!$I$18),"Potential Outlier","Within Range")</f>
        <v>Within Range</v>
      </c>
      <c r="S196" s="26" t="str">
        <f>IF(OR(H196&lt;'Descriptive Statistics'!$J$17,H196&gt;'Descriptive Statistics'!$J$18),"Potential Outlier","Within Range")</f>
        <v>Within Range</v>
      </c>
    </row>
    <row r="197" hidden="1" spans="1:19">
      <c r="A197" t="s">
        <v>800</v>
      </c>
      <c r="B197" s="23">
        <v>45404</v>
      </c>
      <c r="C197" s="23" t="str">
        <f t="shared" si="6"/>
        <v>Apr</v>
      </c>
      <c r="D197" s="23" t="str">
        <f t="shared" si="7"/>
        <v>2024</v>
      </c>
      <c r="E197" t="s">
        <v>801</v>
      </c>
      <c r="F197" s="24" t="s">
        <v>41</v>
      </c>
      <c r="G197" s="17">
        <v>3</v>
      </c>
      <c r="H197" s="19">
        <v>619.21</v>
      </c>
      <c r="I197" t="s">
        <v>802</v>
      </c>
      <c r="J197" s="24" t="s">
        <v>18</v>
      </c>
      <c r="K197" s="24" t="s">
        <v>35</v>
      </c>
      <c r="L197" t="s">
        <v>803</v>
      </c>
      <c r="M197" s="17">
        <v>6</v>
      </c>
      <c r="N197" t="s">
        <v>4295</v>
      </c>
      <c r="O197" s="24" t="s">
        <v>38</v>
      </c>
      <c r="P197" s="19">
        <v>1857.63</v>
      </c>
      <c r="Q197" s="26" t="str">
        <f>IF(OR(P197&lt;'Descriptive Statistics'!$H$17,P197&gt;'Descriptive Statistics'!$H$18),"Potential Outlier","Within Range")</f>
        <v>Within Range</v>
      </c>
      <c r="R197" s="26" t="str">
        <f>IF(OR(G197&lt;'Descriptive Statistics'!$I$17,G197&gt;'Descriptive Statistics'!$I$18),"Potential Outlier","Within Range")</f>
        <v>Within Range</v>
      </c>
      <c r="S197" s="26" t="str">
        <f>IF(OR(H197&lt;'Descriptive Statistics'!$J$17,H197&gt;'Descriptive Statistics'!$J$18),"Potential Outlier","Within Range")</f>
        <v>Within Range</v>
      </c>
    </row>
    <row r="198" hidden="1" spans="1:19">
      <c r="A198" t="s">
        <v>804</v>
      </c>
      <c r="B198" s="23">
        <v>45681</v>
      </c>
      <c r="C198" s="23" t="str">
        <f t="shared" si="6"/>
        <v>Jan</v>
      </c>
      <c r="D198" s="23" t="str">
        <f t="shared" si="7"/>
        <v>2025</v>
      </c>
      <c r="E198" t="s">
        <v>805</v>
      </c>
      <c r="F198" s="24" t="s">
        <v>73</v>
      </c>
      <c r="G198" s="17">
        <v>4</v>
      </c>
      <c r="H198" s="19">
        <v>217.13</v>
      </c>
      <c r="I198" t="s">
        <v>806</v>
      </c>
      <c r="J198" s="24" t="s">
        <v>65</v>
      </c>
      <c r="K198" s="24" t="s">
        <v>50</v>
      </c>
      <c r="L198" t="s">
        <v>807</v>
      </c>
      <c r="M198" s="17">
        <v>8</v>
      </c>
      <c r="N198" t="s">
        <v>81</v>
      </c>
      <c r="O198" s="24" t="s">
        <v>38</v>
      </c>
      <c r="P198" s="19">
        <v>868.52</v>
      </c>
      <c r="Q198" s="26" t="str">
        <f>IF(OR(P198&lt;'Descriptive Statistics'!$H$17,P198&gt;'Descriptive Statistics'!$H$18),"Potential Outlier","Within Range")</f>
        <v>Within Range</v>
      </c>
      <c r="R198" s="26" t="str">
        <f>IF(OR(G198&lt;'Descriptive Statistics'!$I$17,G198&gt;'Descriptive Statistics'!$I$18),"Potential Outlier","Within Range")</f>
        <v>Within Range</v>
      </c>
      <c r="S198" s="26" t="str">
        <f>IF(OR(H198&lt;'Descriptive Statistics'!$J$17,H198&gt;'Descriptive Statistics'!$J$18),"Potential Outlier","Within Range")</f>
        <v>Within Range</v>
      </c>
    </row>
    <row r="199" hidden="1" spans="1:19">
      <c r="A199" t="s">
        <v>808</v>
      </c>
      <c r="B199" s="23">
        <v>45165</v>
      </c>
      <c r="C199" s="23" t="str">
        <f t="shared" si="6"/>
        <v>Aug</v>
      </c>
      <c r="D199" s="23" t="str">
        <f t="shared" si="7"/>
        <v>2023</v>
      </c>
      <c r="E199" t="s">
        <v>809</v>
      </c>
      <c r="F199" s="24" t="s">
        <v>58</v>
      </c>
      <c r="G199" s="17">
        <v>5</v>
      </c>
      <c r="H199" s="19">
        <v>221.51</v>
      </c>
      <c r="I199" t="s">
        <v>810</v>
      </c>
      <c r="J199" s="24" t="s">
        <v>65</v>
      </c>
      <c r="K199" s="24" t="s">
        <v>43</v>
      </c>
      <c r="L199" t="s">
        <v>811</v>
      </c>
      <c r="M199" s="17">
        <v>5</v>
      </c>
      <c r="N199" t="s">
        <v>81</v>
      </c>
      <c r="O199" s="24" t="s">
        <v>29</v>
      </c>
      <c r="P199" s="19">
        <v>1107.55</v>
      </c>
      <c r="Q199" s="26" t="str">
        <f>IF(OR(P199&lt;'Descriptive Statistics'!$H$17,P199&gt;'Descriptive Statistics'!$H$18),"Potential Outlier","Within Range")</f>
        <v>Within Range</v>
      </c>
      <c r="R199" s="26" t="str">
        <f>IF(OR(G199&lt;'Descriptive Statistics'!$I$17,G199&gt;'Descriptive Statistics'!$I$18),"Potential Outlier","Within Range")</f>
        <v>Within Range</v>
      </c>
      <c r="S199" s="26" t="str">
        <f>IF(OR(H199&lt;'Descriptive Statistics'!$J$17,H199&gt;'Descriptive Statistics'!$J$18),"Potential Outlier","Within Range")</f>
        <v>Within Range</v>
      </c>
    </row>
    <row r="200" hidden="1" spans="1:19">
      <c r="A200" t="s">
        <v>812</v>
      </c>
      <c r="B200" s="23">
        <v>45454</v>
      </c>
      <c r="C200" s="23" t="str">
        <f t="shared" si="6"/>
        <v>Jun</v>
      </c>
      <c r="D200" s="23" t="str">
        <f t="shared" si="7"/>
        <v>2024</v>
      </c>
      <c r="E200" t="s">
        <v>813</v>
      </c>
      <c r="F200" s="24" t="s">
        <v>58</v>
      </c>
      <c r="G200" s="17">
        <v>4</v>
      </c>
      <c r="H200" s="19">
        <v>340.3</v>
      </c>
      <c r="I200" t="s">
        <v>177</v>
      </c>
      <c r="J200" s="24" t="s">
        <v>65</v>
      </c>
      <c r="K200" s="24" t="s">
        <v>35</v>
      </c>
      <c r="L200" t="s">
        <v>814</v>
      </c>
      <c r="M200" s="17">
        <v>8</v>
      </c>
      <c r="N200" t="s">
        <v>21</v>
      </c>
      <c r="O200" s="24" t="s">
        <v>29</v>
      </c>
      <c r="P200" s="19">
        <v>1361.2</v>
      </c>
      <c r="Q200" s="26" t="str">
        <f>IF(OR(P200&lt;'Descriptive Statistics'!$H$17,P200&gt;'Descriptive Statistics'!$H$18),"Potential Outlier","Within Range")</f>
        <v>Within Range</v>
      </c>
      <c r="R200" s="26" t="str">
        <f>IF(OR(G200&lt;'Descriptive Statistics'!$I$17,G200&gt;'Descriptive Statistics'!$I$18),"Potential Outlier","Within Range")</f>
        <v>Within Range</v>
      </c>
      <c r="S200" s="26" t="str">
        <f>IF(OR(H200&lt;'Descriptive Statistics'!$J$17,H200&gt;'Descriptive Statistics'!$J$18),"Potential Outlier","Within Range")</f>
        <v>Within Range</v>
      </c>
    </row>
    <row r="201" hidden="1" spans="1:19">
      <c r="A201" t="s">
        <v>815</v>
      </c>
      <c r="B201" s="23">
        <v>45680</v>
      </c>
      <c r="C201" s="23" t="str">
        <f t="shared" si="6"/>
        <v>Jan</v>
      </c>
      <c r="D201" s="23" t="str">
        <f t="shared" si="7"/>
        <v>2025</v>
      </c>
      <c r="E201" t="s">
        <v>816</v>
      </c>
      <c r="F201" s="24" t="s">
        <v>25</v>
      </c>
      <c r="G201" s="17">
        <v>1</v>
      </c>
      <c r="H201" s="19">
        <v>625</v>
      </c>
      <c r="I201" t="s">
        <v>817</v>
      </c>
      <c r="J201" s="24" t="s">
        <v>27</v>
      </c>
      <c r="K201" s="24" t="s">
        <v>43</v>
      </c>
      <c r="L201" t="s">
        <v>818</v>
      </c>
      <c r="M201" s="17">
        <v>5</v>
      </c>
      <c r="N201" t="s">
        <v>81</v>
      </c>
      <c r="O201" s="24" t="s">
        <v>76</v>
      </c>
      <c r="P201" s="19">
        <v>625</v>
      </c>
      <c r="Q201" s="26" t="str">
        <f>IF(OR(P201&lt;'Descriptive Statistics'!$H$17,P201&gt;'Descriptive Statistics'!$H$18),"Potential Outlier","Within Range")</f>
        <v>Within Range</v>
      </c>
      <c r="R201" s="26" t="str">
        <f>IF(OR(G201&lt;'Descriptive Statistics'!$I$17,G201&gt;'Descriptive Statistics'!$I$18),"Potential Outlier","Within Range")</f>
        <v>Within Range</v>
      </c>
      <c r="S201" s="26" t="str">
        <f>IF(OR(H201&lt;'Descriptive Statistics'!$J$17,H201&gt;'Descriptive Statistics'!$J$18),"Potential Outlier","Within Range")</f>
        <v>Within Range</v>
      </c>
    </row>
    <row r="202" hidden="1" spans="1:19">
      <c r="A202" t="s">
        <v>819</v>
      </c>
      <c r="B202" s="23">
        <v>45815</v>
      </c>
      <c r="C202" s="23" t="str">
        <f t="shared" si="6"/>
        <v>Jun</v>
      </c>
      <c r="D202" s="23" t="str">
        <f t="shared" si="7"/>
        <v>2025</v>
      </c>
      <c r="E202" t="s">
        <v>820</v>
      </c>
      <c r="F202" s="24" t="s">
        <v>32</v>
      </c>
      <c r="G202" s="17">
        <v>5</v>
      </c>
      <c r="H202" s="19">
        <v>433.26</v>
      </c>
      <c r="I202" t="s">
        <v>161</v>
      </c>
      <c r="J202" s="24" t="s">
        <v>34</v>
      </c>
      <c r="K202" s="24" t="s">
        <v>50</v>
      </c>
      <c r="L202" t="s">
        <v>821</v>
      </c>
      <c r="M202" s="17">
        <v>9</v>
      </c>
      <c r="N202" t="s">
        <v>21</v>
      </c>
      <c r="O202" s="24" t="s">
        <v>76</v>
      </c>
      <c r="P202" s="19">
        <v>2166.3</v>
      </c>
      <c r="Q202" s="26" t="str">
        <f>IF(OR(P202&lt;'Descriptive Statistics'!$H$17,P202&gt;'Descriptive Statistics'!$H$18),"Potential Outlier","Within Range")</f>
        <v>Within Range</v>
      </c>
      <c r="R202" s="26" t="str">
        <f>IF(OR(G202&lt;'Descriptive Statistics'!$I$17,G202&gt;'Descriptive Statistics'!$I$18),"Potential Outlier","Within Range")</f>
        <v>Within Range</v>
      </c>
      <c r="S202" s="26" t="str">
        <f>IF(OR(H202&lt;'Descriptive Statistics'!$J$17,H202&gt;'Descriptive Statistics'!$J$18),"Potential Outlier","Within Range")</f>
        <v>Within Range</v>
      </c>
    </row>
    <row r="203" hidden="1" spans="1:19">
      <c r="A203" t="s">
        <v>822</v>
      </c>
      <c r="B203" s="23">
        <v>45095</v>
      </c>
      <c r="C203" s="23" t="str">
        <f t="shared" si="6"/>
        <v>Jun</v>
      </c>
      <c r="D203" s="23" t="str">
        <f t="shared" si="7"/>
        <v>2023</v>
      </c>
      <c r="E203" t="s">
        <v>823</v>
      </c>
      <c r="F203" s="24" t="s">
        <v>16</v>
      </c>
      <c r="G203" s="17">
        <v>2</v>
      </c>
      <c r="H203" s="19">
        <v>674.9</v>
      </c>
      <c r="I203" t="s">
        <v>347</v>
      </c>
      <c r="J203" s="24" t="s">
        <v>27</v>
      </c>
      <c r="K203" s="24" t="s">
        <v>19</v>
      </c>
      <c r="L203" t="s">
        <v>824</v>
      </c>
      <c r="M203" s="17">
        <v>4</v>
      </c>
      <c r="N203" t="s">
        <v>21</v>
      </c>
      <c r="O203" s="24" t="s">
        <v>45</v>
      </c>
      <c r="P203" s="19">
        <v>1349.8</v>
      </c>
      <c r="Q203" s="26" t="str">
        <f>IF(OR(P203&lt;'Descriptive Statistics'!$H$17,P203&gt;'Descriptive Statistics'!$H$18),"Potential Outlier","Within Range")</f>
        <v>Within Range</v>
      </c>
      <c r="R203" s="26" t="str">
        <f>IF(OR(G203&lt;'Descriptive Statistics'!$I$17,G203&gt;'Descriptive Statistics'!$I$18),"Potential Outlier","Within Range")</f>
        <v>Within Range</v>
      </c>
      <c r="S203" s="26" t="str">
        <f>IF(OR(H203&lt;'Descriptive Statistics'!$J$17,H203&gt;'Descriptive Statistics'!$J$18),"Potential Outlier","Within Range")</f>
        <v>Within Range</v>
      </c>
    </row>
    <row r="204" hidden="1" spans="1:19">
      <c r="A204" t="s">
        <v>825</v>
      </c>
      <c r="B204" s="23">
        <v>45694</v>
      </c>
      <c r="C204" s="23" t="str">
        <f t="shared" si="6"/>
        <v>Feb</v>
      </c>
      <c r="D204" s="23" t="str">
        <f t="shared" si="7"/>
        <v>2025</v>
      </c>
      <c r="E204" t="s">
        <v>826</v>
      </c>
      <c r="F204" s="24" t="s">
        <v>16</v>
      </c>
      <c r="G204" s="17">
        <v>3</v>
      </c>
      <c r="H204" s="19">
        <v>253.98</v>
      </c>
      <c r="I204" t="s">
        <v>565</v>
      </c>
      <c r="J204" s="24" t="s">
        <v>34</v>
      </c>
      <c r="K204" s="24" t="s">
        <v>35</v>
      </c>
      <c r="L204" t="s">
        <v>827</v>
      </c>
      <c r="M204" s="17">
        <v>3</v>
      </c>
      <c r="N204" t="s">
        <v>37</v>
      </c>
      <c r="O204" s="24" t="s">
        <v>38</v>
      </c>
      <c r="P204" s="19">
        <v>761.94</v>
      </c>
      <c r="Q204" s="26" t="str">
        <f>IF(OR(P204&lt;'Descriptive Statistics'!$H$17,P204&gt;'Descriptive Statistics'!$H$18),"Potential Outlier","Within Range")</f>
        <v>Within Range</v>
      </c>
      <c r="R204" s="26" t="str">
        <f>IF(OR(G204&lt;'Descriptive Statistics'!$I$17,G204&gt;'Descriptive Statistics'!$I$18),"Potential Outlier","Within Range")</f>
        <v>Within Range</v>
      </c>
      <c r="S204" s="26" t="str">
        <f>IF(OR(H204&lt;'Descriptive Statistics'!$J$17,H204&gt;'Descriptive Statistics'!$J$18),"Potential Outlier","Within Range")</f>
        <v>Within Range</v>
      </c>
    </row>
    <row r="205" hidden="1" spans="1:19">
      <c r="A205" t="s">
        <v>828</v>
      </c>
      <c r="B205" s="23">
        <v>45678</v>
      </c>
      <c r="C205" s="23" t="str">
        <f t="shared" si="6"/>
        <v>Jan</v>
      </c>
      <c r="D205" s="23" t="str">
        <f t="shared" si="7"/>
        <v>2025</v>
      </c>
      <c r="E205" t="s">
        <v>829</v>
      </c>
      <c r="F205" s="24" t="s">
        <v>48</v>
      </c>
      <c r="G205" s="17">
        <v>3</v>
      </c>
      <c r="H205" s="19">
        <v>356.84</v>
      </c>
      <c r="I205" t="s">
        <v>830</v>
      </c>
      <c r="J205" s="24" t="s">
        <v>27</v>
      </c>
      <c r="K205" s="24" t="s">
        <v>19</v>
      </c>
      <c r="L205" t="s">
        <v>831</v>
      </c>
      <c r="M205" s="17">
        <v>5</v>
      </c>
      <c r="N205" t="s">
        <v>21</v>
      </c>
      <c r="O205" s="24" t="s">
        <v>22</v>
      </c>
      <c r="P205" s="19">
        <v>1070.52</v>
      </c>
      <c r="Q205" s="26" t="str">
        <f>IF(OR(P205&lt;'Descriptive Statistics'!$H$17,P205&gt;'Descriptive Statistics'!$H$18),"Potential Outlier","Within Range")</f>
        <v>Within Range</v>
      </c>
      <c r="R205" s="26" t="str">
        <f>IF(OR(G205&lt;'Descriptive Statistics'!$I$17,G205&gt;'Descriptive Statistics'!$I$18),"Potential Outlier","Within Range")</f>
        <v>Within Range</v>
      </c>
      <c r="S205" s="26" t="str">
        <f>IF(OR(H205&lt;'Descriptive Statistics'!$J$17,H205&gt;'Descriptive Statistics'!$J$18),"Potential Outlier","Within Range")</f>
        <v>Within Range</v>
      </c>
    </row>
    <row r="206" hidden="1" spans="1:19">
      <c r="A206" t="s">
        <v>832</v>
      </c>
      <c r="B206" s="23">
        <v>45174</v>
      </c>
      <c r="C206" s="23" t="str">
        <f t="shared" si="6"/>
        <v>Sep</v>
      </c>
      <c r="D206" s="23" t="str">
        <f t="shared" si="7"/>
        <v>2023</v>
      </c>
      <c r="E206" t="s">
        <v>833</v>
      </c>
      <c r="F206" s="24" t="s">
        <v>58</v>
      </c>
      <c r="G206" s="17">
        <v>4</v>
      </c>
      <c r="H206" s="19">
        <v>413.71</v>
      </c>
      <c r="I206" t="s">
        <v>584</v>
      </c>
      <c r="J206" s="24" t="s">
        <v>60</v>
      </c>
      <c r="K206" s="24" t="s">
        <v>35</v>
      </c>
      <c r="L206" t="s">
        <v>834</v>
      </c>
      <c r="M206" s="17">
        <v>9</v>
      </c>
      <c r="N206" t="s">
        <v>37</v>
      </c>
      <c r="O206" s="24" t="s">
        <v>45</v>
      </c>
      <c r="P206" s="19">
        <v>1654.84</v>
      </c>
      <c r="Q206" s="26" t="str">
        <f>IF(OR(P206&lt;'Descriptive Statistics'!$H$17,P206&gt;'Descriptive Statistics'!$H$18),"Potential Outlier","Within Range")</f>
        <v>Within Range</v>
      </c>
      <c r="R206" s="26" t="str">
        <f>IF(OR(G206&lt;'Descriptive Statistics'!$I$17,G206&gt;'Descriptive Statistics'!$I$18),"Potential Outlier","Within Range")</f>
        <v>Within Range</v>
      </c>
      <c r="S206" s="26" t="str">
        <f>IF(OR(H206&lt;'Descriptive Statistics'!$J$17,H206&gt;'Descriptive Statistics'!$J$18),"Potential Outlier","Within Range")</f>
        <v>Within Range</v>
      </c>
    </row>
    <row r="207" hidden="1" spans="1:19">
      <c r="A207" t="s">
        <v>835</v>
      </c>
      <c r="B207" s="23">
        <v>44989</v>
      </c>
      <c r="C207" s="23" t="str">
        <f t="shared" si="6"/>
        <v>Mar</v>
      </c>
      <c r="D207" s="23" t="str">
        <f t="shared" si="7"/>
        <v>2023</v>
      </c>
      <c r="E207" t="s">
        <v>836</v>
      </c>
      <c r="F207" s="24" t="s">
        <v>73</v>
      </c>
      <c r="G207" s="17">
        <v>3</v>
      </c>
      <c r="H207" s="19">
        <v>147.39</v>
      </c>
      <c r="I207" t="s">
        <v>837</v>
      </c>
      <c r="J207" s="24" t="s">
        <v>18</v>
      </c>
      <c r="K207" s="24" t="s">
        <v>43</v>
      </c>
      <c r="L207" t="s">
        <v>838</v>
      </c>
      <c r="M207" s="17">
        <v>3</v>
      </c>
      <c r="N207" t="s">
        <v>4295</v>
      </c>
      <c r="O207" s="24" t="s">
        <v>38</v>
      </c>
      <c r="P207" s="19">
        <v>442.17</v>
      </c>
      <c r="Q207" s="26" t="str">
        <f>IF(OR(P207&lt;'Descriptive Statistics'!$H$17,P207&gt;'Descriptive Statistics'!$H$18),"Potential Outlier","Within Range")</f>
        <v>Within Range</v>
      </c>
      <c r="R207" s="26" t="str">
        <f>IF(OR(G207&lt;'Descriptive Statistics'!$I$17,G207&gt;'Descriptive Statistics'!$I$18),"Potential Outlier","Within Range")</f>
        <v>Within Range</v>
      </c>
      <c r="S207" s="26" t="str">
        <f>IF(OR(H207&lt;'Descriptive Statistics'!$J$17,H207&gt;'Descriptive Statistics'!$J$18),"Potential Outlier","Within Range")</f>
        <v>Within Range</v>
      </c>
    </row>
    <row r="208" hidden="1" spans="1:19">
      <c r="A208" t="s">
        <v>839</v>
      </c>
      <c r="B208" s="23">
        <v>45398</v>
      </c>
      <c r="C208" s="23" t="str">
        <f t="shared" si="6"/>
        <v>Apr</v>
      </c>
      <c r="D208" s="23" t="str">
        <f t="shared" si="7"/>
        <v>2024</v>
      </c>
      <c r="E208" t="s">
        <v>840</v>
      </c>
      <c r="F208" s="24" t="s">
        <v>58</v>
      </c>
      <c r="G208" s="17">
        <v>4</v>
      </c>
      <c r="H208" s="19">
        <v>229.1</v>
      </c>
      <c r="I208" t="s">
        <v>841</v>
      </c>
      <c r="J208" s="24" t="s">
        <v>60</v>
      </c>
      <c r="K208" s="24" t="s">
        <v>43</v>
      </c>
      <c r="L208" t="s">
        <v>842</v>
      </c>
      <c r="M208" s="17">
        <v>8</v>
      </c>
      <c r="N208" t="s">
        <v>81</v>
      </c>
      <c r="O208" s="24" t="s">
        <v>38</v>
      </c>
      <c r="P208" s="19">
        <v>916.4</v>
      </c>
      <c r="Q208" s="26" t="str">
        <f>IF(OR(P208&lt;'Descriptive Statistics'!$H$17,P208&gt;'Descriptive Statistics'!$H$18),"Potential Outlier","Within Range")</f>
        <v>Within Range</v>
      </c>
      <c r="R208" s="26" t="str">
        <f>IF(OR(G208&lt;'Descriptive Statistics'!$I$17,G208&gt;'Descriptive Statistics'!$I$18),"Potential Outlier","Within Range")</f>
        <v>Within Range</v>
      </c>
      <c r="S208" s="26" t="str">
        <f>IF(OR(H208&lt;'Descriptive Statistics'!$J$17,H208&gt;'Descriptive Statistics'!$J$18),"Potential Outlier","Within Range")</f>
        <v>Within Range</v>
      </c>
    </row>
    <row r="209" hidden="1" spans="1:19">
      <c r="A209" t="s">
        <v>843</v>
      </c>
      <c r="B209" s="23">
        <v>45734</v>
      </c>
      <c r="C209" s="23" t="str">
        <f t="shared" si="6"/>
        <v>Mar</v>
      </c>
      <c r="D209" s="23" t="str">
        <f t="shared" si="7"/>
        <v>2025</v>
      </c>
      <c r="E209" t="s">
        <v>844</v>
      </c>
      <c r="F209" s="24" t="s">
        <v>25</v>
      </c>
      <c r="G209" s="17">
        <v>1</v>
      </c>
      <c r="H209" s="19">
        <v>121.96</v>
      </c>
      <c r="I209" t="s">
        <v>845</v>
      </c>
      <c r="J209" s="24" t="s">
        <v>18</v>
      </c>
      <c r="K209" s="24" t="s">
        <v>50</v>
      </c>
      <c r="L209" t="s">
        <v>846</v>
      </c>
      <c r="M209" s="17">
        <v>3</v>
      </c>
      <c r="N209" t="s">
        <v>4295</v>
      </c>
      <c r="O209" s="24" t="s">
        <v>76</v>
      </c>
      <c r="P209" s="19">
        <v>121.96</v>
      </c>
      <c r="Q209" s="26" t="str">
        <f>IF(OR(P209&lt;'Descriptive Statistics'!$H$17,P209&gt;'Descriptive Statistics'!$H$18),"Potential Outlier","Within Range")</f>
        <v>Within Range</v>
      </c>
      <c r="R209" s="26" t="str">
        <f>IF(OR(G209&lt;'Descriptive Statistics'!$I$17,G209&gt;'Descriptive Statistics'!$I$18),"Potential Outlier","Within Range")</f>
        <v>Within Range</v>
      </c>
      <c r="S209" s="26" t="str">
        <f>IF(OR(H209&lt;'Descriptive Statistics'!$J$17,H209&gt;'Descriptive Statistics'!$J$18),"Potential Outlier","Within Range")</f>
        <v>Within Range</v>
      </c>
    </row>
    <row r="210" hidden="1" spans="1:19">
      <c r="A210" t="s">
        <v>847</v>
      </c>
      <c r="B210" s="23">
        <v>45573</v>
      </c>
      <c r="C210" s="23" t="str">
        <f t="shared" si="6"/>
        <v>Oct</v>
      </c>
      <c r="D210" s="23" t="str">
        <f t="shared" si="7"/>
        <v>2024</v>
      </c>
      <c r="E210" t="s">
        <v>848</v>
      </c>
      <c r="F210" s="24" t="s">
        <v>73</v>
      </c>
      <c r="G210" s="17">
        <v>2</v>
      </c>
      <c r="H210" s="19">
        <v>408.32</v>
      </c>
      <c r="I210" t="s">
        <v>779</v>
      </c>
      <c r="J210" s="24" t="s">
        <v>27</v>
      </c>
      <c r="K210" s="24" t="s">
        <v>19</v>
      </c>
      <c r="L210" t="s">
        <v>849</v>
      </c>
      <c r="M210" s="17">
        <v>3</v>
      </c>
      <c r="N210" t="s">
        <v>37</v>
      </c>
      <c r="O210" s="24" t="s">
        <v>45</v>
      </c>
      <c r="P210" s="19">
        <v>816.64</v>
      </c>
      <c r="Q210" s="26" t="str">
        <f>IF(OR(P210&lt;'Descriptive Statistics'!$H$17,P210&gt;'Descriptive Statistics'!$H$18),"Potential Outlier","Within Range")</f>
        <v>Within Range</v>
      </c>
      <c r="R210" s="26" t="str">
        <f>IF(OR(G210&lt;'Descriptive Statistics'!$I$17,G210&gt;'Descriptive Statistics'!$I$18),"Potential Outlier","Within Range")</f>
        <v>Within Range</v>
      </c>
      <c r="S210" s="26" t="str">
        <f>IF(OR(H210&lt;'Descriptive Statistics'!$J$17,H210&gt;'Descriptive Statistics'!$J$18),"Potential Outlier","Within Range")</f>
        <v>Within Range</v>
      </c>
    </row>
    <row r="211" hidden="1" spans="1:19">
      <c r="A211" t="s">
        <v>850</v>
      </c>
      <c r="B211" s="23">
        <v>45167</v>
      </c>
      <c r="C211" s="23" t="str">
        <f t="shared" si="6"/>
        <v>Aug</v>
      </c>
      <c r="D211" s="23" t="str">
        <f t="shared" si="7"/>
        <v>2023</v>
      </c>
      <c r="E211" t="s">
        <v>851</v>
      </c>
      <c r="F211" s="24" t="s">
        <v>32</v>
      </c>
      <c r="G211" s="17">
        <v>5</v>
      </c>
      <c r="H211" s="19">
        <v>187.97</v>
      </c>
      <c r="I211" t="s">
        <v>64</v>
      </c>
      <c r="J211" s="24" t="s">
        <v>65</v>
      </c>
      <c r="K211" s="24" t="s">
        <v>43</v>
      </c>
      <c r="L211" t="s">
        <v>852</v>
      </c>
      <c r="M211" s="17">
        <v>9</v>
      </c>
      <c r="N211" t="s">
        <v>21</v>
      </c>
      <c r="O211" s="24" t="s">
        <v>76</v>
      </c>
      <c r="P211" s="19">
        <v>939.85</v>
      </c>
      <c r="Q211" s="26" t="str">
        <f>IF(OR(P211&lt;'Descriptive Statistics'!$H$17,P211&gt;'Descriptive Statistics'!$H$18),"Potential Outlier","Within Range")</f>
        <v>Within Range</v>
      </c>
      <c r="R211" s="26" t="str">
        <f>IF(OR(G211&lt;'Descriptive Statistics'!$I$17,G211&gt;'Descriptive Statistics'!$I$18),"Potential Outlier","Within Range")</f>
        <v>Within Range</v>
      </c>
      <c r="S211" s="26" t="str">
        <f>IF(OR(H211&lt;'Descriptive Statistics'!$J$17,H211&gt;'Descriptive Statistics'!$J$18),"Potential Outlier","Within Range")</f>
        <v>Within Range</v>
      </c>
    </row>
    <row r="212" hidden="1" spans="1:19">
      <c r="A212" t="s">
        <v>853</v>
      </c>
      <c r="B212" s="23">
        <v>45631</v>
      </c>
      <c r="C212" s="23" t="str">
        <f t="shared" si="6"/>
        <v>Dec</v>
      </c>
      <c r="D212" s="23" t="str">
        <f t="shared" si="7"/>
        <v>2024</v>
      </c>
      <c r="E212" t="s">
        <v>854</v>
      </c>
      <c r="F212" s="24" t="s">
        <v>41</v>
      </c>
      <c r="G212" s="17">
        <v>3</v>
      </c>
      <c r="H212" s="19">
        <v>358.48</v>
      </c>
      <c r="I212" t="s">
        <v>553</v>
      </c>
      <c r="J212" s="24" t="s">
        <v>60</v>
      </c>
      <c r="K212" s="24" t="s">
        <v>50</v>
      </c>
      <c r="L212" t="s">
        <v>855</v>
      </c>
      <c r="M212" s="17">
        <v>7</v>
      </c>
      <c r="N212" t="s">
        <v>37</v>
      </c>
      <c r="O212" s="24" t="s">
        <v>45</v>
      </c>
      <c r="P212" s="19">
        <v>1075.44</v>
      </c>
      <c r="Q212" s="26" t="str">
        <f>IF(OR(P212&lt;'Descriptive Statistics'!$H$17,P212&gt;'Descriptive Statistics'!$H$18),"Potential Outlier","Within Range")</f>
        <v>Within Range</v>
      </c>
      <c r="R212" s="26" t="str">
        <f>IF(OR(G212&lt;'Descriptive Statistics'!$I$17,G212&gt;'Descriptive Statistics'!$I$18),"Potential Outlier","Within Range")</f>
        <v>Within Range</v>
      </c>
      <c r="S212" s="26" t="str">
        <f>IF(OR(H212&lt;'Descriptive Statistics'!$J$17,H212&gt;'Descriptive Statistics'!$J$18),"Potential Outlier","Within Range")</f>
        <v>Within Range</v>
      </c>
    </row>
    <row r="213" hidden="1" spans="1:19">
      <c r="A213" t="s">
        <v>856</v>
      </c>
      <c r="B213" s="23">
        <v>45660</v>
      </c>
      <c r="C213" s="23" t="str">
        <f t="shared" si="6"/>
        <v>Jan</v>
      </c>
      <c r="D213" s="23" t="str">
        <f t="shared" si="7"/>
        <v>2025</v>
      </c>
      <c r="E213" t="s">
        <v>857</v>
      </c>
      <c r="F213" s="24" t="s">
        <v>48</v>
      </c>
      <c r="G213" s="17">
        <v>3</v>
      </c>
      <c r="H213" s="19">
        <v>193.58</v>
      </c>
      <c r="I213" t="s">
        <v>858</v>
      </c>
      <c r="J213" s="24" t="s">
        <v>60</v>
      </c>
      <c r="K213" s="24" t="s">
        <v>89</v>
      </c>
      <c r="L213" t="s">
        <v>859</v>
      </c>
      <c r="M213" s="17">
        <v>7</v>
      </c>
      <c r="N213" t="s">
        <v>37</v>
      </c>
      <c r="O213" s="24" t="s">
        <v>38</v>
      </c>
      <c r="P213" s="19">
        <v>580.74</v>
      </c>
      <c r="Q213" s="26" t="str">
        <f>IF(OR(P213&lt;'Descriptive Statistics'!$H$17,P213&gt;'Descriptive Statistics'!$H$18),"Potential Outlier","Within Range")</f>
        <v>Within Range</v>
      </c>
      <c r="R213" s="26" t="str">
        <f>IF(OR(G213&lt;'Descriptive Statistics'!$I$17,G213&gt;'Descriptive Statistics'!$I$18),"Potential Outlier","Within Range")</f>
        <v>Within Range</v>
      </c>
      <c r="S213" s="26" t="str">
        <f>IF(OR(H213&lt;'Descriptive Statistics'!$J$17,H213&gt;'Descriptive Statistics'!$J$18),"Potential Outlier","Within Range")</f>
        <v>Within Range</v>
      </c>
    </row>
    <row r="214" hidden="1" spans="1:19">
      <c r="A214" t="s">
        <v>860</v>
      </c>
      <c r="B214" s="23">
        <v>45097</v>
      </c>
      <c r="C214" s="23" t="str">
        <f t="shared" si="6"/>
        <v>Jun</v>
      </c>
      <c r="D214" s="23" t="str">
        <f t="shared" si="7"/>
        <v>2023</v>
      </c>
      <c r="E214" t="s">
        <v>861</v>
      </c>
      <c r="F214" s="24" t="s">
        <v>16</v>
      </c>
      <c r="G214" s="17">
        <v>1</v>
      </c>
      <c r="H214" s="19">
        <v>265.38</v>
      </c>
      <c r="I214" t="s">
        <v>862</v>
      </c>
      <c r="J214" s="24" t="s">
        <v>34</v>
      </c>
      <c r="K214" s="24" t="s">
        <v>35</v>
      </c>
      <c r="L214" t="s">
        <v>863</v>
      </c>
      <c r="M214" s="17">
        <v>6</v>
      </c>
      <c r="N214" t="s">
        <v>81</v>
      </c>
      <c r="O214" s="24" t="s">
        <v>38</v>
      </c>
      <c r="P214" s="19">
        <v>265.38</v>
      </c>
      <c r="Q214" s="26" t="str">
        <f>IF(OR(P214&lt;'Descriptive Statistics'!$H$17,P214&gt;'Descriptive Statistics'!$H$18),"Potential Outlier","Within Range")</f>
        <v>Within Range</v>
      </c>
      <c r="R214" s="26" t="str">
        <f>IF(OR(G214&lt;'Descriptive Statistics'!$I$17,G214&gt;'Descriptive Statistics'!$I$18),"Potential Outlier","Within Range")</f>
        <v>Within Range</v>
      </c>
      <c r="S214" s="26" t="str">
        <f>IF(OR(H214&lt;'Descriptive Statistics'!$J$17,H214&gt;'Descriptive Statistics'!$J$18),"Potential Outlier","Within Range")</f>
        <v>Within Range</v>
      </c>
    </row>
    <row r="215" hidden="1" spans="1:19">
      <c r="A215" t="s">
        <v>864</v>
      </c>
      <c r="B215" s="23">
        <v>45036</v>
      </c>
      <c r="C215" s="23" t="str">
        <f t="shared" si="6"/>
        <v>Apr</v>
      </c>
      <c r="D215" s="23" t="str">
        <f t="shared" si="7"/>
        <v>2023</v>
      </c>
      <c r="E215" t="s">
        <v>865</v>
      </c>
      <c r="F215" s="24" t="s">
        <v>58</v>
      </c>
      <c r="G215" s="17">
        <v>1</v>
      </c>
      <c r="H215" s="19">
        <v>634.4</v>
      </c>
      <c r="I215" t="s">
        <v>866</v>
      </c>
      <c r="J215" s="24" t="s">
        <v>65</v>
      </c>
      <c r="K215" s="24" t="s">
        <v>35</v>
      </c>
      <c r="L215" t="s">
        <v>867</v>
      </c>
      <c r="M215" s="17">
        <v>6</v>
      </c>
      <c r="N215" t="s">
        <v>21</v>
      </c>
      <c r="O215" s="24" t="s">
        <v>38</v>
      </c>
      <c r="P215" s="19">
        <v>634.4</v>
      </c>
      <c r="Q215" s="26" t="str">
        <f>IF(OR(P215&lt;'Descriptive Statistics'!$H$17,P215&gt;'Descriptive Statistics'!$H$18),"Potential Outlier","Within Range")</f>
        <v>Within Range</v>
      </c>
      <c r="R215" s="26" t="str">
        <f>IF(OR(G215&lt;'Descriptive Statistics'!$I$17,G215&gt;'Descriptive Statistics'!$I$18),"Potential Outlier","Within Range")</f>
        <v>Within Range</v>
      </c>
      <c r="S215" s="26" t="str">
        <f>IF(OR(H215&lt;'Descriptive Statistics'!$J$17,H215&gt;'Descriptive Statistics'!$J$18),"Potential Outlier","Within Range")</f>
        <v>Within Range</v>
      </c>
    </row>
    <row r="216" hidden="1" spans="1:19">
      <c r="A216" t="s">
        <v>868</v>
      </c>
      <c r="B216" s="23">
        <v>45525</v>
      </c>
      <c r="C216" s="23" t="str">
        <f t="shared" si="6"/>
        <v>Aug</v>
      </c>
      <c r="D216" s="23" t="str">
        <f t="shared" si="7"/>
        <v>2024</v>
      </c>
      <c r="E216" t="s">
        <v>869</v>
      </c>
      <c r="F216" s="24" t="s">
        <v>73</v>
      </c>
      <c r="G216" s="17">
        <v>4</v>
      </c>
      <c r="H216" s="19">
        <v>305.72</v>
      </c>
      <c r="I216" t="s">
        <v>517</v>
      </c>
      <c r="J216" s="24" t="s">
        <v>27</v>
      </c>
      <c r="K216" s="24" t="s">
        <v>50</v>
      </c>
      <c r="L216" t="s">
        <v>870</v>
      </c>
      <c r="M216" s="17">
        <v>5</v>
      </c>
      <c r="N216" t="s">
        <v>4295</v>
      </c>
      <c r="O216" s="24" t="s">
        <v>45</v>
      </c>
      <c r="P216" s="19">
        <v>1222.88</v>
      </c>
      <c r="Q216" s="26" t="str">
        <f>IF(OR(P216&lt;'Descriptive Statistics'!$H$17,P216&gt;'Descriptive Statistics'!$H$18),"Potential Outlier","Within Range")</f>
        <v>Within Range</v>
      </c>
      <c r="R216" s="26" t="str">
        <f>IF(OR(G216&lt;'Descriptive Statistics'!$I$17,G216&gt;'Descriptive Statistics'!$I$18),"Potential Outlier","Within Range")</f>
        <v>Within Range</v>
      </c>
      <c r="S216" s="26" t="str">
        <f>IF(OR(H216&lt;'Descriptive Statistics'!$J$17,H216&gt;'Descriptive Statistics'!$J$18),"Potential Outlier","Within Range")</f>
        <v>Within Range</v>
      </c>
    </row>
    <row r="217" hidden="1" spans="1:19">
      <c r="A217" t="s">
        <v>871</v>
      </c>
      <c r="B217" s="23">
        <v>45148</v>
      </c>
      <c r="C217" s="23" t="str">
        <f t="shared" si="6"/>
        <v>Aug</v>
      </c>
      <c r="D217" s="23" t="str">
        <f t="shared" si="7"/>
        <v>2023</v>
      </c>
      <c r="E217" t="s">
        <v>872</v>
      </c>
      <c r="F217" s="24" t="s">
        <v>48</v>
      </c>
      <c r="G217" s="17">
        <v>1</v>
      </c>
      <c r="H217" s="19">
        <v>303.6</v>
      </c>
      <c r="I217" t="s">
        <v>873</v>
      </c>
      <c r="J217" s="24" t="s">
        <v>65</v>
      </c>
      <c r="K217" s="24" t="s">
        <v>19</v>
      </c>
      <c r="L217" t="s">
        <v>874</v>
      </c>
      <c r="M217" s="17">
        <v>5</v>
      </c>
      <c r="N217" t="s">
        <v>37</v>
      </c>
      <c r="O217" s="24" t="s">
        <v>45</v>
      </c>
      <c r="P217" s="19">
        <v>303.6</v>
      </c>
      <c r="Q217" s="26" t="str">
        <f>IF(OR(P217&lt;'Descriptive Statistics'!$H$17,P217&gt;'Descriptive Statistics'!$H$18),"Potential Outlier","Within Range")</f>
        <v>Within Range</v>
      </c>
      <c r="R217" s="26" t="str">
        <f>IF(OR(G217&lt;'Descriptive Statistics'!$I$17,G217&gt;'Descriptive Statistics'!$I$18),"Potential Outlier","Within Range")</f>
        <v>Within Range</v>
      </c>
      <c r="S217" s="26" t="str">
        <f>IF(OR(H217&lt;'Descriptive Statistics'!$J$17,H217&gt;'Descriptive Statistics'!$J$18),"Potential Outlier","Within Range")</f>
        <v>Within Range</v>
      </c>
    </row>
    <row r="218" hidden="1" spans="1:19">
      <c r="A218" t="s">
        <v>875</v>
      </c>
      <c r="B218" s="23">
        <v>45762</v>
      </c>
      <c r="C218" s="23" t="str">
        <f t="shared" si="6"/>
        <v>Apr</v>
      </c>
      <c r="D218" s="23" t="str">
        <f t="shared" si="7"/>
        <v>2025</v>
      </c>
      <c r="E218" t="s">
        <v>876</v>
      </c>
      <c r="F218" s="24" t="s">
        <v>16</v>
      </c>
      <c r="G218" s="17">
        <v>4</v>
      </c>
      <c r="H218" s="19">
        <v>496</v>
      </c>
      <c r="I218" t="s">
        <v>273</v>
      </c>
      <c r="J218" s="24" t="s">
        <v>27</v>
      </c>
      <c r="K218" s="24" t="s">
        <v>35</v>
      </c>
      <c r="L218" t="s">
        <v>877</v>
      </c>
      <c r="M218" s="17">
        <v>8</v>
      </c>
      <c r="N218" t="s">
        <v>81</v>
      </c>
      <c r="O218" s="24" t="s">
        <v>76</v>
      </c>
      <c r="P218" s="19">
        <v>1984</v>
      </c>
      <c r="Q218" s="26" t="str">
        <f>IF(OR(P218&lt;'Descriptive Statistics'!$H$17,P218&gt;'Descriptive Statistics'!$H$18),"Potential Outlier","Within Range")</f>
        <v>Within Range</v>
      </c>
      <c r="R218" s="26" t="str">
        <f>IF(OR(G218&lt;'Descriptive Statistics'!$I$17,G218&gt;'Descriptive Statistics'!$I$18),"Potential Outlier","Within Range")</f>
        <v>Within Range</v>
      </c>
      <c r="S218" s="26" t="str">
        <f>IF(OR(H218&lt;'Descriptive Statistics'!$J$17,H218&gt;'Descriptive Statistics'!$J$18),"Potential Outlier","Within Range")</f>
        <v>Within Range</v>
      </c>
    </row>
    <row r="219" hidden="1" spans="1:19">
      <c r="A219" t="s">
        <v>878</v>
      </c>
      <c r="B219" s="23">
        <v>45432</v>
      </c>
      <c r="C219" s="23" t="str">
        <f t="shared" si="6"/>
        <v>May</v>
      </c>
      <c r="D219" s="23" t="str">
        <f t="shared" si="7"/>
        <v>2024</v>
      </c>
      <c r="E219" t="s">
        <v>879</v>
      </c>
      <c r="F219" s="24" t="s">
        <v>73</v>
      </c>
      <c r="G219" s="17">
        <v>4</v>
      </c>
      <c r="H219" s="19">
        <v>321.51</v>
      </c>
      <c r="I219" t="s">
        <v>880</v>
      </c>
      <c r="J219" s="24" t="s">
        <v>65</v>
      </c>
      <c r="K219" s="24" t="s">
        <v>43</v>
      </c>
      <c r="L219" t="s">
        <v>881</v>
      </c>
      <c r="M219" s="17">
        <v>9</v>
      </c>
      <c r="N219" t="s">
        <v>4295</v>
      </c>
      <c r="O219" s="24" t="s">
        <v>76</v>
      </c>
      <c r="P219" s="19">
        <v>1286.04</v>
      </c>
      <c r="Q219" s="26" t="str">
        <f>IF(OR(P219&lt;'Descriptive Statistics'!$H$17,P219&gt;'Descriptive Statistics'!$H$18),"Potential Outlier","Within Range")</f>
        <v>Within Range</v>
      </c>
      <c r="R219" s="26" t="str">
        <f>IF(OR(G219&lt;'Descriptive Statistics'!$I$17,G219&gt;'Descriptive Statistics'!$I$18),"Potential Outlier","Within Range")</f>
        <v>Within Range</v>
      </c>
      <c r="S219" s="26" t="str">
        <f>IF(OR(H219&lt;'Descriptive Statistics'!$J$17,H219&gt;'Descriptive Statistics'!$J$18),"Potential Outlier","Within Range")</f>
        <v>Within Range</v>
      </c>
    </row>
    <row r="220" hidden="1" spans="1:19">
      <c r="A220" t="s">
        <v>882</v>
      </c>
      <c r="B220" s="23">
        <v>45044</v>
      </c>
      <c r="C220" s="23" t="str">
        <f t="shared" si="6"/>
        <v>Apr</v>
      </c>
      <c r="D220" s="23" t="str">
        <f t="shared" si="7"/>
        <v>2023</v>
      </c>
      <c r="E220" t="s">
        <v>883</v>
      </c>
      <c r="F220" s="24" t="s">
        <v>32</v>
      </c>
      <c r="G220" s="17">
        <v>3</v>
      </c>
      <c r="H220" s="19">
        <v>112.46</v>
      </c>
      <c r="I220" t="s">
        <v>884</v>
      </c>
      <c r="J220" s="24" t="s">
        <v>60</v>
      </c>
      <c r="K220" s="24" t="s">
        <v>19</v>
      </c>
      <c r="L220" t="s">
        <v>885</v>
      </c>
      <c r="M220" s="17">
        <v>6</v>
      </c>
      <c r="N220" t="s">
        <v>21</v>
      </c>
      <c r="O220" s="24" t="s">
        <v>22</v>
      </c>
      <c r="P220" s="19">
        <v>337.38</v>
      </c>
      <c r="Q220" s="26" t="str">
        <f>IF(OR(P220&lt;'Descriptive Statistics'!$H$17,P220&gt;'Descriptive Statistics'!$H$18),"Potential Outlier","Within Range")</f>
        <v>Within Range</v>
      </c>
      <c r="R220" s="26" t="str">
        <f>IF(OR(G220&lt;'Descriptive Statistics'!$I$17,G220&gt;'Descriptive Statistics'!$I$18),"Potential Outlier","Within Range")</f>
        <v>Within Range</v>
      </c>
      <c r="S220" s="26" t="str">
        <f>IF(OR(H220&lt;'Descriptive Statistics'!$J$17,H220&gt;'Descriptive Statistics'!$J$18),"Potential Outlier","Within Range")</f>
        <v>Within Range</v>
      </c>
    </row>
    <row r="221" hidden="1" spans="1:19">
      <c r="A221" t="s">
        <v>886</v>
      </c>
      <c r="B221" s="23">
        <v>45779</v>
      </c>
      <c r="C221" s="23" t="str">
        <f t="shared" si="6"/>
        <v>May</v>
      </c>
      <c r="D221" s="23" t="str">
        <f t="shared" si="7"/>
        <v>2025</v>
      </c>
      <c r="E221" t="s">
        <v>887</v>
      </c>
      <c r="F221" s="24" t="s">
        <v>58</v>
      </c>
      <c r="G221" s="17">
        <v>5</v>
      </c>
      <c r="H221" s="19">
        <v>61.97</v>
      </c>
      <c r="I221" t="s">
        <v>888</v>
      </c>
      <c r="J221" s="24" t="s">
        <v>65</v>
      </c>
      <c r="K221" s="24" t="s">
        <v>50</v>
      </c>
      <c r="L221" t="s">
        <v>889</v>
      </c>
      <c r="M221" s="17">
        <v>6</v>
      </c>
      <c r="N221" t="s">
        <v>21</v>
      </c>
      <c r="O221" s="24" t="s">
        <v>38</v>
      </c>
      <c r="P221" s="19">
        <v>309.85</v>
      </c>
      <c r="Q221" s="26" t="str">
        <f>IF(OR(P221&lt;'Descriptive Statistics'!$H$17,P221&gt;'Descriptive Statistics'!$H$18),"Potential Outlier","Within Range")</f>
        <v>Within Range</v>
      </c>
      <c r="R221" s="26" t="str">
        <f>IF(OR(G221&lt;'Descriptive Statistics'!$I$17,G221&gt;'Descriptive Statistics'!$I$18),"Potential Outlier","Within Range")</f>
        <v>Within Range</v>
      </c>
      <c r="S221" s="26" t="str">
        <f>IF(OR(H221&lt;'Descriptive Statistics'!$J$17,H221&gt;'Descriptive Statistics'!$J$18),"Potential Outlier","Within Range")</f>
        <v>Within Range</v>
      </c>
    </row>
    <row r="222" hidden="1" spans="1:19">
      <c r="A222" t="s">
        <v>890</v>
      </c>
      <c r="B222" s="23">
        <v>45125</v>
      </c>
      <c r="C222" s="23" t="str">
        <f t="shared" si="6"/>
        <v>Jul</v>
      </c>
      <c r="D222" s="23" t="str">
        <f t="shared" si="7"/>
        <v>2023</v>
      </c>
      <c r="E222" t="s">
        <v>891</v>
      </c>
      <c r="F222" s="24" t="s">
        <v>58</v>
      </c>
      <c r="G222" s="17">
        <v>2</v>
      </c>
      <c r="H222" s="19">
        <v>373.17</v>
      </c>
      <c r="I222" t="s">
        <v>892</v>
      </c>
      <c r="J222" s="24" t="s">
        <v>34</v>
      </c>
      <c r="K222" s="24" t="s">
        <v>89</v>
      </c>
      <c r="L222" t="s">
        <v>893</v>
      </c>
      <c r="M222" s="17">
        <v>6</v>
      </c>
      <c r="N222" t="s">
        <v>21</v>
      </c>
      <c r="O222" s="24" t="s">
        <v>29</v>
      </c>
      <c r="P222" s="19">
        <v>746.34</v>
      </c>
      <c r="Q222" s="26" t="str">
        <f>IF(OR(P222&lt;'Descriptive Statistics'!$H$17,P222&gt;'Descriptive Statistics'!$H$18),"Potential Outlier","Within Range")</f>
        <v>Within Range</v>
      </c>
      <c r="R222" s="26" t="str">
        <f>IF(OR(G222&lt;'Descriptive Statistics'!$I$17,G222&gt;'Descriptive Statistics'!$I$18),"Potential Outlier","Within Range")</f>
        <v>Within Range</v>
      </c>
      <c r="S222" s="26" t="str">
        <f>IF(OR(H222&lt;'Descriptive Statistics'!$J$17,H222&gt;'Descriptive Statistics'!$J$18),"Potential Outlier","Within Range")</f>
        <v>Within Range</v>
      </c>
    </row>
    <row r="223" hidden="1" spans="1:19">
      <c r="A223" t="s">
        <v>894</v>
      </c>
      <c r="B223" s="23">
        <v>45345</v>
      </c>
      <c r="C223" s="23" t="str">
        <f t="shared" si="6"/>
        <v>Feb</v>
      </c>
      <c r="D223" s="23" t="str">
        <f t="shared" si="7"/>
        <v>2024</v>
      </c>
      <c r="E223" t="s">
        <v>895</v>
      </c>
      <c r="F223" s="24" t="s">
        <v>32</v>
      </c>
      <c r="G223" s="17">
        <v>5</v>
      </c>
      <c r="H223" s="19">
        <v>639.37</v>
      </c>
      <c r="I223" t="s">
        <v>312</v>
      </c>
      <c r="J223" s="24" t="s">
        <v>18</v>
      </c>
      <c r="K223" s="24" t="s">
        <v>89</v>
      </c>
      <c r="L223" t="s">
        <v>896</v>
      </c>
      <c r="M223" s="17">
        <v>6</v>
      </c>
      <c r="N223" t="s">
        <v>21</v>
      </c>
      <c r="O223" s="24" t="s">
        <v>76</v>
      </c>
      <c r="P223" s="19">
        <v>3196.85</v>
      </c>
      <c r="Q223" s="26" t="str">
        <f>IF(OR(P223&lt;'Descriptive Statistics'!$H$17,P223&gt;'Descriptive Statistics'!$H$18),"Potential Outlier","Within Range")</f>
        <v>Within Range</v>
      </c>
      <c r="R223" s="26" t="str">
        <f>IF(OR(G223&lt;'Descriptive Statistics'!$I$17,G223&gt;'Descriptive Statistics'!$I$18),"Potential Outlier","Within Range")</f>
        <v>Within Range</v>
      </c>
      <c r="S223" s="26" t="str">
        <f>IF(OR(H223&lt;'Descriptive Statistics'!$J$17,H223&gt;'Descriptive Statistics'!$J$18),"Potential Outlier","Within Range")</f>
        <v>Within Range</v>
      </c>
    </row>
    <row r="224" hidden="1" spans="1:19">
      <c r="A224" t="s">
        <v>897</v>
      </c>
      <c r="B224" s="23">
        <v>45050</v>
      </c>
      <c r="C224" s="23" t="str">
        <f t="shared" si="6"/>
        <v>May</v>
      </c>
      <c r="D224" s="23" t="str">
        <f t="shared" si="7"/>
        <v>2023</v>
      </c>
      <c r="E224" t="s">
        <v>898</v>
      </c>
      <c r="F224" s="24" t="s">
        <v>41</v>
      </c>
      <c r="G224" s="17">
        <v>4</v>
      </c>
      <c r="H224" s="19">
        <v>693.36</v>
      </c>
      <c r="I224" t="s">
        <v>899</v>
      </c>
      <c r="J224" s="24" t="s">
        <v>27</v>
      </c>
      <c r="K224" s="24" t="s">
        <v>19</v>
      </c>
      <c r="L224" t="s">
        <v>900</v>
      </c>
      <c r="M224" s="17">
        <v>8</v>
      </c>
      <c r="N224" t="s">
        <v>4295</v>
      </c>
      <c r="O224" s="24" t="s">
        <v>22</v>
      </c>
      <c r="P224" s="19">
        <v>2773.44</v>
      </c>
      <c r="Q224" s="26" t="str">
        <f>IF(OR(P224&lt;'Descriptive Statistics'!$H$17,P224&gt;'Descriptive Statistics'!$H$18),"Potential Outlier","Within Range")</f>
        <v>Within Range</v>
      </c>
      <c r="R224" s="26" t="str">
        <f>IF(OR(G224&lt;'Descriptive Statistics'!$I$17,G224&gt;'Descriptive Statistics'!$I$18),"Potential Outlier","Within Range")</f>
        <v>Within Range</v>
      </c>
      <c r="S224" s="26" t="str">
        <f>IF(OR(H224&lt;'Descriptive Statistics'!$J$17,H224&gt;'Descriptive Statistics'!$J$18),"Potential Outlier","Within Range")</f>
        <v>Within Range</v>
      </c>
    </row>
    <row r="225" hidden="1" spans="1:19">
      <c r="A225" t="s">
        <v>901</v>
      </c>
      <c r="B225" s="23">
        <v>45546</v>
      </c>
      <c r="C225" s="23" t="str">
        <f t="shared" si="6"/>
        <v>Sep</v>
      </c>
      <c r="D225" s="23" t="str">
        <f t="shared" si="7"/>
        <v>2024</v>
      </c>
      <c r="E225" t="s">
        <v>902</v>
      </c>
      <c r="F225" s="24" t="s">
        <v>25</v>
      </c>
      <c r="G225" s="17">
        <v>4</v>
      </c>
      <c r="H225" s="19">
        <v>692.91</v>
      </c>
      <c r="I225" t="s">
        <v>517</v>
      </c>
      <c r="J225" s="24" t="s">
        <v>34</v>
      </c>
      <c r="K225" s="24" t="s">
        <v>89</v>
      </c>
      <c r="L225" t="s">
        <v>903</v>
      </c>
      <c r="M225" s="17">
        <v>9</v>
      </c>
      <c r="N225" t="s">
        <v>21</v>
      </c>
      <c r="O225" s="24" t="s">
        <v>22</v>
      </c>
      <c r="P225" s="19">
        <v>2771.64</v>
      </c>
      <c r="Q225" s="26" t="str">
        <f>IF(OR(P225&lt;'Descriptive Statistics'!$H$17,P225&gt;'Descriptive Statistics'!$H$18),"Potential Outlier","Within Range")</f>
        <v>Within Range</v>
      </c>
      <c r="R225" s="26" t="str">
        <f>IF(OR(G225&lt;'Descriptive Statistics'!$I$17,G225&gt;'Descriptive Statistics'!$I$18),"Potential Outlier","Within Range")</f>
        <v>Within Range</v>
      </c>
      <c r="S225" s="26" t="str">
        <f>IF(OR(H225&lt;'Descriptive Statistics'!$J$17,H225&gt;'Descriptive Statistics'!$J$18),"Potential Outlier","Within Range")</f>
        <v>Within Range</v>
      </c>
    </row>
    <row r="226" hidden="1" spans="1:19">
      <c r="A226" t="s">
        <v>904</v>
      </c>
      <c r="B226" s="23">
        <v>45192</v>
      </c>
      <c r="C226" s="23" t="str">
        <f t="shared" si="6"/>
        <v>Sep</v>
      </c>
      <c r="D226" s="23" t="str">
        <f t="shared" si="7"/>
        <v>2023</v>
      </c>
      <c r="E226" t="s">
        <v>905</v>
      </c>
      <c r="F226" s="24" t="s">
        <v>48</v>
      </c>
      <c r="G226" s="17">
        <v>4</v>
      </c>
      <c r="H226" s="19">
        <v>91.46</v>
      </c>
      <c r="I226" t="s">
        <v>906</v>
      </c>
      <c r="J226" s="24" t="s">
        <v>65</v>
      </c>
      <c r="K226" s="24" t="s">
        <v>35</v>
      </c>
      <c r="L226" t="s">
        <v>907</v>
      </c>
      <c r="M226" s="17">
        <v>9</v>
      </c>
      <c r="N226" t="s">
        <v>21</v>
      </c>
      <c r="O226" s="24" t="s">
        <v>29</v>
      </c>
      <c r="P226" s="19">
        <v>365.84</v>
      </c>
      <c r="Q226" s="26" t="str">
        <f>IF(OR(P226&lt;'Descriptive Statistics'!$H$17,P226&gt;'Descriptive Statistics'!$H$18),"Potential Outlier","Within Range")</f>
        <v>Within Range</v>
      </c>
      <c r="R226" s="26" t="str">
        <f>IF(OR(G226&lt;'Descriptive Statistics'!$I$17,G226&gt;'Descriptive Statistics'!$I$18),"Potential Outlier","Within Range")</f>
        <v>Within Range</v>
      </c>
      <c r="S226" s="26" t="str">
        <f>IF(OR(H226&lt;'Descriptive Statistics'!$J$17,H226&gt;'Descriptive Statistics'!$J$18),"Potential Outlier","Within Range")</f>
        <v>Within Range</v>
      </c>
    </row>
    <row r="227" hidden="1" spans="1:19">
      <c r="A227" t="s">
        <v>908</v>
      </c>
      <c r="B227" s="23">
        <v>45364</v>
      </c>
      <c r="C227" s="23" t="str">
        <f t="shared" si="6"/>
        <v>Mar</v>
      </c>
      <c r="D227" s="23" t="str">
        <f t="shared" si="7"/>
        <v>2024</v>
      </c>
      <c r="E227" t="s">
        <v>909</v>
      </c>
      <c r="F227" s="24" t="s">
        <v>25</v>
      </c>
      <c r="G227" s="17">
        <v>3</v>
      </c>
      <c r="H227" s="19">
        <v>273.96</v>
      </c>
      <c r="I227" t="s">
        <v>910</v>
      </c>
      <c r="J227" s="24" t="s">
        <v>18</v>
      </c>
      <c r="K227" s="24" t="s">
        <v>43</v>
      </c>
      <c r="L227" t="s">
        <v>911</v>
      </c>
      <c r="M227" s="17">
        <v>8</v>
      </c>
      <c r="N227" t="s">
        <v>21</v>
      </c>
      <c r="O227" s="24" t="s">
        <v>76</v>
      </c>
      <c r="P227" s="19">
        <v>821.88</v>
      </c>
      <c r="Q227" s="26" t="str">
        <f>IF(OR(P227&lt;'Descriptive Statistics'!$H$17,P227&gt;'Descriptive Statistics'!$H$18),"Potential Outlier","Within Range")</f>
        <v>Within Range</v>
      </c>
      <c r="R227" s="26" t="str">
        <f>IF(OR(G227&lt;'Descriptive Statistics'!$I$17,G227&gt;'Descriptive Statistics'!$I$18),"Potential Outlier","Within Range")</f>
        <v>Within Range</v>
      </c>
      <c r="S227" s="26" t="str">
        <f>IF(OR(H227&lt;'Descriptive Statistics'!$J$17,H227&gt;'Descriptive Statistics'!$J$18),"Potential Outlier","Within Range")</f>
        <v>Within Range</v>
      </c>
    </row>
    <row r="228" hidden="1" spans="1:19">
      <c r="A228" t="s">
        <v>912</v>
      </c>
      <c r="B228" s="23">
        <v>45835</v>
      </c>
      <c r="C228" s="23" t="str">
        <f t="shared" si="6"/>
        <v>Jun</v>
      </c>
      <c r="D228" s="23" t="str">
        <f t="shared" si="7"/>
        <v>2025</v>
      </c>
      <c r="E228" t="s">
        <v>913</v>
      </c>
      <c r="F228" s="24" t="s">
        <v>73</v>
      </c>
      <c r="G228" s="17">
        <v>3</v>
      </c>
      <c r="H228" s="19">
        <v>588.05</v>
      </c>
      <c r="I228" t="s">
        <v>914</v>
      </c>
      <c r="J228" s="24" t="s">
        <v>60</v>
      </c>
      <c r="K228" s="24" t="s">
        <v>50</v>
      </c>
      <c r="L228" t="s">
        <v>915</v>
      </c>
      <c r="M228" s="17">
        <v>8</v>
      </c>
      <c r="N228" t="s">
        <v>4295</v>
      </c>
      <c r="O228" s="24" t="s">
        <v>22</v>
      </c>
      <c r="P228" s="19">
        <v>1764.15</v>
      </c>
      <c r="Q228" s="26" t="str">
        <f>IF(OR(P228&lt;'Descriptive Statistics'!$H$17,P228&gt;'Descriptive Statistics'!$H$18),"Potential Outlier","Within Range")</f>
        <v>Within Range</v>
      </c>
      <c r="R228" s="26" t="str">
        <f>IF(OR(G228&lt;'Descriptive Statistics'!$I$17,G228&gt;'Descriptive Statistics'!$I$18),"Potential Outlier","Within Range")</f>
        <v>Within Range</v>
      </c>
      <c r="S228" s="26" t="str">
        <f>IF(OR(H228&lt;'Descriptive Statistics'!$J$17,H228&gt;'Descriptive Statistics'!$J$18),"Potential Outlier","Within Range")</f>
        <v>Within Range</v>
      </c>
    </row>
    <row r="229" hidden="1" spans="1:19">
      <c r="A229" t="s">
        <v>916</v>
      </c>
      <c r="B229" s="23">
        <v>45232</v>
      </c>
      <c r="C229" s="23" t="str">
        <f t="shared" si="6"/>
        <v>Nov</v>
      </c>
      <c r="D229" s="23" t="str">
        <f t="shared" si="7"/>
        <v>2023</v>
      </c>
      <c r="E229" t="s">
        <v>917</v>
      </c>
      <c r="F229" s="24" t="s">
        <v>16</v>
      </c>
      <c r="G229" s="17">
        <v>2</v>
      </c>
      <c r="H229" s="19">
        <v>365.17</v>
      </c>
      <c r="I229" t="s">
        <v>537</v>
      </c>
      <c r="J229" s="24" t="s">
        <v>27</v>
      </c>
      <c r="K229" s="24" t="s">
        <v>35</v>
      </c>
      <c r="L229" t="s">
        <v>918</v>
      </c>
      <c r="M229" s="17">
        <v>4</v>
      </c>
      <c r="N229" t="s">
        <v>37</v>
      </c>
      <c r="O229" s="24" t="s">
        <v>45</v>
      </c>
      <c r="P229" s="19">
        <v>730.34</v>
      </c>
      <c r="Q229" s="26" t="str">
        <f>IF(OR(P229&lt;'Descriptive Statistics'!$H$17,P229&gt;'Descriptive Statistics'!$H$18),"Potential Outlier","Within Range")</f>
        <v>Within Range</v>
      </c>
      <c r="R229" s="26" t="str">
        <f>IF(OR(G229&lt;'Descriptive Statistics'!$I$17,G229&gt;'Descriptive Statistics'!$I$18),"Potential Outlier","Within Range")</f>
        <v>Within Range</v>
      </c>
      <c r="S229" s="26" t="str">
        <f>IF(OR(H229&lt;'Descriptive Statistics'!$J$17,H229&gt;'Descriptive Statistics'!$J$18),"Potential Outlier","Within Range")</f>
        <v>Within Range</v>
      </c>
    </row>
    <row r="230" hidden="1" spans="1:19">
      <c r="A230" t="s">
        <v>919</v>
      </c>
      <c r="B230" s="23">
        <v>45063</v>
      </c>
      <c r="C230" s="23" t="str">
        <f t="shared" si="6"/>
        <v>May</v>
      </c>
      <c r="D230" s="23" t="str">
        <f t="shared" si="7"/>
        <v>2023</v>
      </c>
      <c r="E230" t="s">
        <v>920</v>
      </c>
      <c r="F230" s="24" t="s">
        <v>41</v>
      </c>
      <c r="G230" s="17">
        <v>4</v>
      </c>
      <c r="H230" s="19">
        <v>385.92</v>
      </c>
      <c r="I230" t="s">
        <v>921</v>
      </c>
      <c r="J230" s="24" t="s">
        <v>34</v>
      </c>
      <c r="K230" s="24" t="s">
        <v>35</v>
      </c>
      <c r="L230" t="s">
        <v>922</v>
      </c>
      <c r="M230" s="17">
        <v>8</v>
      </c>
      <c r="N230" t="s">
        <v>4295</v>
      </c>
      <c r="O230" s="24" t="s">
        <v>22</v>
      </c>
      <c r="P230" s="19">
        <v>1543.68</v>
      </c>
      <c r="Q230" s="26" t="str">
        <f>IF(OR(P230&lt;'Descriptive Statistics'!$H$17,P230&gt;'Descriptive Statistics'!$H$18),"Potential Outlier","Within Range")</f>
        <v>Within Range</v>
      </c>
      <c r="R230" s="26" t="str">
        <f>IF(OR(G230&lt;'Descriptive Statistics'!$I$17,G230&gt;'Descriptive Statistics'!$I$18),"Potential Outlier","Within Range")</f>
        <v>Within Range</v>
      </c>
      <c r="S230" s="26" t="str">
        <f>IF(OR(H230&lt;'Descriptive Statistics'!$J$17,H230&gt;'Descriptive Statistics'!$J$18),"Potential Outlier","Within Range")</f>
        <v>Within Range</v>
      </c>
    </row>
    <row r="231" hidden="1" spans="1:19">
      <c r="A231" t="s">
        <v>923</v>
      </c>
      <c r="B231" s="23">
        <v>45744</v>
      </c>
      <c r="C231" s="23" t="str">
        <f t="shared" si="6"/>
        <v>Mar</v>
      </c>
      <c r="D231" s="23" t="str">
        <f t="shared" si="7"/>
        <v>2025</v>
      </c>
      <c r="E231" t="s">
        <v>924</v>
      </c>
      <c r="F231" s="24" t="s">
        <v>32</v>
      </c>
      <c r="G231" s="17">
        <v>1</v>
      </c>
      <c r="H231" s="19">
        <v>562.61</v>
      </c>
      <c r="I231" t="s">
        <v>925</v>
      </c>
      <c r="J231" s="24" t="s">
        <v>34</v>
      </c>
      <c r="K231" s="24" t="s">
        <v>50</v>
      </c>
      <c r="L231" t="s">
        <v>926</v>
      </c>
      <c r="M231" s="17">
        <v>3</v>
      </c>
      <c r="N231" t="s">
        <v>81</v>
      </c>
      <c r="O231" s="24" t="s">
        <v>45</v>
      </c>
      <c r="P231" s="19">
        <v>562.61</v>
      </c>
      <c r="Q231" s="26" t="str">
        <f>IF(OR(P231&lt;'Descriptive Statistics'!$H$17,P231&gt;'Descriptive Statistics'!$H$18),"Potential Outlier","Within Range")</f>
        <v>Within Range</v>
      </c>
      <c r="R231" s="26" t="str">
        <f>IF(OR(G231&lt;'Descriptive Statistics'!$I$17,G231&gt;'Descriptive Statistics'!$I$18),"Potential Outlier","Within Range")</f>
        <v>Within Range</v>
      </c>
      <c r="S231" s="26" t="str">
        <f>IF(OR(H231&lt;'Descriptive Statistics'!$J$17,H231&gt;'Descriptive Statistics'!$J$18),"Potential Outlier","Within Range")</f>
        <v>Within Range</v>
      </c>
    </row>
    <row r="232" hidden="1" spans="1:19">
      <c r="A232" t="s">
        <v>927</v>
      </c>
      <c r="B232" s="23">
        <v>45276</v>
      </c>
      <c r="C232" s="23" t="str">
        <f t="shared" si="6"/>
        <v>Dec</v>
      </c>
      <c r="D232" s="23" t="str">
        <f t="shared" si="7"/>
        <v>2023</v>
      </c>
      <c r="E232" t="s">
        <v>928</v>
      </c>
      <c r="F232" s="24" t="s">
        <v>73</v>
      </c>
      <c r="G232" s="17">
        <v>4</v>
      </c>
      <c r="H232" s="19">
        <v>61.91</v>
      </c>
      <c r="I232" t="s">
        <v>929</v>
      </c>
      <c r="J232" s="24" t="s">
        <v>60</v>
      </c>
      <c r="K232" s="24" t="s">
        <v>50</v>
      </c>
      <c r="L232" t="s">
        <v>930</v>
      </c>
      <c r="M232" s="17">
        <v>6</v>
      </c>
      <c r="N232" t="s">
        <v>81</v>
      </c>
      <c r="O232" s="24" t="s">
        <v>38</v>
      </c>
      <c r="P232" s="19">
        <v>247.64</v>
      </c>
      <c r="Q232" s="26" t="str">
        <f>IF(OR(P232&lt;'Descriptive Statistics'!$H$17,P232&gt;'Descriptive Statistics'!$H$18),"Potential Outlier","Within Range")</f>
        <v>Within Range</v>
      </c>
      <c r="R232" s="26" t="str">
        <f>IF(OR(G232&lt;'Descriptive Statistics'!$I$17,G232&gt;'Descriptive Statistics'!$I$18),"Potential Outlier","Within Range")</f>
        <v>Within Range</v>
      </c>
      <c r="S232" s="26" t="str">
        <f>IF(OR(H232&lt;'Descriptive Statistics'!$J$17,H232&gt;'Descriptive Statistics'!$J$18),"Potential Outlier","Within Range")</f>
        <v>Within Range</v>
      </c>
    </row>
    <row r="233" hidden="1" spans="1:19">
      <c r="A233" t="s">
        <v>931</v>
      </c>
      <c r="B233" s="23">
        <v>45235</v>
      </c>
      <c r="C233" s="23" t="str">
        <f t="shared" si="6"/>
        <v>Nov</v>
      </c>
      <c r="D233" s="23" t="str">
        <f t="shared" si="7"/>
        <v>2023</v>
      </c>
      <c r="E233" t="s">
        <v>932</v>
      </c>
      <c r="F233" s="24" t="s">
        <v>25</v>
      </c>
      <c r="G233" s="17">
        <v>4</v>
      </c>
      <c r="H233" s="19">
        <v>41.9</v>
      </c>
      <c r="I233" t="s">
        <v>933</v>
      </c>
      <c r="J233" s="24" t="s">
        <v>60</v>
      </c>
      <c r="K233" s="24" t="s">
        <v>89</v>
      </c>
      <c r="L233" t="s">
        <v>934</v>
      </c>
      <c r="M233" s="17">
        <v>9</v>
      </c>
      <c r="N233" t="s">
        <v>37</v>
      </c>
      <c r="O233" s="24" t="s">
        <v>22</v>
      </c>
      <c r="P233" s="19">
        <v>167.6</v>
      </c>
      <c r="Q233" s="26" t="str">
        <f>IF(OR(P233&lt;'Descriptive Statistics'!$H$17,P233&gt;'Descriptive Statistics'!$H$18),"Potential Outlier","Within Range")</f>
        <v>Within Range</v>
      </c>
      <c r="R233" s="26" t="str">
        <f>IF(OR(G233&lt;'Descriptive Statistics'!$I$17,G233&gt;'Descriptive Statistics'!$I$18),"Potential Outlier","Within Range")</f>
        <v>Within Range</v>
      </c>
      <c r="S233" s="26" t="str">
        <f>IF(OR(H233&lt;'Descriptive Statistics'!$J$17,H233&gt;'Descriptive Statistics'!$J$18),"Potential Outlier","Within Range")</f>
        <v>Within Range</v>
      </c>
    </row>
    <row r="234" hidden="1" spans="1:19">
      <c r="A234" t="s">
        <v>935</v>
      </c>
      <c r="B234" s="23">
        <v>45065</v>
      </c>
      <c r="C234" s="23" t="str">
        <f t="shared" si="6"/>
        <v>May</v>
      </c>
      <c r="D234" s="23" t="str">
        <f t="shared" si="7"/>
        <v>2023</v>
      </c>
      <c r="E234" t="s">
        <v>936</v>
      </c>
      <c r="F234" s="24" t="s">
        <v>48</v>
      </c>
      <c r="G234" s="17">
        <v>4</v>
      </c>
      <c r="H234" s="19">
        <v>444.44</v>
      </c>
      <c r="I234" t="s">
        <v>937</v>
      </c>
      <c r="J234" s="24" t="s">
        <v>18</v>
      </c>
      <c r="K234" s="24" t="s">
        <v>35</v>
      </c>
      <c r="L234" t="s">
        <v>938</v>
      </c>
      <c r="M234" s="17">
        <v>8</v>
      </c>
      <c r="N234" t="s">
        <v>81</v>
      </c>
      <c r="O234" s="24" t="s">
        <v>76</v>
      </c>
      <c r="P234" s="19">
        <v>1777.76</v>
      </c>
      <c r="Q234" s="26" t="str">
        <f>IF(OR(P234&lt;'Descriptive Statistics'!$H$17,P234&gt;'Descriptive Statistics'!$H$18),"Potential Outlier","Within Range")</f>
        <v>Within Range</v>
      </c>
      <c r="R234" s="26" t="str">
        <f>IF(OR(G234&lt;'Descriptive Statistics'!$I$17,G234&gt;'Descriptive Statistics'!$I$18),"Potential Outlier","Within Range")</f>
        <v>Within Range</v>
      </c>
      <c r="S234" s="26" t="str">
        <f>IF(OR(H234&lt;'Descriptive Statistics'!$J$17,H234&gt;'Descriptive Statistics'!$J$18),"Potential Outlier","Within Range")</f>
        <v>Within Range</v>
      </c>
    </row>
    <row r="235" hidden="1" spans="1:19">
      <c r="A235" t="s">
        <v>939</v>
      </c>
      <c r="B235" s="23">
        <v>45528</v>
      </c>
      <c r="C235" s="23" t="str">
        <f t="shared" si="6"/>
        <v>Aug</v>
      </c>
      <c r="D235" s="23" t="str">
        <f t="shared" si="7"/>
        <v>2024</v>
      </c>
      <c r="E235" t="s">
        <v>940</v>
      </c>
      <c r="F235" s="24" t="s">
        <v>25</v>
      </c>
      <c r="G235" s="17">
        <v>3</v>
      </c>
      <c r="H235" s="19">
        <v>311.33</v>
      </c>
      <c r="I235" t="s">
        <v>347</v>
      </c>
      <c r="J235" s="24" t="s">
        <v>65</v>
      </c>
      <c r="K235" s="24" t="s">
        <v>35</v>
      </c>
      <c r="L235" t="s">
        <v>941</v>
      </c>
      <c r="M235" s="17">
        <v>3</v>
      </c>
      <c r="N235" t="s">
        <v>81</v>
      </c>
      <c r="O235" s="24" t="s">
        <v>22</v>
      </c>
      <c r="P235" s="19">
        <v>933.99</v>
      </c>
      <c r="Q235" s="26" t="str">
        <f>IF(OR(P235&lt;'Descriptive Statistics'!$H$17,P235&gt;'Descriptive Statistics'!$H$18),"Potential Outlier","Within Range")</f>
        <v>Within Range</v>
      </c>
      <c r="R235" s="26" t="str">
        <f>IF(OR(G235&lt;'Descriptive Statistics'!$I$17,G235&gt;'Descriptive Statistics'!$I$18),"Potential Outlier","Within Range")</f>
        <v>Within Range</v>
      </c>
      <c r="S235" s="26" t="str">
        <f>IF(OR(H235&lt;'Descriptive Statistics'!$J$17,H235&gt;'Descriptive Statistics'!$J$18),"Potential Outlier","Within Range")</f>
        <v>Within Range</v>
      </c>
    </row>
    <row r="236" hidden="1" spans="1:19">
      <c r="A236" t="s">
        <v>942</v>
      </c>
      <c r="B236" s="23">
        <v>45622</v>
      </c>
      <c r="C236" s="23" t="str">
        <f t="shared" si="6"/>
        <v>Nov</v>
      </c>
      <c r="D236" s="23" t="str">
        <f t="shared" si="7"/>
        <v>2024</v>
      </c>
      <c r="E236" t="s">
        <v>943</v>
      </c>
      <c r="F236" s="24" t="s">
        <v>48</v>
      </c>
      <c r="G236" s="17">
        <v>4</v>
      </c>
      <c r="H236" s="19">
        <v>236.41</v>
      </c>
      <c r="I236" t="s">
        <v>944</v>
      </c>
      <c r="J236" s="24" t="s">
        <v>18</v>
      </c>
      <c r="K236" s="24" t="s">
        <v>89</v>
      </c>
      <c r="L236" t="s">
        <v>945</v>
      </c>
      <c r="M236" s="17">
        <v>7</v>
      </c>
      <c r="N236" t="s">
        <v>21</v>
      </c>
      <c r="O236" s="24" t="s">
        <v>76</v>
      </c>
      <c r="P236" s="19">
        <v>945.64</v>
      </c>
      <c r="Q236" s="26" t="str">
        <f>IF(OR(P236&lt;'Descriptive Statistics'!$H$17,P236&gt;'Descriptive Statistics'!$H$18),"Potential Outlier","Within Range")</f>
        <v>Within Range</v>
      </c>
      <c r="R236" s="26" t="str">
        <f>IF(OR(G236&lt;'Descriptive Statistics'!$I$17,G236&gt;'Descriptive Statistics'!$I$18),"Potential Outlier","Within Range")</f>
        <v>Within Range</v>
      </c>
      <c r="S236" s="26" t="str">
        <f>IF(OR(H236&lt;'Descriptive Statistics'!$J$17,H236&gt;'Descriptive Statistics'!$J$18),"Potential Outlier","Within Range")</f>
        <v>Within Range</v>
      </c>
    </row>
    <row r="237" hidden="1" spans="1:19">
      <c r="A237" t="s">
        <v>946</v>
      </c>
      <c r="B237" s="23">
        <v>44977</v>
      </c>
      <c r="C237" s="23" t="str">
        <f t="shared" si="6"/>
        <v>Feb</v>
      </c>
      <c r="D237" s="23" t="str">
        <f t="shared" si="7"/>
        <v>2023</v>
      </c>
      <c r="E237" t="s">
        <v>947</v>
      </c>
      <c r="F237" s="24" t="s">
        <v>73</v>
      </c>
      <c r="G237" s="17">
        <v>1</v>
      </c>
      <c r="H237" s="19">
        <v>65.45</v>
      </c>
      <c r="I237" t="s">
        <v>948</v>
      </c>
      <c r="J237" s="24" t="s">
        <v>65</v>
      </c>
      <c r="K237" s="24" t="s">
        <v>89</v>
      </c>
      <c r="L237" t="s">
        <v>949</v>
      </c>
      <c r="M237" s="17">
        <v>2</v>
      </c>
      <c r="N237" t="s">
        <v>81</v>
      </c>
      <c r="O237" s="24" t="s">
        <v>76</v>
      </c>
      <c r="P237" s="19">
        <v>65.45</v>
      </c>
      <c r="Q237" s="26" t="str">
        <f>IF(OR(P237&lt;'Descriptive Statistics'!$H$17,P237&gt;'Descriptive Statistics'!$H$18),"Potential Outlier","Within Range")</f>
        <v>Within Range</v>
      </c>
      <c r="R237" s="26" t="str">
        <f>IF(OR(G237&lt;'Descriptive Statistics'!$I$17,G237&gt;'Descriptive Statistics'!$I$18),"Potential Outlier","Within Range")</f>
        <v>Within Range</v>
      </c>
      <c r="S237" s="26" t="str">
        <f>IF(OR(H237&lt;'Descriptive Statistics'!$J$17,H237&gt;'Descriptive Statistics'!$J$18),"Potential Outlier","Within Range")</f>
        <v>Within Range</v>
      </c>
    </row>
    <row r="238" hidden="1" spans="1:19">
      <c r="A238" t="s">
        <v>950</v>
      </c>
      <c r="B238" s="23">
        <v>44927</v>
      </c>
      <c r="C238" s="23" t="str">
        <f t="shared" si="6"/>
        <v>Jan</v>
      </c>
      <c r="D238" s="23" t="str">
        <f t="shared" si="7"/>
        <v>2023</v>
      </c>
      <c r="E238" t="s">
        <v>951</v>
      </c>
      <c r="F238" s="24" t="s">
        <v>16</v>
      </c>
      <c r="G238" s="17">
        <v>1</v>
      </c>
      <c r="H238" s="19">
        <v>318.81</v>
      </c>
      <c r="I238" t="s">
        <v>952</v>
      </c>
      <c r="J238" s="24" t="s">
        <v>18</v>
      </c>
      <c r="K238" s="24" t="s">
        <v>89</v>
      </c>
      <c r="L238" t="s">
        <v>953</v>
      </c>
      <c r="M238" s="17">
        <v>3</v>
      </c>
      <c r="N238" t="s">
        <v>81</v>
      </c>
      <c r="O238" s="24" t="s">
        <v>38</v>
      </c>
      <c r="P238" s="19">
        <v>318.81</v>
      </c>
      <c r="Q238" s="26" t="str">
        <f>IF(OR(P238&lt;'Descriptive Statistics'!$H$17,P238&gt;'Descriptive Statistics'!$H$18),"Potential Outlier","Within Range")</f>
        <v>Within Range</v>
      </c>
      <c r="R238" s="26" t="str">
        <f>IF(OR(G238&lt;'Descriptive Statistics'!$I$17,G238&gt;'Descriptive Statistics'!$I$18),"Potential Outlier","Within Range")</f>
        <v>Within Range</v>
      </c>
      <c r="S238" s="26" t="str">
        <f>IF(OR(H238&lt;'Descriptive Statistics'!$J$17,H238&gt;'Descriptive Statistics'!$J$18),"Potential Outlier","Within Range")</f>
        <v>Within Range</v>
      </c>
    </row>
    <row r="239" hidden="1" spans="1:19">
      <c r="A239" t="s">
        <v>954</v>
      </c>
      <c r="B239" s="23">
        <v>45365</v>
      </c>
      <c r="C239" s="23" t="str">
        <f t="shared" si="6"/>
        <v>Mar</v>
      </c>
      <c r="D239" s="23" t="str">
        <f t="shared" si="7"/>
        <v>2024</v>
      </c>
      <c r="E239" t="s">
        <v>955</v>
      </c>
      <c r="F239" s="24" t="s">
        <v>16</v>
      </c>
      <c r="G239" s="17">
        <v>3</v>
      </c>
      <c r="H239" s="19">
        <v>583.72</v>
      </c>
      <c r="I239" t="s">
        <v>956</v>
      </c>
      <c r="J239" s="24" t="s">
        <v>34</v>
      </c>
      <c r="K239" s="24" t="s">
        <v>19</v>
      </c>
      <c r="L239" t="s">
        <v>957</v>
      </c>
      <c r="M239" s="17">
        <v>5</v>
      </c>
      <c r="N239" t="s">
        <v>37</v>
      </c>
      <c r="O239" s="24" t="s">
        <v>45</v>
      </c>
      <c r="P239" s="19">
        <v>1751.16</v>
      </c>
      <c r="Q239" s="26" t="str">
        <f>IF(OR(P239&lt;'Descriptive Statistics'!$H$17,P239&gt;'Descriptive Statistics'!$H$18),"Potential Outlier","Within Range")</f>
        <v>Within Range</v>
      </c>
      <c r="R239" s="26" t="str">
        <f>IF(OR(G239&lt;'Descriptive Statistics'!$I$17,G239&gt;'Descriptive Statistics'!$I$18),"Potential Outlier","Within Range")</f>
        <v>Within Range</v>
      </c>
      <c r="S239" s="26" t="str">
        <f>IF(OR(H239&lt;'Descriptive Statistics'!$J$17,H239&gt;'Descriptive Statistics'!$J$18),"Potential Outlier","Within Range")</f>
        <v>Within Range</v>
      </c>
    </row>
    <row r="240" hidden="1" spans="1:19">
      <c r="A240" t="s">
        <v>958</v>
      </c>
      <c r="B240" s="23">
        <v>45639</v>
      </c>
      <c r="C240" s="23" t="str">
        <f t="shared" si="6"/>
        <v>Dec</v>
      </c>
      <c r="D240" s="23" t="str">
        <f t="shared" si="7"/>
        <v>2024</v>
      </c>
      <c r="E240" t="s">
        <v>959</v>
      </c>
      <c r="F240" s="24" t="s">
        <v>73</v>
      </c>
      <c r="G240" s="17">
        <v>4</v>
      </c>
      <c r="H240" s="19">
        <v>384.32</v>
      </c>
      <c r="I240" t="s">
        <v>960</v>
      </c>
      <c r="J240" s="24" t="s">
        <v>34</v>
      </c>
      <c r="K240" s="24" t="s">
        <v>89</v>
      </c>
      <c r="L240" t="s">
        <v>961</v>
      </c>
      <c r="M240" s="17">
        <v>6</v>
      </c>
      <c r="N240" t="s">
        <v>81</v>
      </c>
      <c r="O240" s="24" t="s">
        <v>76</v>
      </c>
      <c r="P240" s="19">
        <v>1537.28</v>
      </c>
      <c r="Q240" s="26" t="str">
        <f>IF(OR(P240&lt;'Descriptive Statistics'!$H$17,P240&gt;'Descriptive Statistics'!$H$18),"Potential Outlier","Within Range")</f>
        <v>Within Range</v>
      </c>
      <c r="R240" s="26" t="str">
        <f>IF(OR(G240&lt;'Descriptive Statistics'!$I$17,G240&gt;'Descriptive Statistics'!$I$18),"Potential Outlier","Within Range")</f>
        <v>Within Range</v>
      </c>
      <c r="S240" s="26" t="str">
        <f>IF(OR(H240&lt;'Descriptive Statistics'!$J$17,H240&gt;'Descriptive Statistics'!$J$18),"Potential Outlier","Within Range")</f>
        <v>Within Range</v>
      </c>
    </row>
    <row r="241" hidden="1" spans="1:19">
      <c r="A241" t="s">
        <v>962</v>
      </c>
      <c r="B241" s="23">
        <v>45637</v>
      </c>
      <c r="C241" s="23" t="str">
        <f t="shared" si="6"/>
        <v>Dec</v>
      </c>
      <c r="D241" s="23" t="str">
        <f t="shared" si="7"/>
        <v>2024</v>
      </c>
      <c r="E241" t="s">
        <v>963</v>
      </c>
      <c r="F241" s="24" t="s">
        <v>32</v>
      </c>
      <c r="G241" s="17">
        <v>3</v>
      </c>
      <c r="H241" s="19">
        <v>538.74</v>
      </c>
      <c r="I241" t="s">
        <v>964</v>
      </c>
      <c r="J241" s="24" t="s">
        <v>27</v>
      </c>
      <c r="K241" s="24" t="s">
        <v>19</v>
      </c>
      <c r="L241" t="s">
        <v>965</v>
      </c>
      <c r="M241" s="17">
        <v>6</v>
      </c>
      <c r="N241" t="s">
        <v>37</v>
      </c>
      <c r="O241" s="24" t="s">
        <v>38</v>
      </c>
      <c r="P241" s="19">
        <v>1616.22</v>
      </c>
      <c r="Q241" s="26" t="str">
        <f>IF(OR(P241&lt;'Descriptive Statistics'!$H$17,P241&gt;'Descriptive Statistics'!$H$18),"Potential Outlier","Within Range")</f>
        <v>Within Range</v>
      </c>
      <c r="R241" s="26" t="str">
        <f>IF(OR(G241&lt;'Descriptive Statistics'!$I$17,G241&gt;'Descriptive Statistics'!$I$18),"Potential Outlier","Within Range")</f>
        <v>Within Range</v>
      </c>
      <c r="S241" s="26" t="str">
        <f>IF(OR(H241&lt;'Descriptive Statistics'!$J$17,H241&gt;'Descriptive Statistics'!$J$18),"Potential Outlier","Within Range")</f>
        <v>Within Range</v>
      </c>
    </row>
    <row r="242" hidden="1" spans="1:19">
      <c r="A242" t="s">
        <v>966</v>
      </c>
      <c r="B242" s="23">
        <v>45119</v>
      </c>
      <c r="C242" s="23" t="str">
        <f t="shared" si="6"/>
        <v>Jul</v>
      </c>
      <c r="D242" s="23" t="str">
        <f t="shared" si="7"/>
        <v>2023</v>
      </c>
      <c r="E242" t="s">
        <v>967</v>
      </c>
      <c r="F242" s="24" t="s">
        <v>32</v>
      </c>
      <c r="G242" s="17">
        <v>1</v>
      </c>
      <c r="H242" s="19">
        <v>17.24</v>
      </c>
      <c r="I242" t="s">
        <v>968</v>
      </c>
      <c r="J242" s="24" t="s">
        <v>27</v>
      </c>
      <c r="K242" s="24" t="s">
        <v>89</v>
      </c>
      <c r="L242" t="s">
        <v>969</v>
      </c>
      <c r="M242" s="17">
        <v>2</v>
      </c>
      <c r="N242" t="s">
        <v>37</v>
      </c>
      <c r="O242" s="24" t="s">
        <v>22</v>
      </c>
      <c r="P242" s="19">
        <v>17.24</v>
      </c>
      <c r="Q242" s="26" t="str">
        <f>IF(OR(P242&lt;'Descriptive Statistics'!$H$17,P242&gt;'Descriptive Statistics'!$H$18),"Potential Outlier","Within Range")</f>
        <v>Within Range</v>
      </c>
      <c r="R242" s="26" t="str">
        <f>IF(OR(G242&lt;'Descriptive Statistics'!$I$17,G242&gt;'Descriptive Statistics'!$I$18),"Potential Outlier","Within Range")</f>
        <v>Within Range</v>
      </c>
      <c r="S242" s="26" t="str">
        <f>IF(OR(H242&lt;'Descriptive Statistics'!$J$17,H242&gt;'Descriptive Statistics'!$J$18),"Potential Outlier","Within Range")</f>
        <v>Within Range</v>
      </c>
    </row>
    <row r="243" hidden="1" spans="1:19">
      <c r="A243" t="s">
        <v>970</v>
      </c>
      <c r="B243" s="23">
        <v>45062</v>
      </c>
      <c r="C243" s="23" t="str">
        <f t="shared" si="6"/>
        <v>May</v>
      </c>
      <c r="D243" s="23" t="str">
        <f t="shared" si="7"/>
        <v>2023</v>
      </c>
      <c r="E243" t="s">
        <v>971</v>
      </c>
      <c r="F243" s="24" t="s">
        <v>41</v>
      </c>
      <c r="G243" s="17">
        <v>5</v>
      </c>
      <c r="H243" s="19">
        <v>615.67</v>
      </c>
      <c r="I243" t="s">
        <v>972</v>
      </c>
      <c r="J243" s="24" t="s">
        <v>27</v>
      </c>
      <c r="K243" s="24" t="s">
        <v>89</v>
      </c>
      <c r="L243" t="s">
        <v>973</v>
      </c>
      <c r="M243" s="17">
        <v>6</v>
      </c>
      <c r="N243" t="s">
        <v>21</v>
      </c>
      <c r="O243" s="24" t="s">
        <v>38</v>
      </c>
      <c r="P243" s="19">
        <v>3078.35</v>
      </c>
      <c r="Q243" s="26" t="str">
        <f>IF(OR(P243&lt;'Descriptive Statistics'!$H$17,P243&gt;'Descriptive Statistics'!$H$18),"Potential Outlier","Within Range")</f>
        <v>Within Range</v>
      </c>
      <c r="R243" s="26" t="str">
        <f>IF(OR(G243&lt;'Descriptive Statistics'!$I$17,G243&gt;'Descriptive Statistics'!$I$18),"Potential Outlier","Within Range")</f>
        <v>Within Range</v>
      </c>
      <c r="S243" s="26" t="str">
        <f>IF(OR(H243&lt;'Descriptive Statistics'!$J$17,H243&gt;'Descriptive Statistics'!$J$18),"Potential Outlier","Within Range")</f>
        <v>Within Range</v>
      </c>
    </row>
    <row r="244" hidden="1" spans="1:19">
      <c r="A244" t="s">
        <v>974</v>
      </c>
      <c r="B244" s="23">
        <v>45055</v>
      </c>
      <c r="C244" s="23" t="str">
        <f t="shared" si="6"/>
        <v>May</v>
      </c>
      <c r="D244" s="23" t="str">
        <f t="shared" si="7"/>
        <v>2023</v>
      </c>
      <c r="E244" t="s">
        <v>975</v>
      </c>
      <c r="F244" s="24" t="s">
        <v>48</v>
      </c>
      <c r="G244" s="17">
        <v>2</v>
      </c>
      <c r="H244" s="19">
        <v>219.1</v>
      </c>
      <c r="I244" t="s">
        <v>976</v>
      </c>
      <c r="J244" s="24" t="s">
        <v>27</v>
      </c>
      <c r="K244" s="24" t="s">
        <v>89</v>
      </c>
      <c r="L244" t="s">
        <v>977</v>
      </c>
      <c r="M244" s="17">
        <v>4</v>
      </c>
      <c r="N244" t="s">
        <v>21</v>
      </c>
      <c r="O244" s="24" t="s">
        <v>29</v>
      </c>
      <c r="P244" s="19">
        <v>438.2</v>
      </c>
      <c r="Q244" s="26" t="str">
        <f>IF(OR(P244&lt;'Descriptive Statistics'!$H$17,P244&gt;'Descriptive Statistics'!$H$18),"Potential Outlier","Within Range")</f>
        <v>Within Range</v>
      </c>
      <c r="R244" s="26" t="str">
        <f>IF(OR(G244&lt;'Descriptive Statistics'!$I$17,G244&gt;'Descriptive Statistics'!$I$18),"Potential Outlier","Within Range")</f>
        <v>Within Range</v>
      </c>
      <c r="S244" s="26" t="str">
        <f>IF(OR(H244&lt;'Descriptive Statistics'!$J$17,H244&gt;'Descriptive Statistics'!$J$18),"Potential Outlier","Within Range")</f>
        <v>Within Range</v>
      </c>
    </row>
    <row r="245" hidden="1" spans="1:19">
      <c r="A245" t="s">
        <v>978</v>
      </c>
      <c r="B245" s="23">
        <v>45786</v>
      </c>
      <c r="C245" s="23" t="str">
        <f t="shared" si="6"/>
        <v>May</v>
      </c>
      <c r="D245" s="23" t="str">
        <f t="shared" si="7"/>
        <v>2025</v>
      </c>
      <c r="E245" t="s">
        <v>979</v>
      </c>
      <c r="F245" s="24" t="s">
        <v>41</v>
      </c>
      <c r="G245" s="17">
        <v>2</v>
      </c>
      <c r="H245" s="19">
        <v>144.66</v>
      </c>
      <c r="I245" t="s">
        <v>980</v>
      </c>
      <c r="J245" s="24" t="s">
        <v>27</v>
      </c>
      <c r="K245" s="24" t="s">
        <v>35</v>
      </c>
      <c r="L245" t="s">
        <v>981</v>
      </c>
      <c r="M245" s="17">
        <v>7</v>
      </c>
      <c r="N245" t="s">
        <v>37</v>
      </c>
      <c r="O245" s="24" t="s">
        <v>76</v>
      </c>
      <c r="P245" s="19">
        <v>289.32</v>
      </c>
      <c r="Q245" s="26" t="str">
        <f>IF(OR(P245&lt;'Descriptive Statistics'!$H$17,P245&gt;'Descriptive Statistics'!$H$18),"Potential Outlier","Within Range")</f>
        <v>Within Range</v>
      </c>
      <c r="R245" s="26" t="str">
        <f>IF(OR(G245&lt;'Descriptive Statistics'!$I$17,G245&gt;'Descriptive Statistics'!$I$18),"Potential Outlier","Within Range")</f>
        <v>Within Range</v>
      </c>
      <c r="S245" s="26" t="str">
        <f>IF(OR(H245&lt;'Descriptive Statistics'!$J$17,H245&gt;'Descriptive Statistics'!$J$18),"Potential Outlier","Within Range")</f>
        <v>Within Range</v>
      </c>
    </row>
    <row r="246" hidden="1" spans="1:19">
      <c r="A246" t="s">
        <v>982</v>
      </c>
      <c r="B246" s="23">
        <v>44973</v>
      </c>
      <c r="C246" s="23" t="str">
        <f t="shared" si="6"/>
        <v>Feb</v>
      </c>
      <c r="D246" s="23" t="str">
        <f t="shared" si="7"/>
        <v>2023</v>
      </c>
      <c r="E246" t="s">
        <v>983</v>
      </c>
      <c r="F246" s="24" t="s">
        <v>73</v>
      </c>
      <c r="G246" s="17">
        <v>2</v>
      </c>
      <c r="H246" s="19">
        <v>317.77</v>
      </c>
      <c r="I246" t="s">
        <v>984</v>
      </c>
      <c r="J246" s="24" t="s">
        <v>18</v>
      </c>
      <c r="K246" s="24" t="s">
        <v>35</v>
      </c>
      <c r="L246" t="s">
        <v>985</v>
      </c>
      <c r="M246" s="17">
        <v>4</v>
      </c>
      <c r="N246" t="s">
        <v>81</v>
      </c>
      <c r="O246" s="24" t="s">
        <v>45</v>
      </c>
      <c r="P246" s="19">
        <v>635.54</v>
      </c>
      <c r="Q246" s="26" t="str">
        <f>IF(OR(P246&lt;'Descriptive Statistics'!$H$17,P246&gt;'Descriptive Statistics'!$H$18),"Potential Outlier","Within Range")</f>
        <v>Within Range</v>
      </c>
      <c r="R246" s="26" t="str">
        <f>IF(OR(G246&lt;'Descriptive Statistics'!$I$17,G246&gt;'Descriptive Statistics'!$I$18),"Potential Outlier","Within Range")</f>
        <v>Within Range</v>
      </c>
      <c r="S246" s="26" t="str">
        <f>IF(OR(H246&lt;'Descriptive Statistics'!$J$17,H246&gt;'Descriptive Statistics'!$J$18),"Potential Outlier","Within Range")</f>
        <v>Within Range</v>
      </c>
    </row>
    <row r="247" hidden="1" spans="1:19">
      <c r="A247" t="s">
        <v>986</v>
      </c>
      <c r="B247" s="23">
        <v>45767</v>
      </c>
      <c r="C247" s="23" t="str">
        <f t="shared" si="6"/>
        <v>Apr</v>
      </c>
      <c r="D247" s="23" t="str">
        <f t="shared" si="7"/>
        <v>2025</v>
      </c>
      <c r="E247" t="s">
        <v>987</v>
      </c>
      <c r="F247" s="24" t="s">
        <v>58</v>
      </c>
      <c r="G247" s="17">
        <v>1</v>
      </c>
      <c r="H247" s="19">
        <v>223.3</v>
      </c>
      <c r="I247" t="s">
        <v>988</v>
      </c>
      <c r="J247" s="24" t="s">
        <v>27</v>
      </c>
      <c r="K247" s="24" t="s">
        <v>43</v>
      </c>
      <c r="L247" t="s">
        <v>989</v>
      </c>
      <c r="M247" s="17">
        <v>1</v>
      </c>
      <c r="N247" t="s">
        <v>4295</v>
      </c>
      <c r="O247" s="24" t="s">
        <v>45</v>
      </c>
      <c r="P247" s="19">
        <v>223.3</v>
      </c>
      <c r="Q247" s="26" t="str">
        <f>IF(OR(P247&lt;'Descriptive Statistics'!$H$17,P247&gt;'Descriptive Statistics'!$H$18),"Potential Outlier","Within Range")</f>
        <v>Within Range</v>
      </c>
      <c r="R247" s="26" t="str">
        <f>IF(OR(G247&lt;'Descriptive Statistics'!$I$17,G247&gt;'Descriptive Statistics'!$I$18),"Potential Outlier","Within Range")</f>
        <v>Within Range</v>
      </c>
      <c r="S247" s="26" t="str">
        <f>IF(OR(H247&lt;'Descriptive Statistics'!$J$17,H247&gt;'Descriptive Statistics'!$J$18),"Potential Outlier","Within Range")</f>
        <v>Within Range</v>
      </c>
    </row>
    <row r="248" hidden="1" spans="1:19">
      <c r="A248" t="s">
        <v>990</v>
      </c>
      <c r="B248" s="23">
        <v>45534</v>
      </c>
      <c r="C248" s="23" t="str">
        <f t="shared" si="6"/>
        <v>Aug</v>
      </c>
      <c r="D248" s="23" t="str">
        <f t="shared" si="7"/>
        <v>2024</v>
      </c>
      <c r="E248" t="s">
        <v>991</v>
      </c>
      <c r="F248" s="24" t="s">
        <v>73</v>
      </c>
      <c r="G248" s="17">
        <v>2</v>
      </c>
      <c r="H248" s="19">
        <v>342.11</v>
      </c>
      <c r="I248" t="s">
        <v>992</v>
      </c>
      <c r="J248" s="24" t="s">
        <v>60</v>
      </c>
      <c r="K248" s="24" t="s">
        <v>19</v>
      </c>
      <c r="L248" t="s">
        <v>993</v>
      </c>
      <c r="M248" s="17">
        <v>2</v>
      </c>
      <c r="N248" t="s">
        <v>81</v>
      </c>
      <c r="O248" s="24" t="s">
        <v>22</v>
      </c>
      <c r="P248" s="19">
        <v>684.22</v>
      </c>
      <c r="Q248" s="26" t="str">
        <f>IF(OR(P248&lt;'Descriptive Statistics'!$H$17,P248&gt;'Descriptive Statistics'!$H$18),"Potential Outlier","Within Range")</f>
        <v>Within Range</v>
      </c>
      <c r="R248" s="26" t="str">
        <f>IF(OR(G248&lt;'Descriptive Statistics'!$I$17,G248&gt;'Descriptive Statistics'!$I$18),"Potential Outlier","Within Range")</f>
        <v>Within Range</v>
      </c>
      <c r="S248" s="26" t="str">
        <f>IF(OR(H248&lt;'Descriptive Statistics'!$J$17,H248&gt;'Descriptive Statistics'!$J$18),"Potential Outlier","Within Range")</f>
        <v>Within Range</v>
      </c>
    </row>
    <row r="249" hidden="1" spans="1:19">
      <c r="A249" t="s">
        <v>994</v>
      </c>
      <c r="B249" s="23">
        <v>45127</v>
      </c>
      <c r="C249" s="23" t="str">
        <f t="shared" si="6"/>
        <v>Jul</v>
      </c>
      <c r="D249" s="23" t="str">
        <f t="shared" si="7"/>
        <v>2023</v>
      </c>
      <c r="E249" t="s">
        <v>995</v>
      </c>
      <c r="F249" s="24" t="s">
        <v>48</v>
      </c>
      <c r="G249" s="17">
        <v>2</v>
      </c>
      <c r="H249" s="19">
        <v>220.9</v>
      </c>
      <c r="I249" t="s">
        <v>996</v>
      </c>
      <c r="J249" s="24" t="s">
        <v>60</v>
      </c>
      <c r="K249" s="24" t="s">
        <v>19</v>
      </c>
      <c r="L249" t="s">
        <v>997</v>
      </c>
      <c r="M249" s="17">
        <v>4</v>
      </c>
      <c r="N249" t="s">
        <v>4295</v>
      </c>
      <c r="O249" s="24" t="s">
        <v>38</v>
      </c>
      <c r="P249" s="19">
        <v>441.8</v>
      </c>
      <c r="Q249" s="26" t="str">
        <f>IF(OR(P249&lt;'Descriptive Statistics'!$H$17,P249&gt;'Descriptive Statistics'!$H$18),"Potential Outlier","Within Range")</f>
        <v>Within Range</v>
      </c>
      <c r="R249" s="26" t="str">
        <f>IF(OR(G249&lt;'Descriptive Statistics'!$I$17,G249&gt;'Descriptive Statistics'!$I$18),"Potential Outlier","Within Range")</f>
        <v>Within Range</v>
      </c>
      <c r="S249" s="26" t="str">
        <f>IF(OR(H249&lt;'Descriptive Statistics'!$J$17,H249&gt;'Descriptive Statistics'!$J$18),"Potential Outlier","Within Range")</f>
        <v>Within Range</v>
      </c>
    </row>
    <row r="250" hidden="1" spans="1:19">
      <c r="A250" t="s">
        <v>998</v>
      </c>
      <c r="B250" s="23">
        <v>45109</v>
      </c>
      <c r="C250" s="23" t="str">
        <f t="shared" si="6"/>
        <v>Jul</v>
      </c>
      <c r="D250" s="23" t="str">
        <f t="shared" si="7"/>
        <v>2023</v>
      </c>
      <c r="E250" t="s">
        <v>999</v>
      </c>
      <c r="F250" s="24" t="s">
        <v>58</v>
      </c>
      <c r="G250" s="17">
        <v>1</v>
      </c>
      <c r="H250" s="19">
        <v>670.54</v>
      </c>
      <c r="I250" t="s">
        <v>1000</v>
      </c>
      <c r="J250" s="24" t="s">
        <v>65</v>
      </c>
      <c r="K250" s="24" t="s">
        <v>19</v>
      </c>
      <c r="L250" t="s">
        <v>1001</v>
      </c>
      <c r="M250" s="17">
        <v>6</v>
      </c>
      <c r="N250" t="s">
        <v>37</v>
      </c>
      <c r="O250" s="24" t="s">
        <v>29</v>
      </c>
      <c r="P250" s="19">
        <v>670.54</v>
      </c>
      <c r="Q250" s="26" t="str">
        <f>IF(OR(P250&lt;'Descriptive Statistics'!$H$17,P250&gt;'Descriptive Statistics'!$H$18),"Potential Outlier","Within Range")</f>
        <v>Within Range</v>
      </c>
      <c r="R250" s="26" t="str">
        <f>IF(OR(G250&lt;'Descriptive Statistics'!$I$17,G250&gt;'Descriptive Statistics'!$I$18),"Potential Outlier","Within Range")</f>
        <v>Within Range</v>
      </c>
      <c r="S250" s="26" t="str">
        <f>IF(OR(H250&lt;'Descriptive Statistics'!$J$17,H250&gt;'Descriptive Statistics'!$J$18),"Potential Outlier","Within Range")</f>
        <v>Within Range</v>
      </c>
    </row>
    <row r="251" hidden="1" spans="1:19">
      <c r="A251" t="s">
        <v>1002</v>
      </c>
      <c r="B251" s="23">
        <v>45329</v>
      </c>
      <c r="C251" s="23" t="str">
        <f t="shared" si="6"/>
        <v>Feb</v>
      </c>
      <c r="D251" s="23" t="str">
        <f t="shared" si="7"/>
        <v>2024</v>
      </c>
      <c r="E251" t="s">
        <v>1003</v>
      </c>
      <c r="F251" s="24" t="s">
        <v>48</v>
      </c>
      <c r="G251" s="17">
        <v>1</v>
      </c>
      <c r="H251" s="19">
        <v>546.19</v>
      </c>
      <c r="I251" t="s">
        <v>1004</v>
      </c>
      <c r="J251" s="24" t="s">
        <v>65</v>
      </c>
      <c r="K251" s="24" t="s">
        <v>89</v>
      </c>
      <c r="L251" t="s">
        <v>1005</v>
      </c>
      <c r="M251" s="17">
        <v>5</v>
      </c>
      <c r="N251" t="s">
        <v>37</v>
      </c>
      <c r="O251" s="24" t="s">
        <v>29</v>
      </c>
      <c r="P251" s="19">
        <v>546.19</v>
      </c>
      <c r="Q251" s="26" t="str">
        <f>IF(OR(P251&lt;'Descriptive Statistics'!$H$17,P251&gt;'Descriptive Statistics'!$H$18),"Potential Outlier","Within Range")</f>
        <v>Within Range</v>
      </c>
      <c r="R251" s="26" t="str">
        <f>IF(OR(G251&lt;'Descriptive Statistics'!$I$17,G251&gt;'Descriptive Statistics'!$I$18),"Potential Outlier","Within Range")</f>
        <v>Within Range</v>
      </c>
      <c r="S251" s="26" t="str">
        <f>IF(OR(H251&lt;'Descriptive Statistics'!$J$17,H251&gt;'Descriptive Statistics'!$J$18),"Potential Outlier","Within Range")</f>
        <v>Within Range</v>
      </c>
    </row>
    <row r="252" hidden="1" spans="1:19">
      <c r="A252" t="s">
        <v>1006</v>
      </c>
      <c r="B252" s="23">
        <v>45021</v>
      </c>
      <c r="C252" s="23" t="str">
        <f t="shared" si="6"/>
        <v>Apr</v>
      </c>
      <c r="D252" s="23" t="str">
        <f t="shared" si="7"/>
        <v>2023</v>
      </c>
      <c r="E252" t="s">
        <v>1007</v>
      </c>
      <c r="F252" s="24" t="s">
        <v>73</v>
      </c>
      <c r="G252" s="17">
        <v>3</v>
      </c>
      <c r="H252" s="19">
        <v>42.95</v>
      </c>
      <c r="I252" t="s">
        <v>387</v>
      </c>
      <c r="J252" s="24" t="s">
        <v>60</v>
      </c>
      <c r="K252" s="24" t="s">
        <v>43</v>
      </c>
      <c r="L252" t="s">
        <v>1008</v>
      </c>
      <c r="M252" s="17">
        <v>8</v>
      </c>
      <c r="N252" t="s">
        <v>21</v>
      </c>
      <c r="O252" s="24" t="s">
        <v>38</v>
      </c>
      <c r="P252" s="19">
        <v>128.85</v>
      </c>
      <c r="Q252" s="26" t="str">
        <f>IF(OR(P252&lt;'Descriptive Statistics'!$H$17,P252&gt;'Descriptive Statistics'!$H$18),"Potential Outlier","Within Range")</f>
        <v>Within Range</v>
      </c>
      <c r="R252" s="26" t="str">
        <f>IF(OR(G252&lt;'Descriptive Statistics'!$I$17,G252&gt;'Descriptive Statistics'!$I$18),"Potential Outlier","Within Range")</f>
        <v>Within Range</v>
      </c>
      <c r="S252" s="26" t="str">
        <f>IF(OR(H252&lt;'Descriptive Statistics'!$J$17,H252&gt;'Descriptive Statistics'!$J$18),"Potential Outlier","Within Range")</f>
        <v>Within Range</v>
      </c>
    </row>
    <row r="253" hidden="1" spans="1:19">
      <c r="A253" t="s">
        <v>1009</v>
      </c>
      <c r="B253" s="23">
        <v>45792</v>
      </c>
      <c r="C253" s="23" t="str">
        <f t="shared" si="6"/>
        <v>May</v>
      </c>
      <c r="D253" s="23" t="str">
        <f t="shared" si="7"/>
        <v>2025</v>
      </c>
      <c r="E253" t="s">
        <v>1010</v>
      </c>
      <c r="F253" s="24" t="s">
        <v>16</v>
      </c>
      <c r="G253" s="17">
        <v>4</v>
      </c>
      <c r="H253" s="19">
        <v>14.69</v>
      </c>
      <c r="I253" t="s">
        <v>1011</v>
      </c>
      <c r="J253" s="24" t="s">
        <v>65</v>
      </c>
      <c r="K253" s="24" t="s">
        <v>35</v>
      </c>
      <c r="L253" t="s">
        <v>1012</v>
      </c>
      <c r="M253" s="17">
        <v>9</v>
      </c>
      <c r="N253" t="s">
        <v>4295</v>
      </c>
      <c r="O253" s="24" t="s">
        <v>38</v>
      </c>
      <c r="P253" s="19">
        <v>58.76</v>
      </c>
      <c r="Q253" s="26" t="str">
        <f>IF(OR(P253&lt;'Descriptive Statistics'!$H$17,P253&gt;'Descriptive Statistics'!$H$18),"Potential Outlier","Within Range")</f>
        <v>Within Range</v>
      </c>
      <c r="R253" s="26" t="str">
        <f>IF(OR(G253&lt;'Descriptive Statistics'!$I$17,G253&gt;'Descriptive Statistics'!$I$18),"Potential Outlier","Within Range")</f>
        <v>Within Range</v>
      </c>
      <c r="S253" s="26" t="str">
        <f>IF(OR(H253&lt;'Descriptive Statistics'!$J$17,H253&gt;'Descriptive Statistics'!$J$18),"Potential Outlier","Within Range")</f>
        <v>Within Range</v>
      </c>
    </row>
    <row r="254" hidden="1" spans="1:19">
      <c r="A254" t="s">
        <v>1013</v>
      </c>
      <c r="B254" s="23">
        <v>45555</v>
      </c>
      <c r="C254" s="23" t="str">
        <f t="shared" si="6"/>
        <v>Sep</v>
      </c>
      <c r="D254" s="23" t="str">
        <f t="shared" si="7"/>
        <v>2024</v>
      </c>
      <c r="E254" t="s">
        <v>1014</v>
      </c>
      <c r="F254" s="24" t="s">
        <v>25</v>
      </c>
      <c r="G254" s="17">
        <v>4</v>
      </c>
      <c r="H254" s="19">
        <v>668.36</v>
      </c>
      <c r="I254" t="s">
        <v>1015</v>
      </c>
      <c r="J254" s="24" t="s">
        <v>60</v>
      </c>
      <c r="K254" s="24" t="s">
        <v>35</v>
      </c>
      <c r="L254" t="s">
        <v>1016</v>
      </c>
      <c r="M254" s="17">
        <v>5</v>
      </c>
      <c r="N254" t="s">
        <v>37</v>
      </c>
      <c r="O254" s="24" t="s">
        <v>45</v>
      </c>
      <c r="P254" s="19">
        <v>2673.44</v>
      </c>
      <c r="Q254" s="26" t="str">
        <f>IF(OR(P254&lt;'Descriptive Statistics'!$H$17,P254&gt;'Descriptive Statistics'!$H$18),"Potential Outlier","Within Range")</f>
        <v>Within Range</v>
      </c>
      <c r="R254" s="26" t="str">
        <f>IF(OR(G254&lt;'Descriptive Statistics'!$I$17,G254&gt;'Descriptive Statistics'!$I$18),"Potential Outlier","Within Range")</f>
        <v>Within Range</v>
      </c>
      <c r="S254" s="26" t="str">
        <f>IF(OR(H254&lt;'Descriptive Statistics'!$J$17,H254&gt;'Descriptive Statistics'!$J$18),"Potential Outlier","Within Range")</f>
        <v>Within Range</v>
      </c>
    </row>
    <row r="255" hidden="1" spans="1:19">
      <c r="A255" t="s">
        <v>1017</v>
      </c>
      <c r="B255" s="23">
        <v>45374</v>
      </c>
      <c r="C255" s="23" t="str">
        <f t="shared" si="6"/>
        <v>Mar</v>
      </c>
      <c r="D255" s="23" t="str">
        <f t="shared" si="7"/>
        <v>2024</v>
      </c>
      <c r="E255" t="s">
        <v>1018</v>
      </c>
      <c r="F255" s="24" t="s">
        <v>41</v>
      </c>
      <c r="G255" s="17">
        <v>4</v>
      </c>
      <c r="H255" s="19">
        <v>413.74</v>
      </c>
      <c r="I255" t="s">
        <v>434</v>
      </c>
      <c r="J255" s="24" t="s">
        <v>60</v>
      </c>
      <c r="K255" s="24" t="s">
        <v>43</v>
      </c>
      <c r="L255" t="s">
        <v>1019</v>
      </c>
      <c r="M255" s="17">
        <v>7</v>
      </c>
      <c r="N255" t="s">
        <v>37</v>
      </c>
      <c r="O255" s="24" t="s">
        <v>22</v>
      </c>
      <c r="P255" s="19">
        <v>1654.96</v>
      </c>
      <c r="Q255" s="26" t="str">
        <f>IF(OR(P255&lt;'Descriptive Statistics'!$H$17,P255&gt;'Descriptive Statistics'!$H$18),"Potential Outlier","Within Range")</f>
        <v>Within Range</v>
      </c>
      <c r="R255" s="26" t="str">
        <f>IF(OR(G255&lt;'Descriptive Statistics'!$I$17,G255&gt;'Descriptive Statistics'!$I$18),"Potential Outlier","Within Range")</f>
        <v>Within Range</v>
      </c>
      <c r="S255" s="26" t="str">
        <f>IF(OR(H255&lt;'Descriptive Statistics'!$J$17,H255&gt;'Descriptive Statistics'!$J$18),"Potential Outlier","Within Range")</f>
        <v>Within Range</v>
      </c>
    </row>
    <row r="256" hidden="1" spans="1:19">
      <c r="A256" t="s">
        <v>1020</v>
      </c>
      <c r="B256" s="23">
        <v>45286</v>
      </c>
      <c r="C256" s="23" t="str">
        <f t="shared" si="6"/>
        <v>Dec</v>
      </c>
      <c r="D256" s="23" t="str">
        <f t="shared" si="7"/>
        <v>2023</v>
      </c>
      <c r="E256" t="s">
        <v>1021</v>
      </c>
      <c r="F256" s="24" t="s">
        <v>16</v>
      </c>
      <c r="G256" s="17">
        <v>3</v>
      </c>
      <c r="H256" s="19">
        <v>263.19</v>
      </c>
      <c r="I256" t="s">
        <v>960</v>
      </c>
      <c r="J256" s="24" t="s">
        <v>27</v>
      </c>
      <c r="K256" s="24" t="s">
        <v>50</v>
      </c>
      <c r="L256" t="s">
        <v>1022</v>
      </c>
      <c r="M256" s="17">
        <v>5</v>
      </c>
      <c r="N256" t="s">
        <v>4295</v>
      </c>
      <c r="O256" s="24" t="s">
        <v>22</v>
      </c>
      <c r="P256" s="19">
        <v>789.57</v>
      </c>
      <c r="Q256" s="26" t="str">
        <f>IF(OR(P256&lt;'Descriptive Statistics'!$H$17,P256&gt;'Descriptive Statistics'!$H$18),"Potential Outlier","Within Range")</f>
        <v>Within Range</v>
      </c>
      <c r="R256" s="26" t="str">
        <f>IF(OR(G256&lt;'Descriptive Statistics'!$I$17,G256&gt;'Descriptive Statistics'!$I$18),"Potential Outlier","Within Range")</f>
        <v>Within Range</v>
      </c>
      <c r="S256" s="26" t="str">
        <f>IF(OR(H256&lt;'Descriptive Statistics'!$J$17,H256&gt;'Descriptive Statistics'!$J$18),"Potential Outlier","Within Range")</f>
        <v>Within Range</v>
      </c>
    </row>
    <row r="257" hidden="1" spans="1:19">
      <c r="A257" t="s">
        <v>1023</v>
      </c>
      <c r="B257" s="23">
        <v>45425</v>
      </c>
      <c r="C257" s="23" t="str">
        <f t="shared" si="6"/>
        <v>May</v>
      </c>
      <c r="D257" s="23" t="str">
        <f t="shared" si="7"/>
        <v>2024</v>
      </c>
      <c r="E257" t="s">
        <v>1024</v>
      </c>
      <c r="F257" s="24" t="s">
        <v>16</v>
      </c>
      <c r="G257" s="17">
        <v>1</v>
      </c>
      <c r="H257" s="19">
        <v>263.96</v>
      </c>
      <c r="I257" t="s">
        <v>715</v>
      </c>
      <c r="J257" s="24" t="s">
        <v>60</v>
      </c>
      <c r="K257" s="24" t="s">
        <v>43</v>
      </c>
      <c r="L257" t="s">
        <v>1025</v>
      </c>
      <c r="M257" s="17">
        <v>2</v>
      </c>
      <c r="N257" t="s">
        <v>21</v>
      </c>
      <c r="O257" s="24" t="s">
        <v>76</v>
      </c>
      <c r="P257" s="19">
        <v>263.96</v>
      </c>
      <c r="Q257" s="26" t="str">
        <f>IF(OR(P257&lt;'Descriptive Statistics'!$H$17,P257&gt;'Descriptive Statistics'!$H$18),"Potential Outlier","Within Range")</f>
        <v>Within Range</v>
      </c>
      <c r="R257" s="26" t="str">
        <f>IF(OR(G257&lt;'Descriptive Statistics'!$I$17,G257&gt;'Descriptive Statistics'!$I$18),"Potential Outlier","Within Range")</f>
        <v>Within Range</v>
      </c>
      <c r="S257" s="26" t="str">
        <f>IF(OR(H257&lt;'Descriptive Statistics'!$J$17,H257&gt;'Descriptive Statistics'!$J$18),"Potential Outlier","Within Range")</f>
        <v>Within Range</v>
      </c>
    </row>
    <row r="258" hidden="1" spans="1:19">
      <c r="A258" t="s">
        <v>1026</v>
      </c>
      <c r="B258" s="23">
        <v>45838</v>
      </c>
      <c r="C258" s="23" t="str">
        <f t="shared" ref="C258:C321" si="8">TEXT(B258,"MMM")</f>
        <v>Jun</v>
      </c>
      <c r="D258" s="23" t="str">
        <f t="shared" ref="D258:D321" si="9">TEXT(B258,"YYYY")</f>
        <v>2025</v>
      </c>
      <c r="E258" t="s">
        <v>1027</v>
      </c>
      <c r="F258" s="24" t="s">
        <v>41</v>
      </c>
      <c r="G258" s="17">
        <v>5</v>
      </c>
      <c r="H258" s="19">
        <v>75.81</v>
      </c>
      <c r="I258" t="s">
        <v>1028</v>
      </c>
      <c r="J258" s="24" t="s">
        <v>60</v>
      </c>
      <c r="K258" s="24" t="s">
        <v>43</v>
      </c>
      <c r="L258" t="s">
        <v>1029</v>
      </c>
      <c r="M258" s="17">
        <v>10</v>
      </c>
      <c r="N258" t="s">
        <v>81</v>
      </c>
      <c r="O258" s="24" t="s">
        <v>22</v>
      </c>
      <c r="P258" s="19">
        <v>379.05</v>
      </c>
      <c r="Q258" s="26" t="str">
        <f>IF(OR(P258&lt;'Descriptive Statistics'!$H$17,P258&gt;'Descriptive Statistics'!$H$18),"Potential Outlier","Within Range")</f>
        <v>Within Range</v>
      </c>
      <c r="R258" s="26" t="str">
        <f>IF(OR(G258&lt;'Descriptive Statistics'!$I$17,G258&gt;'Descriptive Statistics'!$I$18),"Potential Outlier","Within Range")</f>
        <v>Within Range</v>
      </c>
      <c r="S258" s="26" t="str">
        <f>IF(OR(H258&lt;'Descriptive Statistics'!$J$17,H258&gt;'Descriptive Statistics'!$J$18),"Potential Outlier","Within Range")</f>
        <v>Within Range</v>
      </c>
    </row>
    <row r="259" hidden="1" spans="1:19">
      <c r="A259" t="s">
        <v>1030</v>
      </c>
      <c r="B259" s="23">
        <v>45405</v>
      </c>
      <c r="C259" s="23" t="str">
        <f t="shared" si="8"/>
        <v>Apr</v>
      </c>
      <c r="D259" s="23" t="str">
        <f t="shared" si="9"/>
        <v>2024</v>
      </c>
      <c r="E259" t="s">
        <v>1031</v>
      </c>
      <c r="F259" s="24" t="s">
        <v>25</v>
      </c>
      <c r="G259" s="17">
        <v>1</v>
      </c>
      <c r="H259" s="19">
        <v>406.22</v>
      </c>
      <c r="I259" t="s">
        <v>1032</v>
      </c>
      <c r="J259" s="24" t="s">
        <v>34</v>
      </c>
      <c r="K259" s="24" t="s">
        <v>35</v>
      </c>
      <c r="L259" t="s">
        <v>1033</v>
      </c>
      <c r="M259" s="17">
        <v>5</v>
      </c>
      <c r="N259" t="s">
        <v>21</v>
      </c>
      <c r="O259" s="24" t="s">
        <v>29</v>
      </c>
      <c r="P259" s="19">
        <v>406.22</v>
      </c>
      <c r="Q259" s="26" t="str">
        <f>IF(OR(P259&lt;'Descriptive Statistics'!$H$17,P259&gt;'Descriptive Statistics'!$H$18),"Potential Outlier","Within Range")</f>
        <v>Within Range</v>
      </c>
      <c r="R259" s="26" t="str">
        <f>IF(OR(G259&lt;'Descriptive Statistics'!$I$17,G259&gt;'Descriptive Statistics'!$I$18),"Potential Outlier","Within Range")</f>
        <v>Within Range</v>
      </c>
      <c r="S259" s="26" t="str">
        <f>IF(OR(H259&lt;'Descriptive Statistics'!$J$17,H259&gt;'Descriptive Statistics'!$J$18),"Potential Outlier","Within Range")</f>
        <v>Within Range</v>
      </c>
    </row>
    <row r="260" hidden="1" spans="1:19">
      <c r="A260" t="s">
        <v>1034</v>
      </c>
      <c r="B260" s="23">
        <v>45348</v>
      </c>
      <c r="C260" s="23" t="str">
        <f t="shared" si="8"/>
        <v>Feb</v>
      </c>
      <c r="D260" s="23" t="str">
        <f t="shared" si="9"/>
        <v>2024</v>
      </c>
      <c r="E260" t="s">
        <v>1035</v>
      </c>
      <c r="F260" s="24" t="s">
        <v>32</v>
      </c>
      <c r="G260" s="17">
        <v>2</v>
      </c>
      <c r="H260" s="19">
        <v>103.41</v>
      </c>
      <c r="I260" t="s">
        <v>1036</v>
      </c>
      <c r="J260" s="24" t="s">
        <v>27</v>
      </c>
      <c r="K260" s="24" t="s">
        <v>19</v>
      </c>
      <c r="L260" t="s">
        <v>1037</v>
      </c>
      <c r="M260" s="17">
        <v>2</v>
      </c>
      <c r="N260" t="s">
        <v>37</v>
      </c>
      <c r="O260" s="24" t="s">
        <v>29</v>
      </c>
      <c r="P260" s="19">
        <v>206.82</v>
      </c>
      <c r="Q260" s="26" t="str">
        <f>IF(OR(P260&lt;'Descriptive Statistics'!$H$17,P260&gt;'Descriptive Statistics'!$H$18),"Potential Outlier","Within Range")</f>
        <v>Within Range</v>
      </c>
      <c r="R260" s="26" t="str">
        <f>IF(OR(G260&lt;'Descriptive Statistics'!$I$17,G260&gt;'Descriptive Statistics'!$I$18),"Potential Outlier","Within Range")</f>
        <v>Within Range</v>
      </c>
      <c r="S260" s="26" t="str">
        <f>IF(OR(H260&lt;'Descriptive Statistics'!$J$17,H260&gt;'Descriptive Statistics'!$J$18),"Potential Outlier","Within Range")</f>
        <v>Within Range</v>
      </c>
    </row>
    <row r="261" hidden="1" spans="1:19">
      <c r="A261" t="s">
        <v>1038</v>
      </c>
      <c r="B261" s="23">
        <v>45088</v>
      </c>
      <c r="C261" s="23" t="str">
        <f t="shared" si="8"/>
        <v>Jun</v>
      </c>
      <c r="D261" s="23" t="str">
        <f t="shared" si="9"/>
        <v>2023</v>
      </c>
      <c r="E261" t="s">
        <v>1039</v>
      </c>
      <c r="F261" s="24" t="s">
        <v>41</v>
      </c>
      <c r="G261" s="17">
        <v>4</v>
      </c>
      <c r="H261" s="19">
        <v>435.12</v>
      </c>
      <c r="I261" t="s">
        <v>565</v>
      </c>
      <c r="J261" s="24" t="s">
        <v>34</v>
      </c>
      <c r="K261" s="24" t="s">
        <v>50</v>
      </c>
      <c r="L261" t="s">
        <v>1040</v>
      </c>
      <c r="M261" s="17">
        <v>9</v>
      </c>
      <c r="N261" t="s">
        <v>21</v>
      </c>
      <c r="O261" s="24" t="s">
        <v>22</v>
      </c>
      <c r="P261" s="19">
        <v>1740.48</v>
      </c>
      <c r="Q261" s="26" t="str">
        <f>IF(OR(P261&lt;'Descriptive Statistics'!$H$17,P261&gt;'Descriptive Statistics'!$H$18),"Potential Outlier","Within Range")</f>
        <v>Within Range</v>
      </c>
      <c r="R261" s="26" t="str">
        <f>IF(OR(G261&lt;'Descriptive Statistics'!$I$17,G261&gt;'Descriptive Statistics'!$I$18),"Potential Outlier","Within Range")</f>
        <v>Within Range</v>
      </c>
      <c r="S261" s="26" t="str">
        <f>IF(OR(H261&lt;'Descriptive Statistics'!$J$17,H261&gt;'Descriptive Statistics'!$J$18),"Potential Outlier","Within Range")</f>
        <v>Within Range</v>
      </c>
    </row>
    <row r="262" hidden="1" spans="1:19">
      <c r="A262" t="s">
        <v>1041</v>
      </c>
      <c r="B262" s="23">
        <v>45063</v>
      </c>
      <c r="C262" s="23" t="str">
        <f t="shared" si="8"/>
        <v>May</v>
      </c>
      <c r="D262" s="23" t="str">
        <f t="shared" si="9"/>
        <v>2023</v>
      </c>
      <c r="E262" t="s">
        <v>1042</v>
      </c>
      <c r="F262" s="24" t="s">
        <v>16</v>
      </c>
      <c r="G262" s="17">
        <v>2</v>
      </c>
      <c r="H262" s="19">
        <v>407.79</v>
      </c>
      <c r="I262" t="s">
        <v>1043</v>
      </c>
      <c r="J262" s="24" t="s">
        <v>18</v>
      </c>
      <c r="K262" s="24" t="s">
        <v>19</v>
      </c>
      <c r="L262" t="s">
        <v>1044</v>
      </c>
      <c r="M262" s="17">
        <v>3</v>
      </c>
      <c r="N262" t="s">
        <v>4295</v>
      </c>
      <c r="O262" s="24" t="s">
        <v>76</v>
      </c>
      <c r="P262" s="19">
        <v>815.58</v>
      </c>
      <c r="Q262" s="26" t="str">
        <f>IF(OR(P262&lt;'Descriptive Statistics'!$H$17,P262&gt;'Descriptive Statistics'!$H$18),"Potential Outlier","Within Range")</f>
        <v>Within Range</v>
      </c>
      <c r="R262" s="26" t="str">
        <f>IF(OR(G262&lt;'Descriptive Statistics'!$I$17,G262&gt;'Descriptive Statistics'!$I$18),"Potential Outlier","Within Range")</f>
        <v>Within Range</v>
      </c>
      <c r="S262" s="26" t="str">
        <f>IF(OR(H262&lt;'Descriptive Statistics'!$J$17,H262&gt;'Descriptive Statistics'!$J$18),"Potential Outlier","Within Range")</f>
        <v>Within Range</v>
      </c>
    </row>
    <row r="263" hidden="1" spans="1:19">
      <c r="A263" t="s">
        <v>1045</v>
      </c>
      <c r="B263" s="23">
        <v>45805</v>
      </c>
      <c r="C263" s="23" t="str">
        <f t="shared" si="8"/>
        <v>May</v>
      </c>
      <c r="D263" s="23" t="str">
        <f t="shared" si="9"/>
        <v>2025</v>
      </c>
      <c r="E263" t="s">
        <v>1046</v>
      </c>
      <c r="F263" s="24" t="s">
        <v>25</v>
      </c>
      <c r="G263" s="17">
        <v>5</v>
      </c>
      <c r="H263" s="19">
        <v>173.65</v>
      </c>
      <c r="I263" t="s">
        <v>1047</v>
      </c>
      <c r="J263" s="24" t="s">
        <v>60</v>
      </c>
      <c r="K263" s="24" t="s">
        <v>50</v>
      </c>
      <c r="L263" t="s">
        <v>1048</v>
      </c>
      <c r="M263" s="17">
        <v>9</v>
      </c>
      <c r="N263" t="s">
        <v>21</v>
      </c>
      <c r="O263" s="24" t="s">
        <v>38</v>
      </c>
      <c r="P263" s="19">
        <v>868.25</v>
      </c>
      <c r="Q263" s="26" t="str">
        <f>IF(OR(P263&lt;'Descriptive Statistics'!$H$17,P263&gt;'Descriptive Statistics'!$H$18),"Potential Outlier","Within Range")</f>
        <v>Within Range</v>
      </c>
      <c r="R263" s="26" t="str">
        <f>IF(OR(G263&lt;'Descriptive Statistics'!$I$17,G263&gt;'Descriptive Statistics'!$I$18),"Potential Outlier","Within Range")</f>
        <v>Within Range</v>
      </c>
      <c r="S263" s="26" t="str">
        <f>IF(OR(H263&lt;'Descriptive Statistics'!$J$17,H263&gt;'Descriptive Statistics'!$J$18),"Potential Outlier","Within Range")</f>
        <v>Within Range</v>
      </c>
    </row>
    <row r="264" hidden="1" spans="1:19">
      <c r="A264" t="s">
        <v>1049</v>
      </c>
      <c r="B264" s="23">
        <v>44936</v>
      </c>
      <c r="C264" s="23" t="str">
        <f t="shared" si="8"/>
        <v>Jan</v>
      </c>
      <c r="D264" s="23" t="str">
        <f t="shared" si="9"/>
        <v>2023</v>
      </c>
      <c r="E264" t="s">
        <v>1050</v>
      </c>
      <c r="F264" s="24" t="s">
        <v>25</v>
      </c>
      <c r="G264" s="17">
        <v>4</v>
      </c>
      <c r="H264" s="19">
        <v>249.07</v>
      </c>
      <c r="I264" t="s">
        <v>572</v>
      </c>
      <c r="J264" s="24" t="s">
        <v>34</v>
      </c>
      <c r="K264" s="24" t="s">
        <v>43</v>
      </c>
      <c r="L264" t="s">
        <v>1051</v>
      </c>
      <c r="M264" s="17">
        <v>5</v>
      </c>
      <c r="N264" t="s">
        <v>81</v>
      </c>
      <c r="O264" s="24" t="s">
        <v>29</v>
      </c>
      <c r="P264" s="19">
        <v>996.28</v>
      </c>
      <c r="Q264" s="26" t="str">
        <f>IF(OR(P264&lt;'Descriptive Statistics'!$H$17,P264&gt;'Descriptive Statistics'!$H$18),"Potential Outlier","Within Range")</f>
        <v>Within Range</v>
      </c>
      <c r="R264" s="26" t="str">
        <f>IF(OR(G264&lt;'Descriptive Statistics'!$I$17,G264&gt;'Descriptive Statistics'!$I$18),"Potential Outlier","Within Range")</f>
        <v>Within Range</v>
      </c>
      <c r="S264" s="26" t="str">
        <f>IF(OR(H264&lt;'Descriptive Statistics'!$J$17,H264&gt;'Descriptive Statistics'!$J$18),"Potential Outlier","Within Range")</f>
        <v>Within Range</v>
      </c>
    </row>
    <row r="265" hidden="1" spans="1:19">
      <c r="A265" t="s">
        <v>1052</v>
      </c>
      <c r="B265" s="23">
        <v>45010</v>
      </c>
      <c r="C265" s="23" t="str">
        <f t="shared" si="8"/>
        <v>Mar</v>
      </c>
      <c r="D265" s="23" t="str">
        <f t="shared" si="9"/>
        <v>2023</v>
      </c>
      <c r="E265" t="s">
        <v>1053</v>
      </c>
      <c r="F265" s="24" t="s">
        <v>25</v>
      </c>
      <c r="G265" s="17">
        <v>4</v>
      </c>
      <c r="H265" s="19">
        <v>434.85</v>
      </c>
      <c r="I265" t="s">
        <v>1054</v>
      </c>
      <c r="J265" s="24" t="s">
        <v>34</v>
      </c>
      <c r="K265" s="24" t="s">
        <v>89</v>
      </c>
      <c r="L265" t="s">
        <v>1055</v>
      </c>
      <c r="M265" s="17">
        <v>4</v>
      </c>
      <c r="N265" t="s">
        <v>81</v>
      </c>
      <c r="O265" s="24" t="s">
        <v>76</v>
      </c>
      <c r="P265" s="19">
        <v>1739.4</v>
      </c>
      <c r="Q265" s="26" t="str">
        <f>IF(OR(P265&lt;'Descriptive Statistics'!$H$17,P265&gt;'Descriptive Statistics'!$H$18),"Potential Outlier","Within Range")</f>
        <v>Within Range</v>
      </c>
      <c r="R265" s="26" t="str">
        <f>IF(OR(G265&lt;'Descriptive Statistics'!$I$17,G265&gt;'Descriptive Statistics'!$I$18),"Potential Outlier","Within Range")</f>
        <v>Within Range</v>
      </c>
      <c r="S265" s="26" t="str">
        <f>IF(OR(H265&lt;'Descriptive Statistics'!$J$17,H265&gt;'Descriptive Statistics'!$J$18),"Potential Outlier","Within Range")</f>
        <v>Within Range</v>
      </c>
    </row>
    <row r="266" hidden="1" spans="1:19">
      <c r="A266" t="s">
        <v>1056</v>
      </c>
      <c r="B266" s="23">
        <v>45507</v>
      </c>
      <c r="C266" s="23" t="str">
        <f t="shared" si="8"/>
        <v>Aug</v>
      </c>
      <c r="D266" s="23" t="str">
        <f t="shared" si="9"/>
        <v>2024</v>
      </c>
      <c r="E266" t="s">
        <v>1057</v>
      </c>
      <c r="F266" s="24" t="s">
        <v>32</v>
      </c>
      <c r="G266" s="17">
        <v>1</v>
      </c>
      <c r="H266" s="19">
        <v>436.77</v>
      </c>
      <c r="I266" t="s">
        <v>1058</v>
      </c>
      <c r="J266" s="24" t="s">
        <v>65</v>
      </c>
      <c r="K266" s="24" t="s">
        <v>43</v>
      </c>
      <c r="L266" t="s">
        <v>1059</v>
      </c>
      <c r="M266" s="17">
        <v>5</v>
      </c>
      <c r="N266" t="s">
        <v>37</v>
      </c>
      <c r="O266" s="24" t="s">
        <v>76</v>
      </c>
      <c r="P266" s="19">
        <v>436.77</v>
      </c>
      <c r="Q266" s="26" t="str">
        <f>IF(OR(P266&lt;'Descriptive Statistics'!$H$17,P266&gt;'Descriptive Statistics'!$H$18),"Potential Outlier","Within Range")</f>
        <v>Within Range</v>
      </c>
      <c r="R266" s="26" t="str">
        <f>IF(OR(G266&lt;'Descriptive Statistics'!$I$17,G266&gt;'Descriptive Statistics'!$I$18),"Potential Outlier","Within Range")</f>
        <v>Within Range</v>
      </c>
      <c r="S266" s="26" t="str">
        <f>IF(OR(H266&lt;'Descriptive Statistics'!$J$17,H266&gt;'Descriptive Statistics'!$J$18),"Potential Outlier","Within Range")</f>
        <v>Within Range</v>
      </c>
    </row>
    <row r="267" hidden="1" spans="1:19">
      <c r="A267" t="s">
        <v>1060</v>
      </c>
      <c r="B267" s="23">
        <v>45282</v>
      </c>
      <c r="C267" s="23" t="str">
        <f t="shared" si="8"/>
        <v>Dec</v>
      </c>
      <c r="D267" s="23" t="str">
        <f t="shared" si="9"/>
        <v>2023</v>
      </c>
      <c r="E267" t="s">
        <v>1061</v>
      </c>
      <c r="F267" s="24" t="s">
        <v>48</v>
      </c>
      <c r="G267" s="17">
        <v>1</v>
      </c>
      <c r="H267" s="19">
        <v>572.13</v>
      </c>
      <c r="I267" t="s">
        <v>1062</v>
      </c>
      <c r="J267" s="24" t="s">
        <v>18</v>
      </c>
      <c r="K267" s="24" t="s">
        <v>35</v>
      </c>
      <c r="L267" t="s">
        <v>1063</v>
      </c>
      <c r="M267" s="17">
        <v>4</v>
      </c>
      <c r="N267" t="s">
        <v>21</v>
      </c>
      <c r="O267" s="24" t="s">
        <v>76</v>
      </c>
      <c r="P267" s="19">
        <v>572.13</v>
      </c>
      <c r="Q267" s="26" t="str">
        <f>IF(OR(P267&lt;'Descriptive Statistics'!$H$17,P267&gt;'Descriptive Statistics'!$H$18),"Potential Outlier","Within Range")</f>
        <v>Within Range</v>
      </c>
      <c r="R267" s="26" t="str">
        <f>IF(OR(G267&lt;'Descriptive Statistics'!$I$17,G267&gt;'Descriptive Statistics'!$I$18),"Potential Outlier","Within Range")</f>
        <v>Within Range</v>
      </c>
      <c r="S267" s="26" t="str">
        <f>IF(OR(H267&lt;'Descriptive Statistics'!$J$17,H267&gt;'Descriptive Statistics'!$J$18),"Potential Outlier","Within Range")</f>
        <v>Within Range</v>
      </c>
    </row>
    <row r="268" hidden="1" spans="1:19">
      <c r="A268" t="s">
        <v>1064</v>
      </c>
      <c r="B268" s="23">
        <v>45451</v>
      </c>
      <c r="C268" s="23" t="str">
        <f t="shared" si="8"/>
        <v>Jun</v>
      </c>
      <c r="D268" s="23" t="str">
        <f t="shared" si="9"/>
        <v>2024</v>
      </c>
      <c r="E268" t="s">
        <v>1065</v>
      </c>
      <c r="F268" s="24" t="s">
        <v>41</v>
      </c>
      <c r="G268" s="17">
        <v>4</v>
      </c>
      <c r="H268" s="19">
        <v>583.07</v>
      </c>
      <c r="I268" t="s">
        <v>1066</v>
      </c>
      <c r="J268" s="24" t="s">
        <v>34</v>
      </c>
      <c r="K268" s="24" t="s">
        <v>35</v>
      </c>
      <c r="L268" t="s">
        <v>1067</v>
      </c>
      <c r="M268" s="17">
        <v>6</v>
      </c>
      <c r="N268" t="s">
        <v>37</v>
      </c>
      <c r="O268" s="24" t="s">
        <v>29</v>
      </c>
      <c r="P268" s="19">
        <v>2332.28</v>
      </c>
      <c r="Q268" s="26" t="str">
        <f>IF(OR(P268&lt;'Descriptive Statistics'!$H$17,P268&gt;'Descriptive Statistics'!$H$18),"Potential Outlier","Within Range")</f>
        <v>Within Range</v>
      </c>
      <c r="R268" s="26" t="str">
        <f>IF(OR(G268&lt;'Descriptive Statistics'!$I$17,G268&gt;'Descriptive Statistics'!$I$18),"Potential Outlier","Within Range")</f>
        <v>Within Range</v>
      </c>
      <c r="S268" s="26" t="str">
        <f>IF(OR(H268&lt;'Descriptive Statistics'!$J$17,H268&gt;'Descriptive Statistics'!$J$18),"Potential Outlier","Within Range")</f>
        <v>Within Range</v>
      </c>
    </row>
    <row r="269" hidden="1" spans="1:19">
      <c r="A269" t="s">
        <v>1068</v>
      </c>
      <c r="B269" s="23">
        <v>45764</v>
      </c>
      <c r="C269" s="23" t="str">
        <f t="shared" si="8"/>
        <v>Apr</v>
      </c>
      <c r="D269" s="23" t="str">
        <f t="shared" si="9"/>
        <v>2025</v>
      </c>
      <c r="E269" t="s">
        <v>1069</v>
      </c>
      <c r="F269" s="24" t="s">
        <v>41</v>
      </c>
      <c r="G269" s="17">
        <v>5</v>
      </c>
      <c r="H269" s="19">
        <v>468.51</v>
      </c>
      <c r="I269" t="s">
        <v>1070</v>
      </c>
      <c r="J269" s="24" t="s">
        <v>18</v>
      </c>
      <c r="K269" s="24" t="s">
        <v>50</v>
      </c>
      <c r="L269" t="s">
        <v>1071</v>
      </c>
      <c r="M269" s="17">
        <v>9</v>
      </c>
      <c r="N269" t="s">
        <v>4295</v>
      </c>
      <c r="O269" s="24" t="s">
        <v>45</v>
      </c>
      <c r="P269" s="19">
        <v>2342.55</v>
      </c>
      <c r="Q269" s="26" t="str">
        <f>IF(OR(P269&lt;'Descriptive Statistics'!$H$17,P269&gt;'Descriptive Statistics'!$H$18),"Potential Outlier","Within Range")</f>
        <v>Within Range</v>
      </c>
      <c r="R269" s="26" t="str">
        <f>IF(OR(G269&lt;'Descriptive Statistics'!$I$17,G269&gt;'Descriptive Statistics'!$I$18),"Potential Outlier","Within Range")</f>
        <v>Within Range</v>
      </c>
      <c r="S269" s="26" t="str">
        <f>IF(OR(H269&lt;'Descriptive Statistics'!$J$17,H269&gt;'Descriptive Statistics'!$J$18),"Potential Outlier","Within Range")</f>
        <v>Within Range</v>
      </c>
    </row>
    <row r="270" hidden="1" spans="1:19">
      <c r="A270" t="s">
        <v>1072</v>
      </c>
      <c r="B270" s="23">
        <v>45149</v>
      </c>
      <c r="C270" s="23" t="str">
        <f t="shared" si="8"/>
        <v>Aug</v>
      </c>
      <c r="D270" s="23" t="str">
        <f t="shared" si="9"/>
        <v>2023</v>
      </c>
      <c r="E270" t="s">
        <v>1073</v>
      </c>
      <c r="F270" s="24" t="s">
        <v>25</v>
      </c>
      <c r="G270" s="17">
        <v>2</v>
      </c>
      <c r="H270" s="19">
        <v>423.88</v>
      </c>
      <c r="I270" t="s">
        <v>1074</v>
      </c>
      <c r="J270" s="24" t="s">
        <v>18</v>
      </c>
      <c r="K270" s="24" t="s">
        <v>50</v>
      </c>
      <c r="L270" t="s">
        <v>1075</v>
      </c>
      <c r="M270" s="17">
        <v>7</v>
      </c>
      <c r="N270" t="s">
        <v>21</v>
      </c>
      <c r="O270" s="24" t="s">
        <v>29</v>
      </c>
      <c r="P270" s="19">
        <v>847.76</v>
      </c>
      <c r="Q270" s="26" t="str">
        <f>IF(OR(P270&lt;'Descriptive Statistics'!$H$17,P270&gt;'Descriptive Statistics'!$H$18),"Potential Outlier","Within Range")</f>
        <v>Within Range</v>
      </c>
      <c r="R270" s="26" t="str">
        <f>IF(OR(G270&lt;'Descriptive Statistics'!$I$17,G270&gt;'Descriptive Statistics'!$I$18),"Potential Outlier","Within Range")</f>
        <v>Within Range</v>
      </c>
      <c r="S270" s="26" t="str">
        <f>IF(OR(H270&lt;'Descriptive Statistics'!$J$17,H270&gt;'Descriptive Statistics'!$J$18),"Potential Outlier","Within Range")</f>
        <v>Within Range</v>
      </c>
    </row>
    <row r="271" hidden="1" spans="1:19">
      <c r="A271" t="s">
        <v>1076</v>
      </c>
      <c r="B271" s="23">
        <v>45255</v>
      </c>
      <c r="C271" s="23" t="str">
        <f t="shared" si="8"/>
        <v>Nov</v>
      </c>
      <c r="D271" s="23" t="str">
        <f t="shared" si="9"/>
        <v>2023</v>
      </c>
      <c r="E271" t="s">
        <v>1077</v>
      </c>
      <c r="F271" s="24" t="s">
        <v>32</v>
      </c>
      <c r="G271" s="17">
        <v>4</v>
      </c>
      <c r="H271" s="19">
        <v>663.67</v>
      </c>
      <c r="I271" t="s">
        <v>327</v>
      </c>
      <c r="J271" s="24" t="s">
        <v>34</v>
      </c>
      <c r="K271" s="24" t="s">
        <v>89</v>
      </c>
      <c r="L271" t="s">
        <v>1078</v>
      </c>
      <c r="M271" s="17">
        <v>7</v>
      </c>
      <c r="N271" t="s">
        <v>37</v>
      </c>
      <c r="O271" s="24" t="s">
        <v>76</v>
      </c>
      <c r="P271" s="19">
        <v>2654.68</v>
      </c>
      <c r="Q271" s="26" t="str">
        <f>IF(OR(P271&lt;'Descriptive Statistics'!$H$17,P271&gt;'Descriptive Statistics'!$H$18),"Potential Outlier","Within Range")</f>
        <v>Within Range</v>
      </c>
      <c r="R271" s="26" t="str">
        <f>IF(OR(G271&lt;'Descriptive Statistics'!$I$17,G271&gt;'Descriptive Statistics'!$I$18),"Potential Outlier","Within Range")</f>
        <v>Within Range</v>
      </c>
      <c r="S271" s="26" t="str">
        <f>IF(OR(H271&lt;'Descriptive Statistics'!$J$17,H271&gt;'Descriptive Statistics'!$J$18),"Potential Outlier","Within Range")</f>
        <v>Within Range</v>
      </c>
    </row>
    <row r="272" hidden="1" spans="1:19">
      <c r="A272" t="s">
        <v>1079</v>
      </c>
      <c r="B272" s="23">
        <v>45081</v>
      </c>
      <c r="C272" s="23" t="str">
        <f t="shared" si="8"/>
        <v>Jun</v>
      </c>
      <c r="D272" s="23" t="str">
        <f t="shared" si="9"/>
        <v>2023</v>
      </c>
      <c r="E272" t="s">
        <v>1080</v>
      </c>
      <c r="F272" s="24" t="s">
        <v>48</v>
      </c>
      <c r="G272" s="17">
        <v>4</v>
      </c>
      <c r="H272" s="19">
        <v>309.91</v>
      </c>
      <c r="I272" t="s">
        <v>1081</v>
      </c>
      <c r="J272" s="24" t="s">
        <v>18</v>
      </c>
      <c r="K272" s="24" t="s">
        <v>19</v>
      </c>
      <c r="L272" t="s">
        <v>1082</v>
      </c>
      <c r="M272" s="17">
        <v>5</v>
      </c>
      <c r="N272" t="s">
        <v>81</v>
      </c>
      <c r="O272" s="24" t="s">
        <v>76</v>
      </c>
      <c r="P272" s="19">
        <v>1239.64</v>
      </c>
      <c r="Q272" s="26" t="str">
        <f>IF(OR(P272&lt;'Descriptive Statistics'!$H$17,P272&gt;'Descriptive Statistics'!$H$18),"Potential Outlier","Within Range")</f>
        <v>Within Range</v>
      </c>
      <c r="R272" s="26" t="str">
        <f>IF(OR(G272&lt;'Descriptive Statistics'!$I$17,G272&gt;'Descriptive Statistics'!$I$18),"Potential Outlier","Within Range")</f>
        <v>Within Range</v>
      </c>
      <c r="S272" s="26" t="str">
        <f>IF(OR(H272&lt;'Descriptive Statistics'!$J$17,H272&gt;'Descriptive Statistics'!$J$18),"Potential Outlier","Within Range")</f>
        <v>Within Range</v>
      </c>
    </row>
    <row r="273" hidden="1" spans="1:19">
      <c r="A273" t="s">
        <v>1083</v>
      </c>
      <c r="B273" s="23">
        <v>45013</v>
      </c>
      <c r="C273" s="23" t="str">
        <f t="shared" si="8"/>
        <v>Mar</v>
      </c>
      <c r="D273" s="23" t="str">
        <f t="shared" si="9"/>
        <v>2023</v>
      </c>
      <c r="E273" t="s">
        <v>1084</v>
      </c>
      <c r="F273" s="24" t="s">
        <v>16</v>
      </c>
      <c r="G273" s="17">
        <v>1</v>
      </c>
      <c r="H273" s="19">
        <v>542.07</v>
      </c>
      <c r="I273" t="s">
        <v>1085</v>
      </c>
      <c r="J273" s="24" t="s">
        <v>65</v>
      </c>
      <c r="K273" s="24" t="s">
        <v>19</v>
      </c>
      <c r="L273" t="s">
        <v>1086</v>
      </c>
      <c r="M273" s="17">
        <v>6</v>
      </c>
      <c r="N273" t="s">
        <v>81</v>
      </c>
      <c r="O273" s="24" t="s">
        <v>29</v>
      </c>
      <c r="P273" s="19">
        <v>542.07</v>
      </c>
      <c r="Q273" s="26" t="str">
        <f>IF(OR(P273&lt;'Descriptive Statistics'!$H$17,P273&gt;'Descriptive Statistics'!$H$18),"Potential Outlier","Within Range")</f>
        <v>Within Range</v>
      </c>
      <c r="R273" s="26" t="str">
        <f>IF(OR(G273&lt;'Descriptive Statistics'!$I$17,G273&gt;'Descriptive Statistics'!$I$18),"Potential Outlier","Within Range")</f>
        <v>Within Range</v>
      </c>
      <c r="S273" s="26" t="str">
        <f>IF(OR(H273&lt;'Descriptive Statistics'!$J$17,H273&gt;'Descriptive Statistics'!$J$18),"Potential Outlier","Within Range")</f>
        <v>Within Range</v>
      </c>
    </row>
    <row r="274" hidden="1" spans="1:19">
      <c r="A274" t="s">
        <v>1087</v>
      </c>
      <c r="B274" s="23">
        <v>45188</v>
      </c>
      <c r="C274" s="23" t="str">
        <f t="shared" si="8"/>
        <v>Sep</v>
      </c>
      <c r="D274" s="23" t="str">
        <f t="shared" si="9"/>
        <v>2023</v>
      </c>
      <c r="E274" t="s">
        <v>1088</v>
      </c>
      <c r="F274" s="24" t="s">
        <v>41</v>
      </c>
      <c r="G274" s="17">
        <v>2</v>
      </c>
      <c r="H274" s="19">
        <v>399.32</v>
      </c>
      <c r="I274" t="s">
        <v>1089</v>
      </c>
      <c r="J274" s="24" t="s">
        <v>27</v>
      </c>
      <c r="K274" s="24" t="s">
        <v>89</v>
      </c>
      <c r="L274" t="s">
        <v>1090</v>
      </c>
      <c r="M274" s="17">
        <v>6</v>
      </c>
      <c r="N274" t="s">
        <v>81</v>
      </c>
      <c r="O274" s="24" t="s">
        <v>22</v>
      </c>
      <c r="P274" s="19">
        <v>798.64</v>
      </c>
      <c r="Q274" s="26" t="str">
        <f>IF(OR(P274&lt;'Descriptive Statistics'!$H$17,P274&gt;'Descriptive Statistics'!$H$18),"Potential Outlier","Within Range")</f>
        <v>Within Range</v>
      </c>
      <c r="R274" s="26" t="str">
        <f>IF(OR(G274&lt;'Descriptive Statistics'!$I$17,G274&gt;'Descriptive Statistics'!$I$18),"Potential Outlier","Within Range")</f>
        <v>Within Range</v>
      </c>
      <c r="S274" s="26" t="str">
        <f>IF(OR(H274&lt;'Descriptive Statistics'!$J$17,H274&gt;'Descriptive Statistics'!$J$18),"Potential Outlier","Within Range")</f>
        <v>Within Range</v>
      </c>
    </row>
    <row r="275" hidden="1" spans="1:19">
      <c r="A275" t="s">
        <v>1091</v>
      </c>
      <c r="B275" s="23">
        <v>45592</v>
      </c>
      <c r="C275" s="23" t="str">
        <f t="shared" si="8"/>
        <v>Oct</v>
      </c>
      <c r="D275" s="23" t="str">
        <f t="shared" si="9"/>
        <v>2024</v>
      </c>
      <c r="E275" t="s">
        <v>1092</v>
      </c>
      <c r="F275" s="24" t="s">
        <v>32</v>
      </c>
      <c r="G275" s="17">
        <v>2</v>
      </c>
      <c r="H275" s="19">
        <v>238.25</v>
      </c>
      <c r="I275" t="s">
        <v>1093</v>
      </c>
      <c r="J275" s="24" t="s">
        <v>27</v>
      </c>
      <c r="K275" s="24" t="s">
        <v>35</v>
      </c>
      <c r="L275" t="s">
        <v>1094</v>
      </c>
      <c r="M275" s="17">
        <v>7</v>
      </c>
      <c r="N275" t="s">
        <v>37</v>
      </c>
      <c r="O275" s="24" t="s">
        <v>38</v>
      </c>
      <c r="P275" s="19">
        <v>476.5</v>
      </c>
      <c r="Q275" s="26" t="str">
        <f>IF(OR(P275&lt;'Descriptive Statistics'!$H$17,P275&gt;'Descriptive Statistics'!$H$18),"Potential Outlier","Within Range")</f>
        <v>Within Range</v>
      </c>
      <c r="R275" s="26" t="str">
        <f>IF(OR(G275&lt;'Descriptive Statistics'!$I$17,G275&gt;'Descriptive Statistics'!$I$18),"Potential Outlier","Within Range")</f>
        <v>Within Range</v>
      </c>
      <c r="S275" s="26" t="str">
        <f>IF(OR(H275&lt;'Descriptive Statistics'!$J$17,H275&gt;'Descriptive Statistics'!$J$18),"Potential Outlier","Within Range")</f>
        <v>Within Range</v>
      </c>
    </row>
    <row r="276" hidden="1" spans="1:19">
      <c r="A276" t="s">
        <v>1095</v>
      </c>
      <c r="B276" s="23">
        <v>44961</v>
      </c>
      <c r="C276" s="23" t="str">
        <f t="shared" si="8"/>
        <v>Feb</v>
      </c>
      <c r="D276" s="23" t="str">
        <f t="shared" si="9"/>
        <v>2023</v>
      </c>
      <c r="E276" t="s">
        <v>1096</v>
      </c>
      <c r="F276" s="24" t="s">
        <v>25</v>
      </c>
      <c r="G276" s="17">
        <v>2</v>
      </c>
      <c r="H276" s="19">
        <v>182.4</v>
      </c>
      <c r="I276" t="s">
        <v>1097</v>
      </c>
      <c r="J276" s="24" t="s">
        <v>60</v>
      </c>
      <c r="K276" s="24" t="s">
        <v>35</v>
      </c>
      <c r="L276" t="s">
        <v>1098</v>
      </c>
      <c r="M276" s="17">
        <v>5</v>
      </c>
      <c r="N276" t="s">
        <v>21</v>
      </c>
      <c r="O276" s="24" t="s">
        <v>29</v>
      </c>
      <c r="P276" s="19">
        <v>364.8</v>
      </c>
      <c r="Q276" s="26" t="str">
        <f>IF(OR(P276&lt;'Descriptive Statistics'!$H$17,P276&gt;'Descriptive Statistics'!$H$18),"Potential Outlier","Within Range")</f>
        <v>Within Range</v>
      </c>
      <c r="R276" s="26" t="str">
        <f>IF(OR(G276&lt;'Descriptive Statistics'!$I$17,G276&gt;'Descriptive Statistics'!$I$18),"Potential Outlier","Within Range")</f>
        <v>Within Range</v>
      </c>
      <c r="S276" s="26" t="str">
        <f>IF(OR(H276&lt;'Descriptive Statistics'!$J$17,H276&gt;'Descriptive Statistics'!$J$18),"Potential Outlier","Within Range")</f>
        <v>Within Range</v>
      </c>
    </row>
    <row r="277" hidden="1" spans="1:19">
      <c r="A277" t="s">
        <v>1099</v>
      </c>
      <c r="B277" s="23">
        <v>45234</v>
      </c>
      <c r="C277" s="23" t="str">
        <f t="shared" si="8"/>
        <v>Nov</v>
      </c>
      <c r="D277" s="23" t="str">
        <f t="shared" si="9"/>
        <v>2023</v>
      </c>
      <c r="E277" t="s">
        <v>1100</v>
      </c>
      <c r="F277" s="24" t="s">
        <v>41</v>
      </c>
      <c r="G277" s="17">
        <v>2</v>
      </c>
      <c r="H277" s="19">
        <v>65.07</v>
      </c>
      <c r="I277" t="s">
        <v>1101</v>
      </c>
      <c r="J277" s="24" t="s">
        <v>34</v>
      </c>
      <c r="K277" s="24" t="s">
        <v>35</v>
      </c>
      <c r="L277" t="s">
        <v>1102</v>
      </c>
      <c r="M277" s="17">
        <v>4</v>
      </c>
      <c r="N277" t="s">
        <v>21</v>
      </c>
      <c r="O277" s="24" t="s">
        <v>76</v>
      </c>
      <c r="P277" s="19">
        <v>130.14</v>
      </c>
      <c r="Q277" s="26" t="str">
        <f>IF(OR(P277&lt;'Descriptive Statistics'!$H$17,P277&gt;'Descriptive Statistics'!$H$18),"Potential Outlier","Within Range")</f>
        <v>Within Range</v>
      </c>
      <c r="R277" s="26" t="str">
        <f>IF(OR(G277&lt;'Descriptive Statistics'!$I$17,G277&gt;'Descriptive Statistics'!$I$18),"Potential Outlier","Within Range")</f>
        <v>Within Range</v>
      </c>
      <c r="S277" s="26" t="str">
        <f>IF(OR(H277&lt;'Descriptive Statistics'!$J$17,H277&gt;'Descriptive Statistics'!$J$18),"Potential Outlier","Within Range")</f>
        <v>Within Range</v>
      </c>
    </row>
    <row r="278" hidden="1" spans="1:19">
      <c r="A278" t="s">
        <v>1103</v>
      </c>
      <c r="B278" s="23">
        <v>45745</v>
      </c>
      <c r="C278" s="23" t="str">
        <f t="shared" si="8"/>
        <v>Mar</v>
      </c>
      <c r="D278" s="23" t="str">
        <f t="shared" si="9"/>
        <v>2025</v>
      </c>
      <c r="E278" t="s">
        <v>1104</v>
      </c>
      <c r="F278" s="24" t="s">
        <v>48</v>
      </c>
      <c r="G278" s="17">
        <v>2</v>
      </c>
      <c r="H278" s="19">
        <v>600.57</v>
      </c>
      <c r="I278" t="s">
        <v>1105</v>
      </c>
      <c r="J278" s="24" t="s">
        <v>18</v>
      </c>
      <c r="K278" s="24" t="s">
        <v>43</v>
      </c>
      <c r="L278" t="s">
        <v>1106</v>
      </c>
      <c r="M278" s="17">
        <v>3</v>
      </c>
      <c r="N278" t="s">
        <v>81</v>
      </c>
      <c r="O278" s="24" t="s">
        <v>22</v>
      </c>
      <c r="P278" s="19">
        <v>1201.14</v>
      </c>
      <c r="Q278" s="26" t="str">
        <f>IF(OR(P278&lt;'Descriptive Statistics'!$H$17,P278&gt;'Descriptive Statistics'!$H$18),"Potential Outlier","Within Range")</f>
        <v>Within Range</v>
      </c>
      <c r="R278" s="26" t="str">
        <f>IF(OR(G278&lt;'Descriptive Statistics'!$I$17,G278&gt;'Descriptive Statistics'!$I$18),"Potential Outlier","Within Range")</f>
        <v>Within Range</v>
      </c>
      <c r="S278" s="26" t="str">
        <f>IF(OR(H278&lt;'Descriptive Statistics'!$J$17,H278&gt;'Descriptive Statistics'!$J$18),"Potential Outlier","Within Range")</f>
        <v>Within Range</v>
      </c>
    </row>
    <row r="279" hidden="1" spans="1:19">
      <c r="A279" t="s">
        <v>1107</v>
      </c>
      <c r="B279" s="23">
        <v>45544</v>
      </c>
      <c r="C279" s="23" t="str">
        <f t="shared" si="8"/>
        <v>Sep</v>
      </c>
      <c r="D279" s="23" t="str">
        <f t="shared" si="9"/>
        <v>2024</v>
      </c>
      <c r="E279" t="s">
        <v>1108</v>
      </c>
      <c r="F279" s="24" t="s">
        <v>41</v>
      </c>
      <c r="G279" s="17">
        <v>5</v>
      </c>
      <c r="H279" s="19">
        <v>90.92</v>
      </c>
      <c r="I279" t="s">
        <v>1109</v>
      </c>
      <c r="J279" s="24" t="s">
        <v>34</v>
      </c>
      <c r="K279" s="24" t="s">
        <v>50</v>
      </c>
      <c r="L279" t="s">
        <v>1110</v>
      </c>
      <c r="M279" s="17">
        <v>9</v>
      </c>
      <c r="N279" t="s">
        <v>21</v>
      </c>
      <c r="O279" s="24" t="s">
        <v>45</v>
      </c>
      <c r="P279" s="19">
        <v>454.6</v>
      </c>
      <c r="Q279" s="26" t="str">
        <f>IF(OR(P279&lt;'Descriptive Statistics'!$H$17,P279&gt;'Descriptive Statistics'!$H$18),"Potential Outlier","Within Range")</f>
        <v>Within Range</v>
      </c>
      <c r="R279" s="26" t="str">
        <f>IF(OR(G279&lt;'Descriptive Statistics'!$I$17,G279&gt;'Descriptive Statistics'!$I$18),"Potential Outlier","Within Range")</f>
        <v>Within Range</v>
      </c>
      <c r="S279" s="26" t="str">
        <f>IF(OR(H279&lt;'Descriptive Statistics'!$J$17,H279&gt;'Descriptive Statistics'!$J$18),"Potential Outlier","Within Range")</f>
        <v>Within Range</v>
      </c>
    </row>
    <row r="280" hidden="1" spans="1:19">
      <c r="A280" t="s">
        <v>1111</v>
      </c>
      <c r="B280" s="23">
        <v>45614</v>
      </c>
      <c r="C280" s="23" t="str">
        <f t="shared" si="8"/>
        <v>Nov</v>
      </c>
      <c r="D280" s="23" t="str">
        <f t="shared" si="9"/>
        <v>2024</v>
      </c>
      <c r="E280" t="s">
        <v>1112</v>
      </c>
      <c r="F280" s="24" t="s">
        <v>58</v>
      </c>
      <c r="G280" s="17">
        <v>5</v>
      </c>
      <c r="H280" s="19">
        <v>362.46</v>
      </c>
      <c r="I280" t="s">
        <v>1113</v>
      </c>
      <c r="J280" s="24" t="s">
        <v>65</v>
      </c>
      <c r="K280" s="24" t="s">
        <v>50</v>
      </c>
      <c r="L280" t="s">
        <v>1114</v>
      </c>
      <c r="M280" s="17">
        <v>6</v>
      </c>
      <c r="N280" t="s">
        <v>37</v>
      </c>
      <c r="O280" s="24" t="s">
        <v>22</v>
      </c>
      <c r="P280" s="19">
        <v>1812.3</v>
      </c>
      <c r="Q280" s="26" t="str">
        <f>IF(OR(P280&lt;'Descriptive Statistics'!$H$17,P280&gt;'Descriptive Statistics'!$H$18),"Potential Outlier","Within Range")</f>
        <v>Within Range</v>
      </c>
      <c r="R280" s="26" t="str">
        <f>IF(OR(G280&lt;'Descriptive Statistics'!$I$17,G280&gt;'Descriptive Statistics'!$I$18),"Potential Outlier","Within Range")</f>
        <v>Within Range</v>
      </c>
      <c r="S280" s="26" t="str">
        <f>IF(OR(H280&lt;'Descriptive Statistics'!$J$17,H280&gt;'Descriptive Statistics'!$J$18),"Potential Outlier","Within Range")</f>
        <v>Within Range</v>
      </c>
    </row>
    <row r="281" hidden="1" spans="1:19">
      <c r="A281" t="s">
        <v>1115</v>
      </c>
      <c r="B281" s="23">
        <v>45219</v>
      </c>
      <c r="C281" s="23" t="str">
        <f t="shared" si="8"/>
        <v>Oct</v>
      </c>
      <c r="D281" s="23" t="str">
        <f t="shared" si="9"/>
        <v>2023</v>
      </c>
      <c r="E281" t="s">
        <v>1116</v>
      </c>
      <c r="F281" s="24" t="s">
        <v>41</v>
      </c>
      <c r="G281" s="17">
        <v>3</v>
      </c>
      <c r="H281" s="19">
        <v>55.01</v>
      </c>
      <c r="I281" t="s">
        <v>1117</v>
      </c>
      <c r="J281" s="24" t="s">
        <v>27</v>
      </c>
      <c r="K281" s="24" t="s">
        <v>89</v>
      </c>
      <c r="L281" t="s">
        <v>1118</v>
      </c>
      <c r="M281" s="17">
        <v>7</v>
      </c>
      <c r="N281" t="s">
        <v>81</v>
      </c>
      <c r="O281" s="24" t="s">
        <v>38</v>
      </c>
      <c r="P281" s="19">
        <v>165.03</v>
      </c>
      <c r="Q281" s="26" t="str">
        <f>IF(OR(P281&lt;'Descriptive Statistics'!$H$17,P281&gt;'Descriptive Statistics'!$H$18),"Potential Outlier","Within Range")</f>
        <v>Within Range</v>
      </c>
      <c r="R281" s="26" t="str">
        <f>IF(OR(G281&lt;'Descriptive Statistics'!$I$17,G281&gt;'Descriptive Statistics'!$I$18),"Potential Outlier","Within Range")</f>
        <v>Within Range</v>
      </c>
      <c r="S281" s="26" t="str">
        <f>IF(OR(H281&lt;'Descriptive Statistics'!$J$17,H281&gt;'Descriptive Statistics'!$J$18),"Potential Outlier","Within Range")</f>
        <v>Within Range</v>
      </c>
    </row>
    <row r="282" hidden="1" spans="1:19">
      <c r="A282" t="s">
        <v>1119</v>
      </c>
      <c r="B282" s="23">
        <v>45012</v>
      </c>
      <c r="C282" s="23" t="str">
        <f t="shared" si="8"/>
        <v>Mar</v>
      </c>
      <c r="D282" s="23" t="str">
        <f t="shared" si="9"/>
        <v>2023</v>
      </c>
      <c r="E282" t="s">
        <v>1120</v>
      </c>
      <c r="F282" s="24" t="s">
        <v>32</v>
      </c>
      <c r="G282" s="17">
        <v>3</v>
      </c>
      <c r="H282" s="19">
        <v>404.62</v>
      </c>
      <c r="I282" t="s">
        <v>1121</v>
      </c>
      <c r="J282" s="24" t="s">
        <v>60</v>
      </c>
      <c r="K282" s="24" t="s">
        <v>50</v>
      </c>
      <c r="L282" t="s">
        <v>1122</v>
      </c>
      <c r="M282" s="17">
        <v>6</v>
      </c>
      <c r="N282" t="s">
        <v>37</v>
      </c>
      <c r="O282" s="24" t="s">
        <v>22</v>
      </c>
      <c r="P282" s="19">
        <v>1213.86</v>
      </c>
      <c r="Q282" s="26" t="str">
        <f>IF(OR(P282&lt;'Descriptive Statistics'!$H$17,P282&gt;'Descriptive Statistics'!$H$18),"Potential Outlier","Within Range")</f>
        <v>Within Range</v>
      </c>
      <c r="R282" s="26" t="str">
        <f>IF(OR(G282&lt;'Descriptive Statistics'!$I$17,G282&gt;'Descriptive Statistics'!$I$18),"Potential Outlier","Within Range")</f>
        <v>Within Range</v>
      </c>
      <c r="S282" s="26" t="str">
        <f>IF(OR(H282&lt;'Descriptive Statistics'!$J$17,H282&gt;'Descriptive Statistics'!$J$18),"Potential Outlier","Within Range")</f>
        <v>Within Range</v>
      </c>
    </row>
    <row r="283" hidden="1" spans="1:19">
      <c r="A283" t="s">
        <v>1123</v>
      </c>
      <c r="B283" s="23">
        <v>45134</v>
      </c>
      <c r="C283" s="23" t="str">
        <f t="shared" si="8"/>
        <v>Jul</v>
      </c>
      <c r="D283" s="23" t="str">
        <f t="shared" si="9"/>
        <v>2023</v>
      </c>
      <c r="E283" t="s">
        <v>1124</v>
      </c>
      <c r="F283" s="24" t="s">
        <v>73</v>
      </c>
      <c r="G283" s="17">
        <v>4</v>
      </c>
      <c r="H283" s="19">
        <v>654.79</v>
      </c>
      <c r="I283" t="s">
        <v>1125</v>
      </c>
      <c r="J283" s="24" t="s">
        <v>65</v>
      </c>
      <c r="K283" s="24" t="s">
        <v>89</v>
      </c>
      <c r="L283" t="s">
        <v>1126</v>
      </c>
      <c r="M283" s="17">
        <v>9</v>
      </c>
      <c r="N283" t="s">
        <v>4295</v>
      </c>
      <c r="O283" s="24" t="s">
        <v>29</v>
      </c>
      <c r="P283" s="19">
        <v>2619.16</v>
      </c>
      <c r="Q283" s="26" t="str">
        <f>IF(OR(P283&lt;'Descriptive Statistics'!$H$17,P283&gt;'Descriptive Statistics'!$H$18),"Potential Outlier","Within Range")</f>
        <v>Within Range</v>
      </c>
      <c r="R283" s="26" t="str">
        <f>IF(OR(G283&lt;'Descriptive Statistics'!$I$17,G283&gt;'Descriptive Statistics'!$I$18),"Potential Outlier","Within Range")</f>
        <v>Within Range</v>
      </c>
      <c r="S283" s="26" t="str">
        <f>IF(OR(H283&lt;'Descriptive Statistics'!$J$17,H283&gt;'Descriptive Statistics'!$J$18),"Potential Outlier","Within Range")</f>
        <v>Within Range</v>
      </c>
    </row>
    <row r="284" hidden="1" spans="1:19">
      <c r="A284" t="s">
        <v>1127</v>
      </c>
      <c r="B284" s="23">
        <v>45769</v>
      </c>
      <c r="C284" s="23" t="str">
        <f t="shared" si="8"/>
        <v>Apr</v>
      </c>
      <c r="D284" s="23" t="str">
        <f t="shared" si="9"/>
        <v>2025</v>
      </c>
      <c r="E284" t="s">
        <v>1128</v>
      </c>
      <c r="F284" s="24" t="s">
        <v>48</v>
      </c>
      <c r="G284" s="17">
        <v>4</v>
      </c>
      <c r="H284" s="19">
        <v>637.79</v>
      </c>
      <c r="I284" t="s">
        <v>1129</v>
      </c>
      <c r="J284" s="24" t="s">
        <v>60</v>
      </c>
      <c r="K284" s="24" t="s">
        <v>35</v>
      </c>
      <c r="L284" t="s">
        <v>1130</v>
      </c>
      <c r="M284" s="17">
        <v>9</v>
      </c>
      <c r="N284" t="s">
        <v>37</v>
      </c>
      <c r="O284" s="24" t="s">
        <v>76</v>
      </c>
      <c r="P284" s="19">
        <v>2551.16</v>
      </c>
      <c r="Q284" s="26" t="str">
        <f>IF(OR(P284&lt;'Descriptive Statistics'!$H$17,P284&gt;'Descriptive Statistics'!$H$18),"Potential Outlier","Within Range")</f>
        <v>Within Range</v>
      </c>
      <c r="R284" s="26" t="str">
        <f>IF(OR(G284&lt;'Descriptive Statistics'!$I$17,G284&gt;'Descriptive Statistics'!$I$18),"Potential Outlier","Within Range")</f>
        <v>Within Range</v>
      </c>
      <c r="S284" s="26" t="str">
        <f>IF(OR(H284&lt;'Descriptive Statistics'!$J$17,H284&gt;'Descriptive Statistics'!$J$18),"Potential Outlier","Within Range")</f>
        <v>Within Range</v>
      </c>
    </row>
    <row r="285" hidden="1" spans="1:19">
      <c r="A285" t="s">
        <v>1131</v>
      </c>
      <c r="B285" s="23">
        <v>45716</v>
      </c>
      <c r="C285" s="23" t="str">
        <f t="shared" si="8"/>
        <v>Feb</v>
      </c>
      <c r="D285" s="23" t="str">
        <f t="shared" si="9"/>
        <v>2025</v>
      </c>
      <c r="E285" t="s">
        <v>1132</v>
      </c>
      <c r="F285" s="24" t="s">
        <v>58</v>
      </c>
      <c r="G285" s="17">
        <v>4</v>
      </c>
      <c r="H285" s="19">
        <v>540.33</v>
      </c>
      <c r="I285" t="s">
        <v>1133</v>
      </c>
      <c r="J285" s="24" t="s">
        <v>65</v>
      </c>
      <c r="K285" s="24" t="s">
        <v>19</v>
      </c>
      <c r="L285" t="s">
        <v>1134</v>
      </c>
      <c r="M285" s="17">
        <v>6</v>
      </c>
      <c r="N285" t="s">
        <v>4295</v>
      </c>
      <c r="O285" s="24" t="s">
        <v>76</v>
      </c>
      <c r="P285" s="19">
        <v>2161.32</v>
      </c>
      <c r="Q285" s="26" t="str">
        <f>IF(OR(P285&lt;'Descriptive Statistics'!$H$17,P285&gt;'Descriptive Statistics'!$H$18),"Potential Outlier","Within Range")</f>
        <v>Within Range</v>
      </c>
      <c r="R285" s="26" t="str">
        <f>IF(OR(G285&lt;'Descriptive Statistics'!$I$17,G285&gt;'Descriptive Statistics'!$I$18),"Potential Outlier","Within Range")</f>
        <v>Within Range</v>
      </c>
      <c r="S285" s="26" t="str">
        <f>IF(OR(H285&lt;'Descriptive Statistics'!$J$17,H285&gt;'Descriptive Statistics'!$J$18),"Potential Outlier","Within Range")</f>
        <v>Within Range</v>
      </c>
    </row>
    <row r="286" hidden="1" spans="1:19">
      <c r="A286" t="s">
        <v>1135</v>
      </c>
      <c r="B286" s="23">
        <v>44973</v>
      </c>
      <c r="C286" s="23" t="str">
        <f t="shared" si="8"/>
        <v>Feb</v>
      </c>
      <c r="D286" s="23" t="str">
        <f t="shared" si="9"/>
        <v>2023</v>
      </c>
      <c r="E286" t="s">
        <v>1136</v>
      </c>
      <c r="F286" s="24" t="s">
        <v>58</v>
      </c>
      <c r="G286" s="17">
        <v>5</v>
      </c>
      <c r="H286" s="19">
        <v>208.17</v>
      </c>
      <c r="I286" t="s">
        <v>1137</v>
      </c>
      <c r="J286" s="24" t="s">
        <v>34</v>
      </c>
      <c r="K286" s="24" t="s">
        <v>43</v>
      </c>
      <c r="L286" t="s">
        <v>1138</v>
      </c>
      <c r="M286" s="17">
        <v>6</v>
      </c>
      <c r="N286" t="s">
        <v>21</v>
      </c>
      <c r="O286" s="24" t="s">
        <v>45</v>
      </c>
      <c r="P286" s="19">
        <v>1040.85</v>
      </c>
      <c r="Q286" s="26" t="str">
        <f>IF(OR(P286&lt;'Descriptive Statistics'!$H$17,P286&gt;'Descriptive Statistics'!$H$18),"Potential Outlier","Within Range")</f>
        <v>Within Range</v>
      </c>
      <c r="R286" s="26" t="str">
        <f>IF(OR(G286&lt;'Descriptive Statistics'!$I$17,G286&gt;'Descriptive Statistics'!$I$18),"Potential Outlier","Within Range")</f>
        <v>Within Range</v>
      </c>
      <c r="S286" s="26" t="str">
        <f>IF(OR(H286&lt;'Descriptive Statistics'!$J$17,H286&gt;'Descriptive Statistics'!$J$18),"Potential Outlier","Within Range")</f>
        <v>Within Range</v>
      </c>
    </row>
    <row r="287" hidden="1" spans="1:19">
      <c r="A287" t="s">
        <v>1139</v>
      </c>
      <c r="B287" s="23">
        <v>45818</v>
      </c>
      <c r="C287" s="23" t="str">
        <f t="shared" si="8"/>
        <v>Jun</v>
      </c>
      <c r="D287" s="23" t="str">
        <f t="shared" si="9"/>
        <v>2025</v>
      </c>
      <c r="E287" t="s">
        <v>1140</v>
      </c>
      <c r="F287" s="24" t="s">
        <v>25</v>
      </c>
      <c r="G287" s="17">
        <v>1</v>
      </c>
      <c r="H287" s="19">
        <v>338.31</v>
      </c>
      <c r="I287" t="s">
        <v>1093</v>
      </c>
      <c r="J287" s="24" t="s">
        <v>27</v>
      </c>
      <c r="K287" s="24" t="s">
        <v>50</v>
      </c>
      <c r="L287" t="s">
        <v>1141</v>
      </c>
      <c r="M287" s="17">
        <v>3</v>
      </c>
      <c r="N287" t="s">
        <v>4295</v>
      </c>
      <c r="O287" s="24" t="s">
        <v>76</v>
      </c>
      <c r="P287" s="19">
        <v>338.31</v>
      </c>
      <c r="Q287" s="26" t="str">
        <f>IF(OR(P287&lt;'Descriptive Statistics'!$H$17,P287&gt;'Descriptive Statistics'!$H$18),"Potential Outlier","Within Range")</f>
        <v>Within Range</v>
      </c>
      <c r="R287" s="26" t="str">
        <f>IF(OR(G287&lt;'Descriptive Statistics'!$I$17,G287&gt;'Descriptive Statistics'!$I$18),"Potential Outlier","Within Range")</f>
        <v>Within Range</v>
      </c>
      <c r="S287" s="26" t="str">
        <f>IF(OR(H287&lt;'Descriptive Statistics'!$J$17,H287&gt;'Descriptive Statistics'!$J$18),"Potential Outlier","Within Range")</f>
        <v>Within Range</v>
      </c>
    </row>
    <row r="288" hidden="1" spans="1:19">
      <c r="A288" t="s">
        <v>1142</v>
      </c>
      <c r="B288" s="23">
        <v>45754</v>
      </c>
      <c r="C288" s="23" t="str">
        <f t="shared" si="8"/>
        <v>Apr</v>
      </c>
      <c r="D288" s="23" t="str">
        <f t="shared" si="9"/>
        <v>2025</v>
      </c>
      <c r="E288" t="s">
        <v>1143</v>
      </c>
      <c r="F288" s="24" t="s">
        <v>16</v>
      </c>
      <c r="G288" s="17">
        <v>3</v>
      </c>
      <c r="H288" s="19">
        <v>139.45</v>
      </c>
      <c r="I288" t="s">
        <v>510</v>
      </c>
      <c r="J288" s="24" t="s">
        <v>60</v>
      </c>
      <c r="K288" s="24" t="s">
        <v>43</v>
      </c>
      <c r="L288" t="s">
        <v>1144</v>
      </c>
      <c r="M288" s="17">
        <v>8</v>
      </c>
      <c r="N288" t="s">
        <v>81</v>
      </c>
      <c r="O288" s="24" t="s">
        <v>76</v>
      </c>
      <c r="P288" s="19">
        <v>418.35</v>
      </c>
      <c r="Q288" s="26" t="str">
        <f>IF(OR(P288&lt;'Descriptive Statistics'!$H$17,P288&gt;'Descriptive Statistics'!$H$18),"Potential Outlier","Within Range")</f>
        <v>Within Range</v>
      </c>
      <c r="R288" s="26" t="str">
        <f>IF(OR(G288&lt;'Descriptive Statistics'!$I$17,G288&gt;'Descriptive Statistics'!$I$18),"Potential Outlier","Within Range")</f>
        <v>Within Range</v>
      </c>
      <c r="S288" s="26" t="str">
        <f>IF(OR(H288&lt;'Descriptive Statistics'!$J$17,H288&gt;'Descriptive Statistics'!$J$18),"Potential Outlier","Within Range")</f>
        <v>Within Range</v>
      </c>
    </row>
    <row r="289" hidden="1" spans="1:19">
      <c r="A289" t="s">
        <v>1145</v>
      </c>
      <c r="B289" s="23">
        <v>45254</v>
      </c>
      <c r="C289" s="23" t="str">
        <f t="shared" si="8"/>
        <v>Nov</v>
      </c>
      <c r="D289" s="23" t="str">
        <f t="shared" si="9"/>
        <v>2023</v>
      </c>
      <c r="E289" t="s">
        <v>1146</v>
      </c>
      <c r="F289" s="24" t="s">
        <v>41</v>
      </c>
      <c r="G289" s="17">
        <v>4</v>
      </c>
      <c r="H289" s="19">
        <v>655.18</v>
      </c>
      <c r="I289" t="s">
        <v>1147</v>
      </c>
      <c r="J289" s="24" t="s">
        <v>27</v>
      </c>
      <c r="K289" s="24" t="s">
        <v>19</v>
      </c>
      <c r="L289" t="s">
        <v>1148</v>
      </c>
      <c r="M289" s="17">
        <v>5</v>
      </c>
      <c r="N289" t="s">
        <v>4295</v>
      </c>
      <c r="O289" s="24" t="s">
        <v>45</v>
      </c>
      <c r="P289" s="19">
        <v>2620.72</v>
      </c>
      <c r="Q289" s="26" t="str">
        <f>IF(OR(P289&lt;'Descriptive Statistics'!$H$17,P289&gt;'Descriptive Statistics'!$H$18),"Potential Outlier","Within Range")</f>
        <v>Within Range</v>
      </c>
      <c r="R289" s="26" t="str">
        <f>IF(OR(G289&lt;'Descriptive Statistics'!$I$17,G289&gt;'Descriptive Statistics'!$I$18),"Potential Outlier","Within Range")</f>
        <v>Within Range</v>
      </c>
      <c r="S289" s="26" t="str">
        <f>IF(OR(H289&lt;'Descriptive Statistics'!$J$17,H289&gt;'Descriptive Statistics'!$J$18),"Potential Outlier","Within Range")</f>
        <v>Within Range</v>
      </c>
    </row>
    <row r="290" hidden="1" spans="1:19">
      <c r="A290" t="s">
        <v>1149</v>
      </c>
      <c r="B290" s="23">
        <v>44997</v>
      </c>
      <c r="C290" s="23" t="str">
        <f t="shared" si="8"/>
        <v>Mar</v>
      </c>
      <c r="D290" s="23" t="str">
        <f t="shared" si="9"/>
        <v>2023</v>
      </c>
      <c r="E290" t="s">
        <v>1150</v>
      </c>
      <c r="F290" s="24" t="s">
        <v>58</v>
      </c>
      <c r="G290" s="17">
        <v>4</v>
      </c>
      <c r="H290" s="19">
        <v>512.75</v>
      </c>
      <c r="I290" t="s">
        <v>1151</v>
      </c>
      <c r="J290" s="24" t="s">
        <v>18</v>
      </c>
      <c r="K290" s="24" t="s">
        <v>43</v>
      </c>
      <c r="L290" t="s">
        <v>1152</v>
      </c>
      <c r="M290" s="17">
        <v>8</v>
      </c>
      <c r="N290" t="s">
        <v>81</v>
      </c>
      <c r="O290" s="24" t="s">
        <v>76</v>
      </c>
      <c r="P290" s="19">
        <v>2051</v>
      </c>
      <c r="Q290" s="26" t="str">
        <f>IF(OR(P290&lt;'Descriptive Statistics'!$H$17,P290&gt;'Descriptive Statistics'!$H$18),"Potential Outlier","Within Range")</f>
        <v>Within Range</v>
      </c>
      <c r="R290" s="26" t="str">
        <f>IF(OR(G290&lt;'Descriptive Statistics'!$I$17,G290&gt;'Descriptive Statistics'!$I$18),"Potential Outlier","Within Range")</f>
        <v>Within Range</v>
      </c>
      <c r="S290" s="26" t="str">
        <f>IF(OR(H290&lt;'Descriptive Statistics'!$J$17,H290&gt;'Descriptive Statistics'!$J$18),"Potential Outlier","Within Range")</f>
        <v>Within Range</v>
      </c>
    </row>
    <row r="291" hidden="1" spans="1:19">
      <c r="A291" t="s">
        <v>1153</v>
      </c>
      <c r="B291" s="23">
        <v>45133</v>
      </c>
      <c r="C291" s="23" t="str">
        <f t="shared" si="8"/>
        <v>Jul</v>
      </c>
      <c r="D291" s="23" t="str">
        <f t="shared" si="9"/>
        <v>2023</v>
      </c>
      <c r="E291" t="s">
        <v>1154</v>
      </c>
      <c r="F291" s="24" t="s">
        <v>41</v>
      </c>
      <c r="G291" s="17">
        <v>4</v>
      </c>
      <c r="H291" s="19">
        <v>160.49</v>
      </c>
      <c r="I291" t="s">
        <v>79</v>
      </c>
      <c r="J291" s="24" t="s">
        <v>34</v>
      </c>
      <c r="K291" s="24" t="s">
        <v>19</v>
      </c>
      <c r="L291" t="s">
        <v>1155</v>
      </c>
      <c r="M291" s="17">
        <v>8</v>
      </c>
      <c r="N291" t="s">
        <v>81</v>
      </c>
      <c r="O291" s="24" t="s">
        <v>29</v>
      </c>
      <c r="P291" s="19">
        <v>641.96</v>
      </c>
      <c r="Q291" s="26" t="str">
        <f>IF(OR(P291&lt;'Descriptive Statistics'!$H$17,P291&gt;'Descriptive Statistics'!$H$18),"Potential Outlier","Within Range")</f>
        <v>Within Range</v>
      </c>
      <c r="R291" s="26" t="str">
        <f>IF(OR(G291&lt;'Descriptive Statistics'!$I$17,G291&gt;'Descriptive Statistics'!$I$18),"Potential Outlier","Within Range")</f>
        <v>Within Range</v>
      </c>
      <c r="S291" s="26" t="str">
        <f>IF(OR(H291&lt;'Descriptive Statistics'!$J$17,H291&gt;'Descriptive Statistics'!$J$18),"Potential Outlier","Within Range")</f>
        <v>Within Range</v>
      </c>
    </row>
    <row r="292" hidden="1" spans="1:19">
      <c r="A292" t="s">
        <v>1156</v>
      </c>
      <c r="B292" s="23">
        <v>45051</v>
      </c>
      <c r="C292" s="23" t="str">
        <f t="shared" si="8"/>
        <v>May</v>
      </c>
      <c r="D292" s="23" t="str">
        <f t="shared" si="9"/>
        <v>2023</v>
      </c>
      <c r="E292" t="s">
        <v>1157</v>
      </c>
      <c r="F292" s="24" t="s">
        <v>41</v>
      </c>
      <c r="G292" s="17">
        <v>3</v>
      </c>
      <c r="H292" s="19">
        <v>99.9</v>
      </c>
      <c r="I292" t="s">
        <v>755</v>
      </c>
      <c r="J292" s="24" t="s">
        <v>65</v>
      </c>
      <c r="K292" s="24" t="s">
        <v>50</v>
      </c>
      <c r="L292" t="s">
        <v>1158</v>
      </c>
      <c r="M292" s="17">
        <v>8</v>
      </c>
      <c r="N292" t="s">
        <v>37</v>
      </c>
      <c r="O292" s="24" t="s">
        <v>45</v>
      </c>
      <c r="P292" s="19">
        <v>299.7</v>
      </c>
      <c r="Q292" s="26" t="str">
        <f>IF(OR(P292&lt;'Descriptive Statistics'!$H$17,P292&gt;'Descriptive Statistics'!$H$18),"Potential Outlier","Within Range")</f>
        <v>Within Range</v>
      </c>
      <c r="R292" s="26" t="str">
        <f>IF(OR(G292&lt;'Descriptive Statistics'!$I$17,G292&gt;'Descriptive Statistics'!$I$18),"Potential Outlier","Within Range")</f>
        <v>Within Range</v>
      </c>
      <c r="S292" s="26" t="str">
        <f>IF(OR(H292&lt;'Descriptive Statistics'!$J$17,H292&gt;'Descriptive Statistics'!$J$18),"Potential Outlier","Within Range")</f>
        <v>Within Range</v>
      </c>
    </row>
    <row r="293" hidden="1" spans="1:19">
      <c r="A293" t="s">
        <v>1159</v>
      </c>
      <c r="B293" s="23">
        <v>45424</v>
      </c>
      <c r="C293" s="23" t="str">
        <f t="shared" si="8"/>
        <v>May</v>
      </c>
      <c r="D293" s="23" t="str">
        <f t="shared" si="9"/>
        <v>2024</v>
      </c>
      <c r="E293" t="s">
        <v>1160</v>
      </c>
      <c r="F293" s="24" t="s">
        <v>25</v>
      </c>
      <c r="G293" s="17">
        <v>2</v>
      </c>
      <c r="H293" s="19">
        <v>345.01</v>
      </c>
      <c r="I293" t="s">
        <v>1161</v>
      </c>
      <c r="J293" s="24" t="s">
        <v>34</v>
      </c>
      <c r="K293" s="24" t="s">
        <v>50</v>
      </c>
      <c r="L293" t="s">
        <v>1162</v>
      </c>
      <c r="M293" s="17">
        <v>6</v>
      </c>
      <c r="N293" t="s">
        <v>37</v>
      </c>
      <c r="O293" s="24" t="s">
        <v>76</v>
      </c>
      <c r="P293" s="19">
        <v>690.02</v>
      </c>
      <c r="Q293" s="26" t="str">
        <f>IF(OR(P293&lt;'Descriptive Statistics'!$H$17,P293&gt;'Descriptive Statistics'!$H$18),"Potential Outlier","Within Range")</f>
        <v>Within Range</v>
      </c>
      <c r="R293" s="26" t="str">
        <f>IF(OR(G293&lt;'Descriptive Statistics'!$I$17,G293&gt;'Descriptive Statistics'!$I$18),"Potential Outlier","Within Range")</f>
        <v>Within Range</v>
      </c>
      <c r="S293" s="26" t="str">
        <f>IF(OR(H293&lt;'Descriptive Statistics'!$J$17,H293&gt;'Descriptive Statistics'!$J$18),"Potential Outlier","Within Range")</f>
        <v>Within Range</v>
      </c>
    </row>
    <row r="294" hidden="1" spans="1:19">
      <c r="A294" t="s">
        <v>1163</v>
      </c>
      <c r="B294" s="23">
        <v>45672</v>
      </c>
      <c r="C294" s="23" t="str">
        <f t="shared" si="8"/>
        <v>Jan</v>
      </c>
      <c r="D294" s="23" t="str">
        <f t="shared" si="9"/>
        <v>2025</v>
      </c>
      <c r="E294" t="s">
        <v>1164</v>
      </c>
      <c r="F294" s="24" t="s">
        <v>16</v>
      </c>
      <c r="G294" s="17">
        <v>1</v>
      </c>
      <c r="H294" s="19">
        <v>65.95</v>
      </c>
      <c r="I294" t="s">
        <v>858</v>
      </c>
      <c r="J294" s="24" t="s">
        <v>34</v>
      </c>
      <c r="K294" s="24" t="s">
        <v>50</v>
      </c>
      <c r="L294" t="s">
        <v>1165</v>
      </c>
      <c r="M294" s="17">
        <v>5</v>
      </c>
      <c r="N294" t="s">
        <v>4295</v>
      </c>
      <c r="O294" s="24" t="s">
        <v>45</v>
      </c>
      <c r="P294" s="19">
        <v>65.95</v>
      </c>
      <c r="Q294" s="26" t="str">
        <f>IF(OR(P294&lt;'Descriptive Statistics'!$H$17,P294&gt;'Descriptive Statistics'!$H$18),"Potential Outlier","Within Range")</f>
        <v>Within Range</v>
      </c>
      <c r="R294" s="26" t="str">
        <f>IF(OR(G294&lt;'Descriptive Statistics'!$I$17,G294&gt;'Descriptive Statistics'!$I$18),"Potential Outlier","Within Range")</f>
        <v>Within Range</v>
      </c>
      <c r="S294" s="26" t="str">
        <f>IF(OR(H294&lt;'Descriptive Statistics'!$J$17,H294&gt;'Descriptive Statistics'!$J$18),"Potential Outlier","Within Range")</f>
        <v>Within Range</v>
      </c>
    </row>
    <row r="295" hidden="1" spans="1:19">
      <c r="A295" t="s">
        <v>1166</v>
      </c>
      <c r="B295" s="23">
        <v>44973</v>
      </c>
      <c r="C295" s="23" t="str">
        <f t="shared" si="8"/>
        <v>Feb</v>
      </c>
      <c r="D295" s="23" t="str">
        <f t="shared" si="9"/>
        <v>2023</v>
      </c>
      <c r="E295" t="s">
        <v>1167</v>
      </c>
      <c r="F295" s="24" t="s">
        <v>32</v>
      </c>
      <c r="G295" s="17">
        <v>4</v>
      </c>
      <c r="H295" s="19">
        <v>463.04</v>
      </c>
      <c r="I295" t="s">
        <v>1168</v>
      </c>
      <c r="J295" s="24" t="s">
        <v>60</v>
      </c>
      <c r="K295" s="24" t="s">
        <v>43</v>
      </c>
      <c r="L295" t="s">
        <v>1169</v>
      </c>
      <c r="M295" s="17">
        <v>9</v>
      </c>
      <c r="N295" t="s">
        <v>4295</v>
      </c>
      <c r="O295" s="24" t="s">
        <v>22</v>
      </c>
      <c r="P295" s="19">
        <v>1852.16</v>
      </c>
      <c r="Q295" s="26" t="str">
        <f>IF(OR(P295&lt;'Descriptive Statistics'!$H$17,P295&gt;'Descriptive Statistics'!$H$18),"Potential Outlier","Within Range")</f>
        <v>Within Range</v>
      </c>
      <c r="R295" s="26" t="str">
        <f>IF(OR(G295&lt;'Descriptive Statistics'!$I$17,G295&gt;'Descriptive Statistics'!$I$18),"Potential Outlier","Within Range")</f>
        <v>Within Range</v>
      </c>
      <c r="S295" s="26" t="str">
        <f>IF(OR(H295&lt;'Descriptive Statistics'!$J$17,H295&gt;'Descriptive Statistics'!$J$18),"Potential Outlier","Within Range")</f>
        <v>Within Range</v>
      </c>
    </row>
    <row r="296" hidden="1" spans="1:19">
      <c r="A296" t="s">
        <v>1170</v>
      </c>
      <c r="B296" s="23">
        <v>45748</v>
      </c>
      <c r="C296" s="23" t="str">
        <f t="shared" si="8"/>
        <v>Apr</v>
      </c>
      <c r="D296" s="23" t="str">
        <f t="shared" si="9"/>
        <v>2025</v>
      </c>
      <c r="E296" t="s">
        <v>1171</v>
      </c>
      <c r="F296" s="24" t="s">
        <v>25</v>
      </c>
      <c r="G296" s="17">
        <v>2</v>
      </c>
      <c r="H296" s="19">
        <v>297.71</v>
      </c>
      <c r="I296" t="s">
        <v>1172</v>
      </c>
      <c r="J296" s="24" t="s">
        <v>27</v>
      </c>
      <c r="K296" s="24" t="s">
        <v>19</v>
      </c>
      <c r="L296" t="s">
        <v>1173</v>
      </c>
      <c r="M296" s="17">
        <v>7</v>
      </c>
      <c r="N296" t="s">
        <v>21</v>
      </c>
      <c r="O296" s="24" t="s">
        <v>29</v>
      </c>
      <c r="P296" s="19">
        <v>595.42</v>
      </c>
      <c r="Q296" s="26" t="str">
        <f>IF(OR(P296&lt;'Descriptive Statistics'!$H$17,P296&gt;'Descriptive Statistics'!$H$18),"Potential Outlier","Within Range")</f>
        <v>Within Range</v>
      </c>
      <c r="R296" s="26" t="str">
        <f>IF(OR(G296&lt;'Descriptive Statistics'!$I$17,G296&gt;'Descriptive Statistics'!$I$18),"Potential Outlier","Within Range")</f>
        <v>Within Range</v>
      </c>
      <c r="S296" s="26" t="str">
        <f>IF(OR(H296&lt;'Descriptive Statistics'!$J$17,H296&gt;'Descriptive Statistics'!$J$18),"Potential Outlier","Within Range")</f>
        <v>Within Range</v>
      </c>
    </row>
    <row r="297" hidden="1" spans="1:19">
      <c r="A297" t="s">
        <v>1174</v>
      </c>
      <c r="B297" s="23">
        <v>44951</v>
      </c>
      <c r="C297" s="23" t="str">
        <f t="shared" si="8"/>
        <v>Jan</v>
      </c>
      <c r="D297" s="23" t="str">
        <f t="shared" si="9"/>
        <v>2023</v>
      </c>
      <c r="E297" t="s">
        <v>1175</v>
      </c>
      <c r="F297" s="24" t="s">
        <v>48</v>
      </c>
      <c r="G297" s="17">
        <v>5</v>
      </c>
      <c r="H297" s="19">
        <v>107.48</v>
      </c>
      <c r="I297" t="s">
        <v>1176</v>
      </c>
      <c r="J297" s="24" t="s">
        <v>18</v>
      </c>
      <c r="K297" s="24" t="s">
        <v>35</v>
      </c>
      <c r="L297" t="s">
        <v>1177</v>
      </c>
      <c r="M297" s="17">
        <v>9</v>
      </c>
      <c r="N297" t="s">
        <v>37</v>
      </c>
      <c r="O297" s="24" t="s">
        <v>38</v>
      </c>
      <c r="P297" s="19">
        <v>537.4</v>
      </c>
      <c r="Q297" s="26" t="str">
        <f>IF(OR(P297&lt;'Descriptive Statistics'!$H$17,P297&gt;'Descriptive Statistics'!$H$18),"Potential Outlier","Within Range")</f>
        <v>Within Range</v>
      </c>
      <c r="R297" s="26" t="str">
        <f>IF(OR(G297&lt;'Descriptive Statistics'!$I$17,G297&gt;'Descriptive Statistics'!$I$18),"Potential Outlier","Within Range")</f>
        <v>Within Range</v>
      </c>
      <c r="S297" s="26" t="str">
        <f>IF(OR(H297&lt;'Descriptive Statistics'!$J$17,H297&gt;'Descriptive Statistics'!$J$18),"Potential Outlier","Within Range")</f>
        <v>Within Range</v>
      </c>
    </row>
    <row r="298" hidden="1" spans="1:19">
      <c r="A298" t="s">
        <v>1178</v>
      </c>
      <c r="B298" s="23">
        <v>45462</v>
      </c>
      <c r="C298" s="23" t="str">
        <f t="shared" si="8"/>
        <v>Jun</v>
      </c>
      <c r="D298" s="23" t="str">
        <f t="shared" si="9"/>
        <v>2024</v>
      </c>
      <c r="E298" t="s">
        <v>1179</v>
      </c>
      <c r="F298" s="24" t="s">
        <v>73</v>
      </c>
      <c r="G298" s="17">
        <v>5</v>
      </c>
      <c r="H298" s="19">
        <v>638.8</v>
      </c>
      <c r="I298" t="s">
        <v>242</v>
      </c>
      <c r="J298" s="24" t="s">
        <v>18</v>
      </c>
      <c r="K298" s="24" t="s">
        <v>35</v>
      </c>
      <c r="L298" t="s">
        <v>1180</v>
      </c>
      <c r="M298" s="17">
        <v>10</v>
      </c>
      <c r="N298" t="s">
        <v>81</v>
      </c>
      <c r="O298" s="24" t="s">
        <v>29</v>
      </c>
      <c r="P298" s="19">
        <v>3194</v>
      </c>
      <c r="Q298" s="26" t="str">
        <f>IF(OR(P298&lt;'Descriptive Statistics'!$H$17,P298&gt;'Descriptive Statistics'!$H$18),"Potential Outlier","Within Range")</f>
        <v>Within Range</v>
      </c>
      <c r="R298" s="26" t="str">
        <f>IF(OR(G298&lt;'Descriptive Statistics'!$I$17,G298&gt;'Descriptive Statistics'!$I$18),"Potential Outlier","Within Range")</f>
        <v>Within Range</v>
      </c>
      <c r="S298" s="26" t="str">
        <f>IF(OR(H298&lt;'Descriptive Statistics'!$J$17,H298&gt;'Descriptive Statistics'!$J$18),"Potential Outlier","Within Range")</f>
        <v>Within Range</v>
      </c>
    </row>
    <row r="299" hidden="1" spans="1:19">
      <c r="A299" t="s">
        <v>1181</v>
      </c>
      <c r="B299" s="23">
        <v>44979</v>
      </c>
      <c r="C299" s="23" t="str">
        <f t="shared" si="8"/>
        <v>Feb</v>
      </c>
      <c r="D299" s="23" t="str">
        <f t="shared" si="9"/>
        <v>2023</v>
      </c>
      <c r="E299" t="s">
        <v>1182</v>
      </c>
      <c r="F299" s="24" t="s">
        <v>73</v>
      </c>
      <c r="G299" s="17">
        <v>2</v>
      </c>
      <c r="H299" s="19">
        <v>493.88</v>
      </c>
      <c r="I299" t="s">
        <v>1183</v>
      </c>
      <c r="J299" s="24" t="s">
        <v>34</v>
      </c>
      <c r="K299" s="24" t="s">
        <v>43</v>
      </c>
      <c r="L299" t="s">
        <v>1184</v>
      </c>
      <c r="M299" s="17">
        <v>7</v>
      </c>
      <c r="N299" t="s">
        <v>21</v>
      </c>
      <c r="O299" s="24" t="s">
        <v>22</v>
      </c>
      <c r="P299" s="19">
        <v>987.76</v>
      </c>
      <c r="Q299" s="26" t="str">
        <f>IF(OR(P299&lt;'Descriptive Statistics'!$H$17,P299&gt;'Descriptive Statistics'!$H$18),"Potential Outlier","Within Range")</f>
        <v>Within Range</v>
      </c>
      <c r="R299" s="26" t="str">
        <f>IF(OR(G299&lt;'Descriptive Statistics'!$I$17,G299&gt;'Descriptive Statistics'!$I$18),"Potential Outlier","Within Range")</f>
        <v>Within Range</v>
      </c>
      <c r="S299" s="26" t="str">
        <f>IF(OR(H299&lt;'Descriptive Statistics'!$J$17,H299&gt;'Descriptive Statistics'!$J$18),"Potential Outlier","Within Range")</f>
        <v>Within Range</v>
      </c>
    </row>
    <row r="300" hidden="1" spans="1:19">
      <c r="A300" t="s">
        <v>1185</v>
      </c>
      <c r="B300" s="23">
        <v>45279</v>
      </c>
      <c r="C300" s="23" t="str">
        <f t="shared" si="8"/>
        <v>Dec</v>
      </c>
      <c r="D300" s="23" t="str">
        <f t="shared" si="9"/>
        <v>2023</v>
      </c>
      <c r="E300" t="s">
        <v>1186</v>
      </c>
      <c r="F300" s="24" t="s">
        <v>48</v>
      </c>
      <c r="G300" s="17">
        <v>4</v>
      </c>
      <c r="H300" s="19">
        <v>301.17</v>
      </c>
      <c r="I300" t="s">
        <v>201</v>
      </c>
      <c r="J300" s="24" t="s">
        <v>27</v>
      </c>
      <c r="K300" s="24" t="s">
        <v>35</v>
      </c>
      <c r="L300" t="s">
        <v>1187</v>
      </c>
      <c r="M300" s="17">
        <v>6</v>
      </c>
      <c r="N300" t="s">
        <v>4295</v>
      </c>
      <c r="O300" s="24" t="s">
        <v>38</v>
      </c>
      <c r="P300" s="19">
        <v>1204.68</v>
      </c>
      <c r="Q300" s="26" t="str">
        <f>IF(OR(P300&lt;'Descriptive Statistics'!$H$17,P300&gt;'Descriptive Statistics'!$H$18),"Potential Outlier","Within Range")</f>
        <v>Within Range</v>
      </c>
      <c r="R300" s="26" t="str">
        <f>IF(OR(G300&lt;'Descriptive Statistics'!$I$17,G300&gt;'Descriptive Statistics'!$I$18),"Potential Outlier","Within Range")</f>
        <v>Within Range</v>
      </c>
      <c r="S300" s="26" t="str">
        <f>IF(OR(H300&lt;'Descriptive Statistics'!$J$17,H300&gt;'Descriptive Statistics'!$J$18),"Potential Outlier","Within Range")</f>
        <v>Within Range</v>
      </c>
    </row>
    <row r="301" hidden="1" spans="1:19">
      <c r="A301" t="s">
        <v>1188</v>
      </c>
      <c r="B301" s="23">
        <v>45311</v>
      </c>
      <c r="C301" s="23" t="str">
        <f t="shared" si="8"/>
        <v>Jan</v>
      </c>
      <c r="D301" s="23" t="str">
        <f t="shared" si="9"/>
        <v>2024</v>
      </c>
      <c r="E301" t="s">
        <v>1189</v>
      </c>
      <c r="F301" s="24" t="s">
        <v>16</v>
      </c>
      <c r="G301" s="17">
        <v>1</v>
      </c>
      <c r="H301" s="19">
        <v>278.66</v>
      </c>
      <c r="I301" t="s">
        <v>1190</v>
      </c>
      <c r="J301" s="24" t="s">
        <v>60</v>
      </c>
      <c r="K301" s="24" t="s">
        <v>35</v>
      </c>
      <c r="L301" t="s">
        <v>1191</v>
      </c>
      <c r="M301" s="17">
        <v>2</v>
      </c>
      <c r="N301" t="s">
        <v>37</v>
      </c>
      <c r="O301" s="24" t="s">
        <v>22</v>
      </c>
      <c r="P301" s="19">
        <v>278.66</v>
      </c>
      <c r="Q301" s="26" t="str">
        <f>IF(OR(P301&lt;'Descriptive Statistics'!$H$17,P301&gt;'Descriptive Statistics'!$H$18),"Potential Outlier","Within Range")</f>
        <v>Within Range</v>
      </c>
      <c r="R301" s="26" t="str">
        <f>IF(OR(G301&lt;'Descriptive Statistics'!$I$17,G301&gt;'Descriptive Statistics'!$I$18),"Potential Outlier","Within Range")</f>
        <v>Within Range</v>
      </c>
      <c r="S301" s="26" t="str">
        <f>IF(OR(H301&lt;'Descriptive Statistics'!$J$17,H301&gt;'Descriptive Statistics'!$J$18),"Potential Outlier","Within Range")</f>
        <v>Within Range</v>
      </c>
    </row>
    <row r="302" hidden="1" spans="1:19">
      <c r="A302" t="s">
        <v>1192</v>
      </c>
      <c r="B302" s="23">
        <v>45537</v>
      </c>
      <c r="C302" s="23" t="str">
        <f t="shared" si="8"/>
        <v>Sep</v>
      </c>
      <c r="D302" s="23" t="str">
        <f t="shared" si="9"/>
        <v>2024</v>
      </c>
      <c r="E302" t="s">
        <v>1193</v>
      </c>
      <c r="F302" s="24" t="s">
        <v>25</v>
      </c>
      <c r="G302" s="17">
        <v>1</v>
      </c>
      <c r="H302" s="19">
        <v>287.46</v>
      </c>
      <c r="I302" t="s">
        <v>1194</v>
      </c>
      <c r="J302" s="24" t="s">
        <v>18</v>
      </c>
      <c r="K302" s="24" t="s">
        <v>43</v>
      </c>
      <c r="L302" t="s">
        <v>1195</v>
      </c>
      <c r="M302" s="17">
        <v>3</v>
      </c>
      <c r="N302" t="s">
        <v>37</v>
      </c>
      <c r="O302" s="24" t="s">
        <v>45</v>
      </c>
      <c r="P302" s="19">
        <v>287.46</v>
      </c>
      <c r="Q302" s="26" t="str">
        <f>IF(OR(P302&lt;'Descriptive Statistics'!$H$17,P302&gt;'Descriptive Statistics'!$H$18),"Potential Outlier","Within Range")</f>
        <v>Within Range</v>
      </c>
      <c r="R302" s="26" t="str">
        <f>IF(OR(G302&lt;'Descriptive Statistics'!$I$17,G302&gt;'Descriptive Statistics'!$I$18),"Potential Outlier","Within Range")</f>
        <v>Within Range</v>
      </c>
      <c r="S302" s="26" t="str">
        <f>IF(OR(H302&lt;'Descriptive Statistics'!$J$17,H302&gt;'Descriptive Statistics'!$J$18),"Potential Outlier","Within Range")</f>
        <v>Within Range</v>
      </c>
    </row>
    <row r="303" hidden="1" spans="1:19">
      <c r="A303" t="s">
        <v>1196</v>
      </c>
      <c r="B303" s="23">
        <v>45057</v>
      </c>
      <c r="C303" s="23" t="str">
        <f t="shared" si="8"/>
        <v>May</v>
      </c>
      <c r="D303" s="23" t="str">
        <f t="shared" si="9"/>
        <v>2023</v>
      </c>
      <c r="E303" t="s">
        <v>1197</v>
      </c>
      <c r="F303" s="24" t="s">
        <v>41</v>
      </c>
      <c r="G303" s="17">
        <v>1</v>
      </c>
      <c r="H303" s="19">
        <v>583.99</v>
      </c>
      <c r="I303" t="s">
        <v>1198</v>
      </c>
      <c r="J303" s="24" t="s">
        <v>65</v>
      </c>
      <c r="K303" s="24" t="s">
        <v>35</v>
      </c>
      <c r="L303" t="s">
        <v>1199</v>
      </c>
      <c r="M303" s="17">
        <v>2</v>
      </c>
      <c r="N303" t="s">
        <v>21</v>
      </c>
      <c r="O303" s="24" t="s">
        <v>38</v>
      </c>
      <c r="P303" s="19">
        <v>583.99</v>
      </c>
      <c r="Q303" s="26" t="str">
        <f>IF(OR(P303&lt;'Descriptive Statistics'!$H$17,P303&gt;'Descriptive Statistics'!$H$18),"Potential Outlier","Within Range")</f>
        <v>Within Range</v>
      </c>
      <c r="R303" s="26" t="str">
        <f>IF(OR(G303&lt;'Descriptive Statistics'!$I$17,G303&gt;'Descriptive Statistics'!$I$18),"Potential Outlier","Within Range")</f>
        <v>Within Range</v>
      </c>
      <c r="S303" s="26" t="str">
        <f>IF(OR(H303&lt;'Descriptive Statistics'!$J$17,H303&gt;'Descriptive Statistics'!$J$18),"Potential Outlier","Within Range")</f>
        <v>Within Range</v>
      </c>
    </row>
    <row r="304" hidden="1" spans="1:19">
      <c r="A304" t="s">
        <v>1200</v>
      </c>
      <c r="B304" s="23">
        <v>45062</v>
      </c>
      <c r="C304" s="23" t="str">
        <f t="shared" si="8"/>
        <v>May</v>
      </c>
      <c r="D304" s="23" t="str">
        <f t="shared" si="9"/>
        <v>2023</v>
      </c>
      <c r="E304" t="s">
        <v>1201</v>
      </c>
      <c r="F304" s="24" t="s">
        <v>41</v>
      </c>
      <c r="G304" s="17">
        <v>3</v>
      </c>
      <c r="H304" s="19">
        <v>468.74</v>
      </c>
      <c r="I304" t="s">
        <v>1202</v>
      </c>
      <c r="J304" s="24" t="s">
        <v>65</v>
      </c>
      <c r="K304" s="24" t="s">
        <v>89</v>
      </c>
      <c r="L304" t="s">
        <v>1203</v>
      </c>
      <c r="M304" s="17">
        <v>4</v>
      </c>
      <c r="N304" t="s">
        <v>37</v>
      </c>
      <c r="O304" s="24" t="s">
        <v>22</v>
      </c>
      <c r="P304" s="19">
        <v>1406.22</v>
      </c>
      <c r="Q304" s="26" t="str">
        <f>IF(OR(P304&lt;'Descriptive Statistics'!$H$17,P304&gt;'Descriptive Statistics'!$H$18),"Potential Outlier","Within Range")</f>
        <v>Within Range</v>
      </c>
      <c r="R304" s="26" t="str">
        <f>IF(OR(G304&lt;'Descriptive Statistics'!$I$17,G304&gt;'Descriptive Statistics'!$I$18),"Potential Outlier","Within Range")</f>
        <v>Within Range</v>
      </c>
      <c r="S304" s="26" t="str">
        <f>IF(OR(H304&lt;'Descriptive Statistics'!$J$17,H304&gt;'Descriptive Statistics'!$J$18),"Potential Outlier","Within Range")</f>
        <v>Within Range</v>
      </c>
    </row>
    <row r="305" hidden="1" spans="1:19">
      <c r="A305" t="s">
        <v>1204</v>
      </c>
      <c r="B305" s="23">
        <v>45633</v>
      </c>
      <c r="C305" s="23" t="str">
        <f t="shared" si="8"/>
        <v>Dec</v>
      </c>
      <c r="D305" s="23" t="str">
        <f t="shared" si="9"/>
        <v>2024</v>
      </c>
      <c r="E305" t="s">
        <v>1205</v>
      </c>
      <c r="F305" s="24" t="s">
        <v>32</v>
      </c>
      <c r="G305" s="17">
        <v>1</v>
      </c>
      <c r="H305" s="19">
        <v>30.54</v>
      </c>
      <c r="I305" t="s">
        <v>1206</v>
      </c>
      <c r="J305" s="24" t="s">
        <v>18</v>
      </c>
      <c r="K305" s="24" t="s">
        <v>43</v>
      </c>
      <c r="L305" t="s">
        <v>1207</v>
      </c>
      <c r="M305" s="17">
        <v>1</v>
      </c>
      <c r="N305" t="s">
        <v>4295</v>
      </c>
      <c r="O305" s="24" t="s">
        <v>76</v>
      </c>
      <c r="P305" s="19">
        <v>30.54</v>
      </c>
      <c r="Q305" s="26" t="str">
        <f>IF(OR(P305&lt;'Descriptive Statistics'!$H$17,P305&gt;'Descriptive Statistics'!$H$18),"Potential Outlier","Within Range")</f>
        <v>Within Range</v>
      </c>
      <c r="R305" s="26" t="str">
        <f>IF(OR(G305&lt;'Descriptive Statistics'!$I$17,G305&gt;'Descriptive Statistics'!$I$18),"Potential Outlier","Within Range")</f>
        <v>Within Range</v>
      </c>
      <c r="S305" s="26" t="str">
        <f>IF(OR(H305&lt;'Descriptive Statistics'!$J$17,H305&gt;'Descriptive Statistics'!$J$18),"Potential Outlier","Within Range")</f>
        <v>Within Range</v>
      </c>
    </row>
    <row r="306" hidden="1" spans="1:19">
      <c r="A306" t="s">
        <v>1208</v>
      </c>
      <c r="B306" s="23">
        <v>45583</v>
      </c>
      <c r="C306" s="23" t="str">
        <f t="shared" si="8"/>
        <v>Oct</v>
      </c>
      <c r="D306" s="23" t="str">
        <f t="shared" si="9"/>
        <v>2024</v>
      </c>
      <c r="E306" t="s">
        <v>1209</v>
      </c>
      <c r="F306" s="24" t="s">
        <v>16</v>
      </c>
      <c r="G306" s="17">
        <v>5</v>
      </c>
      <c r="H306" s="19">
        <v>408.73</v>
      </c>
      <c r="I306" t="s">
        <v>1210</v>
      </c>
      <c r="J306" s="24" t="s">
        <v>60</v>
      </c>
      <c r="K306" s="24" t="s">
        <v>50</v>
      </c>
      <c r="L306" t="s">
        <v>1211</v>
      </c>
      <c r="M306" s="17">
        <v>10</v>
      </c>
      <c r="N306" t="s">
        <v>37</v>
      </c>
      <c r="O306" s="24" t="s">
        <v>22</v>
      </c>
      <c r="P306" s="19">
        <v>2043.65</v>
      </c>
      <c r="Q306" s="26" t="str">
        <f>IF(OR(P306&lt;'Descriptive Statistics'!$H$17,P306&gt;'Descriptive Statistics'!$H$18),"Potential Outlier","Within Range")</f>
        <v>Within Range</v>
      </c>
      <c r="R306" s="26" t="str">
        <f>IF(OR(G306&lt;'Descriptive Statistics'!$I$17,G306&gt;'Descriptive Statistics'!$I$18),"Potential Outlier","Within Range")</f>
        <v>Within Range</v>
      </c>
      <c r="S306" s="26" t="str">
        <f>IF(OR(H306&lt;'Descriptive Statistics'!$J$17,H306&gt;'Descriptive Statistics'!$J$18),"Potential Outlier","Within Range")</f>
        <v>Within Range</v>
      </c>
    </row>
    <row r="307" hidden="1" spans="1:19">
      <c r="A307" t="s">
        <v>1212</v>
      </c>
      <c r="B307" s="23">
        <v>45255</v>
      </c>
      <c r="C307" s="23" t="str">
        <f t="shared" si="8"/>
        <v>Nov</v>
      </c>
      <c r="D307" s="23" t="str">
        <f t="shared" si="9"/>
        <v>2023</v>
      </c>
      <c r="E307" t="s">
        <v>1213</v>
      </c>
      <c r="F307" s="24" t="s">
        <v>58</v>
      </c>
      <c r="G307" s="17">
        <v>4</v>
      </c>
      <c r="H307" s="19">
        <v>126.89</v>
      </c>
      <c r="I307" t="s">
        <v>1214</v>
      </c>
      <c r="J307" s="24" t="s">
        <v>65</v>
      </c>
      <c r="K307" s="24" t="s">
        <v>89</v>
      </c>
      <c r="L307" t="s">
        <v>1215</v>
      </c>
      <c r="M307" s="17">
        <v>9</v>
      </c>
      <c r="N307" t="s">
        <v>37</v>
      </c>
      <c r="O307" s="24" t="s">
        <v>22</v>
      </c>
      <c r="P307" s="19">
        <v>507.56</v>
      </c>
      <c r="Q307" s="26" t="str">
        <f>IF(OR(P307&lt;'Descriptive Statistics'!$H$17,P307&gt;'Descriptive Statistics'!$H$18),"Potential Outlier","Within Range")</f>
        <v>Within Range</v>
      </c>
      <c r="R307" s="26" t="str">
        <f>IF(OR(G307&lt;'Descriptive Statistics'!$I$17,G307&gt;'Descriptive Statistics'!$I$18),"Potential Outlier","Within Range")</f>
        <v>Within Range</v>
      </c>
      <c r="S307" s="26" t="str">
        <f>IF(OR(H307&lt;'Descriptive Statistics'!$J$17,H307&gt;'Descriptive Statistics'!$J$18),"Potential Outlier","Within Range")</f>
        <v>Within Range</v>
      </c>
    </row>
    <row r="308" hidden="1" spans="1:19">
      <c r="A308" t="s">
        <v>1216</v>
      </c>
      <c r="B308" s="23">
        <v>45450</v>
      </c>
      <c r="C308" s="23" t="str">
        <f t="shared" si="8"/>
        <v>Jun</v>
      </c>
      <c r="D308" s="23" t="str">
        <f t="shared" si="9"/>
        <v>2024</v>
      </c>
      <c r="E308" t="s">
        <v>1217</v>
      </c>
      <c r="F308" s="24" t="s">
        <v>48</v>
      </c>
      <c r="G308" s="17">
        <v>2</v>
      </c>
      <c r="H308" s="19">
        <v>57.07</v>
      </c>
      <c r="I308" t="s">
        <v>1218</v>
      </c>
      <c r="J308" s="24" t="s">
        <v>18</v>
      </c>
      <c r="K308" s="24" t="s">
        <v>43</v>
      </c>
      <c r="L308" t="s">
        <v>1219</v>
      </c>
      <c r="M308" s="17">
        <v>3</v>
      </c>
      <c r="N308" t="s">
        <v>21</v>
      </c>
      <c r="O308" s="24" t="s">
        <v>22</v>
      </c>
      <c r="P308" s="19">
        <v>114.14</v>
      </c>
      <c r="Q308" s="26" t="str">
        <f>IF(OR(P308&lt;'Descriptive Statistics'!$H$17,P308&gt;'Descriptive Statistics'!$H$18),"Potential Outlier","Within Range")</f>
        <v>Within Range</v>
      </c>
      <c r="R308" s="26" t="str">
        <f>IF(OR(G308&lt;'Descriptive Statistics'!$I$17,G308&gt;'Descriptive Statistics'!$I$18),"Potential Outlier","Within Range")</f>
        <v>Within Range</v>
      </c>
      <c r="S308" s="26" t="str">
        <f>IF(OR(H308&lt;'Descriptive Statistics'!$J$17,H308&gt;'Descriptive Statistics'!$J$18),"Potential Outlier","Within Range")</f>
        <v>Within Range</v>
      </c>
    </row>
    <row r="309" hidden="1" spans="1:19">
      <c r="A309" t="s">
        <v>1220</v>
      </c>
      <c r="B309" s="23">
        <v>45108</v>
      </c>
      <c r="C309" s="23" t="str">
        <f t="shared" si="8"/>
        <v>Jul</v>
      </c>
      <c r="D309" s="23" t="str">
        <f t="shared" si="9"/>
        <v>2023</v>
      </c>
      <c r="E309" t="s">
        <v>1221</v>
      </c>
      <c r="F309" s="24" t="s">
        <v>58</v>
      </c>
      <c r="G309" s="17">
        <v>3</v>
      </c>
      <c r="H309" s="19">
        <v>557.41</v>
      </c>
      <c r="I309" t="s">
        <v>1222</v>
      </c>
      <c r="J309" s="24" t="s">
        <v>27</v>
      </c>
      <c r="K309" s="24" t="s">
        <v>50</v>
      </c>
      <c r="L309" t="s">
        <v>1223</v>
      </c>
      <c r="M309" s="17">
        <v>4</v>
      </c>
      <c r="N309" t="s">
        <v>4295</v>
      </c>
      <c r="O309" s="24" t="s">
        <v>38</v>
      </c>
      <c r="P309" s="19">
        <v>1672.23</v>
      </c>
      <c r="Q309" s="26" t="str">
        <f>IF(OR(P309&lt;'Descriptive Statistics'!$H$17,P309&gt;'Descriptive Statistics'!$H$18),"Potential Outlier","Within Range")</f>
        <v>Within Range</v>
      </c>
      <c r="R309" s="26" t="str">
        <f>IF(OR(G309&lt;'Descriptive Statistics'!$I$17,G309&gt;'Descriptive Statistics'!$I$18),"Potential Outlier","Within Range")</f>
        <v>Within Range</v>
      </c>
      <c r="S309" s="26" t="str">
        <f>IF(OR(H309&lt;'Descriptive Statistics'!$J$17,H309&gt;'Descriptive Statistics'!$J$18),"Potential Outlier","Within Range")</f>
        <v>Within Range</v>
      </c>
    </row>
    <row r="310" hidden="1" spans="1:19">
      <c r="A310" t="s">
        <v>1224</v>
      </c>
      <c r="B310" s="23">
        <v>45271</v>
      </c>
      <c r="C310" s="23" t="str">
        <f t="shared" si="8"/>
        <v>Dec</v>
      </c>
      <c r="D310" s="23" t="str">
        <f t="shared" si="9"/>
        <v>2023</v>
      </c>
      <c r="E310" t="s">
        <v>1225</v>
      </c>
      <c r="F310" s="24" t="s">
        <v>48</v>
      </c>
      <c r="G310" s="17">
        <v>3</v>
      </c>
      <c r="H310" s="19">
        <v>448.9</v>
      </c>
      <c r="I310" t="s">
        <v>719</v>
      </c>
      <c r="J310" s="24" t="s">
        <v>18</v>
      </c>
      <c r="K310" s="24" t="s">
        <v>43</v>
      </c>
      <c r="L310" t="s">
        <v>1226</v>
      </c>
      <c r="M310" s="17">
        <v>7</v>
      </c>
      <c r="N310" t="s">
        <v>21</v>
      </c>
      <c r="O310" s="24" t="s">
        <v>22</v>
      </c>
      <c r="P310" s="19">
        <v>1346.7</v>
      </c>
      <c r="Q310" s="26" t="str">
        <f>IF(OR(P310&lt;'Descriptive Statistics'!$H$17,P310&gt;'Descriptive Statistics'!$H$18),"Potential Outlier","Within Range")</f>
        <v>Within Range</v>
      </c>
      <c r="R310" s="26" t="str">
        <f>IF(OR(G310&lt;'Descriptive Statistics'!$I$17,G310&gt;'Descriptive Statistics'!$I$18),"Potential Outlier","Within Range")</f>
        <v>Within Range</v>
      </c>
      <c r="S310" s="26" t="str">
        <f>IF(OR(H310&lt;'Descriptive Statistics'!$J$17,H310&gt;'Descriptive Statistics'!$J$18),"Potential Outlier","Within Range")</f>
        <v>Within Range</v>
      </c>
    </row>
    <row r="311" hidden="1" spans="1:19">
      <c r="A311" t="s">
        <v>1227</v>
      </c>
      <c r="B311" s="23">
        <v>45202</v>
      </c>
      <c r="C311" s="23" t="str">
        <f t="shared" si="8"/>
        <v>Oct</v>
      </c>
      <c r="D311" s="23" t="str">
        <f t="shared" si="9"/>
        <v>2023</v>
      </c>
      <c r="E311" t="s">
        <v>1228</v>
      </c>
      <c r="F311" s="24" t="s">
        <v>41</v>
      </c>
      <c r="G311" s="17">
        <v>4</v>
      </c>
      <c r="H311" s="19">
        <v>549.76</v>
      </c>
      <c r="I311" t="s">
        <v>1229</v>
      </c>
      <c r="J311" s="24" t="s">
        <v>18</v>
      </c>
      <c r="K311" s="24" t="s">
        <v>50</v>
      </c>
      <c r="L311" t="s">
        <v>1230</v>
      </c>
      <c r="M311" s="17">
        <v>4</v>
      </c>
      <c r="N311" t="s">
        <v>37</v>
      </c>
      <c r="O311" s="24" t="s">
        <v>45</v>
      </c>
      <c r="P311" s="19">
        <v>2199.04</v>
      </c>
      <c r="Q311" s="26" t="str">
        <f>IF(OR(P311&lt;'Descriptive Statistics'!$H$17,P311&gt;'Descriptive Statistics'!$H$18),"Potential Outlier","Within Range")</f>
        <v>Within Range</v>
      </c>
      <c r="R311" s="26" t="str">
        <f>IF(OR(G311&lt;'Descriptive Statistics'!$I$17,G311&gt;'Descriptive Statistics'!$I$18),"Potential Outlier","Within Range")</f>
        <v>Within Range</v>
      </c>
      <c r="S311" s="26" t="str">
        <f>IF(OR(H311&lt;'Descriptive Statistics'!$J$17,H311&gt;'Descriptive Statistics'!$J$18),"Potential Outlier","Within Range")</f>
        <v>Within Range</v>
      </c>
    </row>
    <row r="312" hidden="1" spans="1:19">
      <c r="A312" t="s">
        <v>1231</v>
      </c>
      <c r="B312" s="23">
        <v>45346</v>
      </c>
      <c r="C312" s="23" t="str">
        <f t="shared" si="8"/>
        <v>Feb</v>
      </c>
      <c r="D312" s="23" t="str">
        <f t="shared" si="9"/>
        <v>2024</v>
      </c>
      <c r="E312" t="s">
        <v>1232</v>
      </c>
      <c r="F312" s="24" t="s">
        <v>48</v>
      </c>
      <c r="G312" s="17">
        <v>3</v>
      </c>
      <c r="H312" s="19">
        <v>132.48</v>
      </c>
      <c r="I312" t="s">
        <v>1233</v>
      </c>
      <c r="J312" s="24" t="s">
        <v>27</v>
      </c>
      <c r="K312" s="24" t="s">
        <v>19</v>
      </c>
      <c r="L312" t="s">
        <v>1234</v>
      </c>
      <c r="M312" s="17">
        <v>4</v>
      </c>
      <c r="N312" t="s">
        <v>4295</v>
      </c>
      <c r="O312" s="24" t="s">
        <v>29</v>
      </c>
      <c r="P312" s="19">
        <v>397.44</v>
      </c>
      <c r="Q312" s="26" t="str">
        <f>IF(OR(P312&lt;'Descriptive Statistics'!$H$17,P312&gt;'Descriptive Statistics'!$H$18),"Potential Outlier","Within Range")</f>
        <v>Within Range</v>
      </c>
      <c r="R312" s="26" t="str">
        <f>IF(OR(G312&lt;'Descriptive Statistics'!$I$17,G312&gt;'Descriptive Statistics'!$I$18),"Potential Outlier","Within Range")</f>
        <v>Within Range</v>
      </c>
      <c r="S312" s="26" t="str">
        <f>IF(OR(H312&lt;'Descriptive Statistics'!$J$17,H312&gt;'Descriptive Statistics'!$J$18),"Potential Outlier","Within Range")</f>
        <v>Within Range</v>
      </c>
    </row>
    <row r="313" hidden="1" spans="1:19">
      <c r="A313" t="s">
        <v>1235</v>
      </c>
      <c r="B313" s="23">
        <v>45794</v>
      </c>
      <c r="C313" s="23" t="str">
        <f t="shared" si="8"/>
        <v>May</v>
      </c>
      <c r="D313" s="23" t="str">
        <f t="shared" si="9"/>
        <v>2025</v>
      </c>
      <c r="E313" t="s">
        <v>1236</v>
      </c>
      <c r="F313" s="24" t="s">
        <v>73</v>
      </c>
      <c r="G313" s="17">
        <v>5</v>
      </c>
      <c r="H313" s="19">
        <v>489.37</v>
      </c>
      <c r="I313" t="s">
        <v>1237</v>
      </c>
      <c r="J313" s="24" t="s">
        <v>27</v>
      </c>
      <c r="K313" s="24" t="s">
        <v>43</v>
      </c>
      <c r="L313" t="s">
        <v>1238</v>
      </c>
      <c r="M313" s="17">
        <v>8</v>
      </c>
      <c r="N313" t="s">
        <v>4295</v>
      </c>
      <c r="O313" s="24" t="s">
        <v>22</v>
      </c>
      <c r="P313" s="19">
        <v>2446.85</v>
      </c>
      <c r="Q313" s="26" t="str">
        <f>IF(OR(P313&lt;'Descriptive Statistics'!$H$17,P313&gt;'Descriptive Statistics'!$H$18),"Potential Outlier","Within Range")</f>
        <v>Within Range</v>
      </c>
      <c r="R313" s="26" t="str">
        <f>IF(OR(G313&lt;'Descriptive Statistics'!$I$17,G313&gt;'Descriptive Statistics'!$I$18),"Potential Outlier","Within Range")</f>
        <v>Within Range</v>
      </c>
      <c r="S313" s="26" t="str">
        <f>IF(OR(H313&lt;'Descriptive Statistics'!$J$17,H313&gt;'Descriptive Statistics'!$J$18),"Potential Outlier","Within Range")</f>
        <v>Within Range</v>
      </c>
    </row>
    <row r="314" hidden="1" spans="1:19">
      <c r="A314" t="s">
        <v>1239</v>
      </c>
      <c r="B314" s="23">
        <v>45801</v>
      </c>
      <c r="C314" s="23" t="str">
        <f t="shared" si="8"/>
        <v>May</v>
      </c>
      <c r="D314" s="23" t="str">
        <f t="shared" si="9"/>
        <v>2025</v>
      </c>
      <c r="E314" t="s">
        <v>1240</v>
      </c>
      <c r="F314" s="24" t="s">
        <v>48</v>
      </c>
      <c r="G314" s="17">
        <v>5</v>
      </c>
      <c r="H314" s="19">
        <v>66.31</v>
      </c>
      <c r="I314" t="s">
        <v>921</v>
      </c>
      <c r="J314" s="24" t="s">
        <v>60</v>
      </c>
      <c r="K314" s="24" t="s">
        <v>89</v>
      </c>
      <c r="L314" t="s">
        <v>1241</v>
      </c>
      <c r="M314" s="17">
        <v>7</v>
      </c>
      <c r="N314" t="s">
        <v>37</v>
      </c>
      <c r="O314" s="24" t="s">
        <v>29</v>
      </c>
      <c r="P314" s="19">
        <v>331.55</v>
      </c>
      <c r="Q314" s="26" t="str">
        <f>IF(OR(P314&lt;'Descriptive Statistics'!$H$17,P314&gt;'Descriptive Statistics'!$H$18),"Potential Outlier","Within Range")</f>
        <v>Within Range</v>
      </c>
      <c r="R314" s="26" t="str">
        <f>IF(OR(G314&lt;'Descriptive Statistics'!$I$17,G314&gt;'Descriptive Statistics'!$I$18),"Potential Outlier","Within Range")</f>
        <v>Within Range</v>
      </c>
      <c r="S314" s="26" t="str">
        <f>IF(OR(H314&lt;'Descriptive Statistics'!$J$17,H314&gt;'Descriptive Statistics'!$J$18),"Potential Outlier","Within Range")</f>
        <v>Within Range</v>
      </c>
    </row>
    <row r="315" hidden="1" spans="1:19">
      <c r="A315" t="s">
        <v>1242</v>
      </c>
      <c r="B315" s="23">
        <v>45116</v>
      </c>
      <c r="C315" s="23" t="str">
        <f t="shared" si="8"/>
        <v>Jul</v>
      </c>
      <c r="D315" s="23" t="str">
        <f t="shared" si="9"/>
        <v>2023</v>
      </c>
      <c r="E315" t="s">
        <v>1243</v>
      </c>
      <c r="F315" s="24" t="s">
        <v>41</v>
      </c>
      <c r="G315" s="17">
        <v>2</v>
      </c>
      <c r="H315" s="19">
        <v>434.3</v>
      </c>
      <c r="I315" t="s">
        <v>1244</v>
      </c>
      <c r="J315" s="24" t="s">
        <v>65</v>
      </c>
      <c r="K315" s="24" t="s">
        <v>50</v>
      </c>
      <c r="L315" t="s">
        <v>1245</v>
      </c>
      <c r="M315" s="17">
        <v>7</v>
      </c>
      <c r="N315" t="s">
        <v>21</v>
      </c>
      <c r="O315" s="24" t="s">
        <v>22</v>
      </c>
      <c r="P315" s="19">
        <v>868.6</v>
      </c>
      <c r="Q315" s="26" t="str">
        <f>IF(OR(P315&lt;'Descriptive Statistics'!$H$17,P315&gt;'Descriptive Statistics'!$H$18),"Potential Outlier","Within Range")</f>
        <v>Within Range</v>
      </c>
      <c r="R315" s="26" t="str">
        <f>IF(OR(G315&lt;'Descriptive Statistics'!$I$17,G315&gt;'Descriptive Statistics'!$I$18),"Potential Outlier","Within Range")</f>
        <v>Within Range</v>
      </c>
      <c r="S315" s="26" t="str">
        <f>IF(OR(H315&lt;'Descriptive Statistics'!$J$17,H315&gt;'Descriptive Statistics'!$J$18),"Potential Outlier","Within Range")</f>
        <v>Within Range</v>
      </c>
    </row>
    <row r="316" hidden="1" spans="1:19">
      <c r="A316" t="s">
        <v>1246</v>
      </c>
      <c r="B316" s="23">
        <v>45203</v>
      </c>
      <c r="C316" s="23" t="str">
        <f t="shared" si="8"/>
        <v>Oct</v>
      </c>
      <c r="D316" s="23" t="str">
        <f t="shared" si="9"/>
        <v>2023</v>
      </c>
      <c r="E316" t="s">
        <v>1247</v>
      </c>
      <c r="F316" s="24" t="s">
        <v>73</v>
      </c>
      <c r="G316" s="17">
        <v>4</v>
      </c>
      <c r="H316" s="19">
        <v>153.09</v>
      </c>
      <c r="I316" t="s">
        <v>1248</v>
      </c>
      <c r="J316" s="24" t="s">
        <v>27</v>
      </c>
      <c r="K316" s="24" t="s">
        <v>50</v>
      </c>
      <c r="L316" t="s">
        <v>1249</v>
      </c>
      <c r="M316" s="17">
        <v>4</v>
      </c>
      <c r="N316" t="s">
        <v>37</v>
      </c>
      <c r="O316" s="24" t="s">
        <v>29</v>
      </c>
      <c r="P316" s="19">
        <v>612.36</v>
      </c>
      <c r="Q316" s="26" t="str">
        <f>IF(OR(P316&lt;'Descriptive Statistics'!$H$17,P316&gt;'Descriptive Statistics'!$H$18),"Potential Outlier","Within Range")</f>
        <v>Within Range</v>
      </c>
      <c r="R316" s="26" t="str">
        <f>IF(OR(G316&lt;'Descriptive Statistics'!$I$17,G316&gt;'Descriptive Statistics'!$I$18),"Potential Outlier","Within Range")</f>
        <v>Within Range</v>
      </c>
      <c r="S316" s="26" t="str">
        <f>IF(OR(H316&lt;'Descriptive Statistics'!$J$17,H316&gt;'Descriptive Statistics'!$J$18),"Potential Outlier","Within Range")</f>
        <v>Within Range</v>
      </c>
    </row>
    <row r="317" hidden="1" spans="1:19">
      <c r="A317" t="s">
        <v>1250</v>
      </c>
      <c r="B317" s="23">
        <v>45789</v>
      </c>
      <c r="C317" s="23" t="str">
        <f t="shared" si="8"/>
        <v>May</v>
      </c>
      <c r="D317" s="23" t="str">
        <f t="shared" si="9"/>
        <v>2025</v>
      </c>
      <c r="E317" t="s">
        <v>1251</v>
      </c>
      <c r="F317" s="24" t="s">
        <v>32</v>
      </c>
      <c r="G317" s="17">
        <v>5</v>
      </c>
      <c r="H317" s="19">
        <v>91.67</v>
      </c>
      <c r="I317" t="s">
        <v>1252</v>
      </c>
      <c r="J317" s="24" t="s">
        <v>27</v>
      </c>
      <c r="K317" s="24" t="s">
        <v>35</v>
      </c>
      <c r="L317" t="s">
        <v>1253</v>
      </c>
      <c r="M317" s="17">
        <v>9</v>
      </c>
      <c r="N317" t="s">
        <v>37</v>
      </c>
      <c r="O317" s="24" t="s">
        <v>38</v>
      </c>
      <c r="P317" s="19">
        <v>458.35</v>
      </c>
      <c r="Q317" s="26" t="str">
        <f>IF(OR(P317&lt;'Descriptive Statistics'!$H$17,P317&gt;'Descriptive Statistics'!$H$18),"Potential Outlier","Within Range")</f>
        <v>Within Range</v>
      </c>
      <c r="R317" s="26" t="str">
        <f>IF(OR(G317&lt;'Descriptive Statistics'!$I$17,G317&gt;'Descriptive Statistics'!$I$18),"Potential Outlier","Within Range")</f>
        <v>Within Range</v>
      </c>
      <c r="S317" s="26" t="str">
        <f>IF(OR(H317&lt;'Descriptive Statistics'!$J$17,H317&gt;'Descriptive Statistics'!$J$18),"Potential Outlier","Within Range")</f>
        <v>Within Range</v>
      </c>
    </row>
    <row r="318" hidden="1" spans="1:19">
      <c r="A318" t="s">
        <v>1254</v>
      </c>
      <c r="B318" s="23">
        <v>45201</v>
      </c>
      <c r="C318" s="23" t="str">
        <f t="shared" si="8"/>
        <v>Oct</v>
      </c>
      <c r="D318" s="23" t="str">
        <f t="shared" si="9"/>
        <v>2023</v>
      </c>
      <c r="E318" t="s">
        <v>1255</v>
      </c>
      <c r="F318" s="24" t="s">
        <v>73</v>
      </c>
      <c r="G318" s="17">
        <v>4</v>
      </c>
      <c r="H318" s="19">
        <v>275.28</v>
      </c>
      <c r="I318" t="s">
        <v>1256</v>
      </c>
      <c r="J318" s="24" t="s">
        <v>60</v>
      </c>
      <c r="K318" s="24" t="s">
        <v>19</v>
      </c>
      <c r="L318" t="s">
        <v>1257</v>
      </c>
      <c r="M318" s="17">
        <v>9</v>
      </c>
      <c r="N318" t="s">
        <v>81</v>
      </c>
      <c r="O318" s="24" t="s">
        <v>45</v>
      </c>
      <c r="P318" s="19">
        <v>1101.12</v>
      </c>
      <c r="Q318" s="26" t="str">
        <f>IF(OR(P318&lt;'Descriptive Statistics'!$H$17,P318&gt;'Descriptive Statistics'!$H$18),"Potential Outlier","Within Range")</f>
        <v>Within Range</v>
      </c>
      <c r="R318" s="26" t="str">
        <f>IF(OR(G318&lt;'Descriptive Statistics'!$I$17,G318&gt;'Descriptive Statistics'!$I$18),"Potential Outlier","Within Range")</f>
        <v>Within Range</v>
      </c>
      <c r="S318" s="26" t="str">
        <f>IF(OR(H318&lt;'Descriptive Statistics'!$J$17,H318&gt;'Descriptive Statistics'!$J$18),"Potential Outlier","Within Range")</f>
        <v>Within Range</v>
      </c>
    </row>
    <row r="319" hidden="1" spans="1:19">
      <c r="A319" t="s">
        <v>1258</v>
      </c>
      <c r="B319" s="23">
        <v>45026</v>
      </c>
      <c r="C319" s="23" t="str">
        <f t="shared" si="8"/>
        <v>Apr</v>
      </c>
      <c r="D319" s="23" t="str">
        <f t="shared" si="9"/>
        <v>2023</v>
      </c>
      <c r="E319" t="s">
        <v>1259</v>
      </c>
      <c r="F319" s="24" t="s">
        <v>16</v>
      </c>
      <c r="G319" s="17">
        <v>2</v>
      </c>
      <c r="H319" s="19">
        <v>139.95</v>
      </c>
      <c r="I319" t="s">
        <v>1260</v>
      </c>
      <c r="J319" s="24" t="s">
        <v>27</v>
      </c>
      <c r="K319" s="24" t="s">
        <v>43</v>
      </c>
      <c r="L319" t="s">
        <v>1261</v>
      </c>
      <c r="M319" s="17">
        <v>5</v>
      </c>
      <c r="N319" t="s">
        <v>4295</v>
      </c>
      <c r="O319" s="24" t="s">
        <v>22</v>
      </c>
      <c r="P319" s="19">
        <v>279.9</v>
      </c>
      <c r="Q319" s="26" t="str">
        <f>IF(OR(P319&lt;'Descriptive Statistics'!$H$17,P319&gt;'Descriptive Statistics'!$H$18),"Potential Outlier","Within Range")</f>
        <v>Within Range</v>
      </c>
      <c r="R319" s="26" t="str">
        <f>IF(OR(G319&lt;'Descriptive Statistics'!$I$17,G319&gt;'Descriptive Statistics'!$I$18),"Potential Outlier","Within Range")</f>
        <v>Within Range</v>
      </c>
      <c r="S319" s="26" t="str">
        <f>IF(OR(H319&lt;'Descriptive Statistics'!$J$17,H319&gt;'Descriptive Statistics'!$J$18),"Potential Outlier","Within Range")</f>
        <v>Within Range</v>
      </c>
    </row>
    <row r="320" hidden="1" spans="1:19">
      <c r="A320" t="s">
        <v>1262</v>
      </c>
      <c r="B320" s="23">
        <v>45500</v>
      </c>
      <c r="C320" s="23" t="str">
        <f t="shared" si="8"/>
        <v>Jul</v>
      </c>
      <c r="D320" s="23" t="str">
        <f t="shared" si="9"/>
        <v>2024</v>
      </c>
      <c r="E320" t="s">
        <v>1263</v>
      </c>
      <c r="F320" s="24" t="s">
        <v>41</v>
      </c>
      <c r="G320" s="17">
        <v>3</v>
      </c>
      <c r="H320" s="19">
        <v>148.72</v>
      </c>
      <c r="I320" t="s">
        <v>866</v>
      </c>
      <c r="J320" s="24" t="s">
        <v>18</v>
      </c>
      <c r="K320" s="24" t="s">
        <v>35</v>
      </c>
      <c r="L320" t="s">
        <v>1264</v>
      </c>
      <c r="M320" s="17">
        <v>7</v>
      </c>
      <c r="N320" t="s">
        <v>21</v>
      </c>
      <c r="O320" s="24" t="s">
        <v>76</v>
      </c>
      <c r="P320" s="19">
        <v>446.16</v>
      </c>
      <c r="Q320" s="26" t="str">
        <f>IF(OR(P320&lt;'Descriptive Statistics'!$H$17,P320&gt;'Descriptive Statistics'!$H$18),"Potential Outlier","Within Range")</f>
        <v>Within Range</v>
      </c>
      <c r="R320" s="26" t="str">
        <f>IF(OR(G320&lt;'Descriptive Statistics'!$I$17,G320&gt;'Descriptive Statistics'!$I$18),"Potential Outlier","Within Range")</f>
        <v>Within Range</v>
      </c>
      <c r="S320" s="26" t="str">
        <f>IF(OR(H320&lt;'Descriptive Statistics'!$J$17,H320&gt;'Descriptive Statistics'!$J$18),"Potential Outlier","Within Range")</f>
        <v>Within Range</v>
      </c>
    </row>
    <row r="321" hidden="1" spans="1:19">
      <c r="A321" t="s">
        <v>1265</v>
      </c>
      <c r="B321" s="23">
        <v>45262</v>
      </c>
      <c r="C321" s="23" t="str">
        <f t="shared" si="8"/>
        <v>Dec</v>
      </c>
      <c r="D321" s="23" t="str">
        <f t="shared" si="9"/>
        <v>2023</v>
      </c>
      <c r="E321" t="s">
        <v>1266</v>
      </c>
      <c r="F321" s="24" t="s">
        <v>58</v>
      </c>
      <c r="G321" s="17">
        <v>2</v>
      </c>
      <c r="H321" s="19">
        <v>563.06</v>
      </c>
      <c r="I321" t="s">
        <v>1267</v>
      </c>
      <c r="J321" s="24" t="s">
        <v>65</v>
      </c>
      <c r="K321" s="24" t="s">
        <v>43</v>
      </c>
      <c r="L321" t="s">
        <v>1268</v>
      </c>
      <c r="M321" s="17">
        <v>6</v>
      </c>
      <c r="N321" t="s">
        <v>4295</v>
      </c>
      <c r="O321" s="24" t="s">
        <v>22</v>
      </c>
      <c r="P321" s="19">
        <v>1126.12</v>
      </c>
      <c r="Q321" s="26" t="str">
        <f>IF(OR(P321&lt;'Descriptive Statistics'!$H$17,P321&gt;'Descriptive Statistics'!$H$18),"Potential Outlier","Within Range")</f>
        <v>Within Range</v>
      </c>
      <c r="R321" s="26" t="str">
        <f>IF(OR(G321&lt;'Descriptive Statistics'!$I$17,G321&gt;'Descriptive Statistics'!$I$18),"Potential Outlier","Within Range")</f>
        <v>Within Range</v>
      </c>
      <c r="S321" s="26" t="str">
        <f>IF(OR(H321&lt;'Descriptive Statistics'!$J$17,H321&gt;'Descriptive Statistics'!$J$18),"Potential Outlier","Within Range")</f>
        <v>Within Range</v>
      </c>
    </row>
    <row r="322" hidden="1" spans="1:19">
      <c r="A322" t="s">
        <v>1269</v>
      </c>
      <c r="B322" s="23">
        <v>45645</v>
      </c>
      <c r="C322" s="23" t="str">
        <f t="shared" ref="C322:C385" si="10">TEXT(B322,"MMM")</f>
        <v>Dec</v>
      </c>
      <c r="D322" s="23" t="str">
        <f t="shared" ref="D322:D385" si="11">TEXT(B322,"YYYY")</f>
        <v>2024</v>
      </c>
      <c r="E322" t="s">
        <v>1270</v>
      </c>
      <c r="F322" s="24" t="s">
        <v>48</v>
      </c>
      <c r="G322" s="17">
        <v>1</v>
      </c>
      <c r="H322" s="19">
        <v>625.51</v>
      </c>
      <c r="I322" t="s">
        <v>1271</v>
      </c>
      <c r="J322" s="24" t="s">
        <v>34</v>
      </c>
      <c r="K322" s="24" t="s">
        <v>19</v>
      </c>
      <c r="L322" t="s">
        <v>1272</v>
      </c>
      <c r="M322" s="17">
        <v>1</v>
      </c>
      <c r="N322" t="s">
        <v>37</v>
      </c>
      <c r="O322" s="24" t="s">
        <v>45</v>
      </c>
      <c r="P322" s="19">
        <v>625.51</v>
      </c>
      <c r="Q322" s="26" t="str">
        <f>IF(OR(P322&lt;'Descriptive Statistics'!$H$17,P322&gt;'Descriptive Statistics'!$H$18),"Potential Outlier","Within Range")</f>
        <v>Within Range</v>
      </c>
      <c r="R322" s="26" t="str">
        <f>IF(OR(G322&lt;'Descriptive Statistics'!$I$17,G322&gt;'Descriptive Statistics'!$I$18),"Potential Outlier","Within Range")</f>
        <v>Within Range</v>
      </c>
      <c r="S322" s="26" t="str">
        <f>IF(OR(H322&lt;'Descriptive Statistics'!$J$17,H322&gt;'Descriptive Statistics'!$J$18),"Potential Outlier","Within Range")</f>
        <v>Within Range</v>
      </c>
    </row>
    <row r="323" hidden="1" spans="1:19">
      <c r="A323" t="s">
        <v>1273</v>
      </c>
      <c r="B323" s="23">
        <v>45147</v>
      </c>
      <c r="C323" s="23" t="str">
        <f t="shared" si="10"/>
        <v>Aug</v>
      </c>
      <c r="D323" s="23" t="str">
        <f t="shared" si="11"/>
        <v>2023</v>
      </c>
      <c r="E323" t="s">
        <v>1274</v>
      </c>
      <c r="F323" s="24" t="s">
        <v>25</v>
      </c>
      <c r="G323" s="17">
        <v>4</v>
      </c>
      <c r="H323" s="19">
        <v>152.29</v>
      </c>
      <c r="I323" t="s">
        <v>1222</v>
      </c>
      <c r="J323" s="24" t="s">
        <v>18</v>
      </c>
      <c r="K323" s="24" t="s">
        <v>35</v>
      </c>
      <c r="L323" t="s">
        <v>1275</v>
      </c>
      <c r="M323" s="17">
        <v>6</v>
      </c>
      <c r="N323" t="s">
        <v>81</v>
      </c>
      <c r="O323" s="24" t="s">
        <v>76</v>
      </c>
      <c r="P323" s="19">
        <v>609.16</v>
      </c>
      <c r="Q323" s="26" t="str">
        <f>IF(OR(P323&lt;'Descriptive Statistics'!$H$17,P323&gt;'Descriptive Statistics'!$H$18),"Potential Outlier","Within Range")</f>
        <v>Within Range</v>
      </c>
      <c r="R323" s="26" t="str">
        <f>IF(OR(G323&lt;'Descriptive Statistics'!$I$17,G323&gt;'Descriptive Statistics'!$I$18),"Potential Outlier","Within Range")</f>
        <v>Within Range</v>
      </c>
      <c r="S323" s="26" t="str">
        <f>IF(OR(H323&lt;'Descriptive Statistics'!$J$17,H323&gt;'Descriptive Statistics'!$J$18),"Potential Outlier","Within Range")</f>
        <v>Within Range</v>
      </c>
    </row>
    <row r="324" hidden="1" spans="1:19">
      <c r="A324" t="s">
        <v>1276</v>
      </c>
      <c r="B324" s="23">
        <v>45457</v>
      </c>
      <c r="C324" s="23" t="str">
        <f t="shared" si="10"/>
        <v>Jun</v>
      </c>
      <c r="D324" s="23" t="str">
        <f t="shared" si="11"/>
        <v>2024</v>
      </c>
      <c r="E324" t="s">
        <v>1277</v>
      </c>
      <c r="F324" s="24" t="s">
        <v>25</v>
      </c>
      <c r="G324" s="17">
        <v>5</v>
      </c>
      <c r="H324" s="19">
        <v>231.82</v>
      </c>
      <c r="I324" t="s">
        <v>1260</v>
      </c>
      <c r="J324" s="24" t="s">
        <v>18</v>
      </c>
      <c r="K324" s="24" t="s">
        <v>50</v>
      </c>
      <c r="L324" t="s">
        <v>1278</v>
      </c>
      <c r="M324" s="17">
        <v>6</v>
      </c>
      <c r="N324" t="s">
        <v>21</v>
      </c>
      <c r="O324" s="24" t="s">
        <v>45</v>
      </c>
      <c r="P324" s="19">
        <v>1159.1</v>
      </c>
      <c r="Q324" s="26" t="str">
        <f>IF(OR(P324&lt;'Descriptive Statistics'!$H$17,P324&gt;'Descriptive Statistics'!$H$18),"Potential Outlier","Within Range")</f>
        <v>Within Range</v>
      </c>
      <c r="R324" s="26" t="str">
        <f>IF(OR(G324&lt;'Descriptive Statistics'!$I$17,G324&gt;'Descriptive Statistics'!$I$18),"Potential Outlier","Within Range")</f>
        <v>Within Range</v>
      </c>
      <c r="S324" s="26" t="str">
        <f>IF(OR(H324&lt;'Descriptive Statistics'!$J$17,H324&gt;'Descriptive Statistics'!$J$18),"Potential Outlier","Within Range")</f>
        <v>Within Range</v>
      </c>
    </row>
    <row r="325" hidden="1" spans="1:19">
      <c r="A325" t="s">
        <v>1279</v>
      </c>
      <c r="B325" s="23">
        <v>45683</v>
      </c>
      <c r="C325" s="23" t="str">
        <f t="shared" si="10"/>
        <v>Jan</v>
      </c>
      <c r="D325" s="23" t="str">
        <f t="shared" si="11"/>
        <v>2025</v>
      </c>
      <c r="E325" t="s">
        <v>1280</v>
      </c>
      <c r="F325" s="24" t="s">
        <v>58</v>
      </c>
      <c r="G325" s="17">
        <v>1</v>
      </c>
      <c r="H325" s="19">
        <v>150.17</v>
      </c>
      <c r="I325" t="s">
        <v>1281</v>
      </c>
      <c r="J325" s="24" t="s">
        <v>18</v>
      </c>
      <c r="K325" s="24" t="s">
        <v>43</v>
      </c>
      <c r="L325" t="s">
        <v>1282</v>
      </c>
      <c r="M325" s="17">
        <v>1</v>
      </c>
      <c r="N325" t="s">
        <v>21</v>
      </c>
      <c r="O325" s="24" t="s">
        <v>29</v>
      </c>
      <c r="P325" s="19">
        <v>150.17</v>
      </c>
      <c r="Q325" s="26" t="str">
        <f>IF(OR(P325&lt;'Descriptive Statistics'!$H$17,P325&gt;'Descriptive Statistics'!$H$18),"Potential Outlier","Within Range")</f>
        <v>Within Range</v>
      </c>
      <c r="R325" s="26" t="str">
        <f>IF(OR(G325&lt;'Descriptive Statistics'!$I$17,G325&gt;'Descriptive Statistics'!$I$18),"Potential Outlier","Within Range")</f>
        <v>Within Range</v>
      </c>
      <c r="S325" s="26" t="str">
        <f>IF(OR(H325&lt;'Descriptive Statistics'!$J$17,H325&gt;'Descriptive Statistics'!$J$18),"Potential Outlier","Within Range")</f>
        <v>Within Range</v>
      </c>
    </row>
    <row r="326" hidden="1" spans="1:19">
      <c r="A326" t="s">
        <v>1283</v>
      </c>
      <c r="B326" s="23">
        <v>45456</v>
      </c>
      <c r="C326" s="23" t="str">
        <f t="shared" si="10"/>
        <v>Jun</v>
      </c>
      <c r="D326" s="23" t="str">
        <f t="shared" si="11"/>
        <v>2024</v>
      </c>
      <c r="E326" t="s">
        <v>1284</v>
      </c>
      <c r="F326" s="24" t="s">
        <v>32</v>
      </c>
      <c r="G326" s="17">
        <v>3</v>
      </c>
      <c r="H326" s="19">
        <v>70.93</v>
      </c>
      <c r="I326" t="s">
        <v>1285</v>
      </c>
      <c r="J326" s="24" t="s">
        <v>18</v>
      </c>
      <c r="K326" s="24" t="s">
        <v>43</v>
      </c>
      <c r="L326" t="s">
        <v>1286</v>
      </c>
      <c r="M326" s="17">
        <v>5</v>
      </c>
      <c r="N326" t="s">
        <v>4295</v>
      </c>
      <c r="O326" s="24" t="s">
        <v>29</v>
      </c>
      <c r="P326" s="19">
        <v>212.79</v>
      </c>
      <c r="Q326" s="26" t="str">
        <f>IF(OR(P326&lt;'Descriptive Statistics'!$H$17,P326&gt;'Descriptive Statistics'!$H$18),"Potential Outlier","Within Range")</f>
        <v>Within Range</v>
      </c>
      <c r="R326" s="26" t="str">
        <f>IF(OR(G326&lt;'Descriptive Statistics'!$I$17,G326&gt;'Descriptive Statistics'!$I$18),"Potential Outlier","Within Range")</f>
        <v>Within Range</v>
      </c>
      <c r="S326" s="26" t="str">
        <f>IF(OR(H326&lt;'Descriptive Statistics'!$J$17,H326&gt;'Descriptive Statistics'!$J$18),"Potential Outlier","Within Range")</f>
        <v>Within Range</v>
      </c>
    </row>
    <row r="327" hidden="1" spans="1:19">
      <c r="A327" t="s">
        <v>1287</v>
      </c>
      <c r="B327" s="23">
        <v>45106</v>
      </c>
      <c r="C327" s="23" t="str">
        <f t="shared" si="10"/>
        <v>Jun</v>
      </c>
      <c r="D327" s="23" t="str">
        <f t="shared" si="11"/>
        <v>2023</v>
      </c>
      <c r="E327" t="s">
        <v>1288</v>
      </c>
      <c r="F327" s="24" t="s">
        <v>73</v>
      </c>
      <c r="G327" s="17">
        <v>3</v>
      </c>
      <c r="H327" s="19">
        <v>361.39</v>
      </c>
      <c r="I327" t="s">
        <v>1289</v>
      </c>
      <c r="J327" s="24" t="s">
        <v>34</v>
      </c>
      <c r="K327" s="24" t="s">
        <v>19</v>
      </c>
      <c r="L327" t="s">
        <v>1290</v>
      </c>
      <c r="M327" s="17">
        <v>8</v>
      </c>
      <c r="N327" t="s">
        <v>4295</v>
      </c>
      <c r="O327" s="24" t="s">
        <v>29</v>
      </c>
      <c r="P327" s="19">
        <v>1084.17</v>
      </c>
      <c r="Q327" s="26" t="str">
        <f>IF(OR(P327&lt;'Descriptive Statistics'!$H$17,P327&gt;'Descriptive Statistics'!$H$18),"Potential Outlier","Within Range")</f>
        <v>Within Range</v>
      </c>
      <c r="R327" s="26" t="str">
        <f>IF(OR(G327&lt;'Descriptive Statistics'!$I$17,G327&gt;'Descriptive Statistics'!$I$18),"Potential Outlier","Within Range")</f>
        <v>Within Range</v>
      </c>
      <c r="S327" s="26" t="str">
        <f>IF(OR(H327&lt;'Descriptive Statistics'!$J$17,H327&gt;'Descriptive Statistics'!$J$18),"Potential Outlier","Within Range")</f>
        <v>Within Range</v>
      </c>
    </row>
    <row r="328" spans="1:19">
      <c r="A328" t="s">
        <v>1291</v>
      </c>
      <c r="B328" s="23">
        <v>45474</v>
      </c>
      <c r="C328" s="23" t="str">
        <f t="shared" si="10"/>
        <v>Jul</v>
      </c>
      <c r="D328" s="23" t="str">
        <f t="shared" si="11"/>
        <v>2024</v>
      </c>
      <c r="E328" t="s">
        <v>1292</v>
      </c>
      <c r="F328" s="24" t="s">
        <v>58</v>
      </c>
      <c r="G328" s="17">
        <v>5</v>
      </c>
      <c r="H328" s="19">
        <v>670.48</v>
      </c>
      <c r="I328" t="s">
        <v>117</v>
      </c>
      <c r="J328" s="24" t="s">
        <v>60</v>
      </c>
      <c r="K328" s="24" t="s">
        <v>43</v>
      </c>
      <c r="L328" t="s">
        <v>1293</v>
      </c>
      <c r="M328" s="17">
        <v>5</v>
      </c>
      <c r="N328" t="s">
        <v>21</v>
      </c>
      <c r="O328" s="24" t="s">
        <v>45</v>
      </c>
      <c r="P328" s="19">
        <v>3352.4</v>
      </c>
      <c r="Q328" s="26" t="str">
        <f>IF(OR(P328&lt;'Descriptive Statistics'!$H$17,P328&gt;'Descriptive Statistics'!$H$18),"Potential Outlier","Within Range")</f>
        <v>Potential Outlier</v>
      </c>
      <c r="R328" s="26" t="str">
        <f>IF(OR(G328&lt;'Descriptive Statistics'!$I$17,G328&gt;'Descriptive Statistics'!$I$18),"Potential Outlier","Within Range")</f>
        <v>Within Range</v>
      </c>
      <c r="S328" s="26" t="str">
        <f>IF(OR(H328&lt;'Descriptive Statistics'!$J$17,H328&gt;'Descriptive Statistics'!$J$18),"Potential Outlier","Within Range")</f>
        <v>Within Range</v>
      </c>
    </row>
    <row r="329" hidden="1" spans="1:19">
      <c r="A329" t="s">
        <v>1294</v>
      </c>
      <c r="B329" s="23">
        <v>45132</v>
      </c>
      <c r="C329" s="23" t="str">
        <f t="shared" si="10"/>
        <v>Jul</v>
      </c>
      <c r="D329" s="23" t="str">
        <f t="shared" si="11"/>
        <v>2023</v>
      </c>
      <c r="E329" t="s">
        <v>1295</v>
      </c>
      <c r="F329" s="24" t="s">
        <v>25</v>
      </c>
      <c r="G329" s="17">
        <v>1</v>
      </c>
      <c r="H329" s="19">
        <v>359.99</v>
      </c>
      <c r="I329" t="s">
        <v>297</v>
      </c>
      <c r="J329" s="24" t="s">
        <v>60</v>
      </c>
      <c r="K329" s="24" t="s">
        <v>35</v>
      </c>
      <c r="L329" t="s">
        <v>1296</v>
      </c>
      <c r="M329" s="17">
        <v>5</v>
      </c>
      <c r="N329" t="s">
        <v>21</v>
      </c>
      <c r="O329" s="24" t="s">
        <v>38</v>
      </c>
      <c r="P329" s="19">
        <v>359.99</v>
      </c>
      <c r="Q329" s="26" t="str">
        <f>IF(OR(P329&lt;'Descriptive Statistics'!$H$17,P329&gt;'Descriptive Statistics'!$H$18),"Potential Outlier","Within Range")</f>
        <v>Within Range</v>
      </c>
      <c r="R329" s="26" t="str">
        <f>IF(OR(G329&lt;'Descriptive Statistics'!$I$17,G329&gt;'Descriptive Statistics'!$I$18),"Potential Outlier","Within Range")</f>
        <v>Within Range</v>
      </c>
      <c r="S329" s="26" t="str">
        <f>IF(OR(H329&lt;'Descriptive Statistics'!$J$17,H329&gt;'Descriptive Statistics'!$J$18),"Potential Outlier","Within Range")</f>
        <v>Within Range</v>
      </c>
    </row>
    <row r="330" spans="1:19">
      <c r="A330" t="s">
        <v>1297</v>
      </c>
      <c r="B330" s="23">
        <v>44985</v>
      </c>
      <c r="C330" s="23" t="str">
        <f t="shared" si="10"/>
        <v>Feb</v>
      </c>
      <c r="D330" s="23" t="str">
        <f t="shared" si="11"/>
        <v>2023</v>
      </c>
      <c r="E330" t="s">
        <v>1298</v>
      </c>
      <c r="F330" s="24" t="s">
        <v>32</v>
      </c>
      <c r="G330" s="17">
        <v>5</v>
      </c>
      <c r="H330" s="19">
        <v>674.04</v>
      </c>
      <c r="I330" t="s">
        <v>1299</v>
      </c>
      <c r="J330" s="24" t="s">
        <v>27</v>
      </c>
      <c r="K330" s="24" t="s">
        <v>35</v>
      </c>
      <c r="L330" t="s">
        <v>1300</v>
      </c>
      <c r="M330" s="17">
        <v>7</v>
      </c>
      <c r="N330" t="s">
        <v>21</v>
      </c>
      <c r="O330" s="24" t="s">
        <v>76</v>
      </c>
      <c r="P330" s="19">
        <v>3370.2</v>
      </c>
      <c r="Q330" s="26" t="str">
        <f>IF(OR(P330&lt;'Descriptive Statistics'!$H$17,P330&gt;'Descriptive Statistics'!$H$18),"Potential Outlier","Within Range")</f>
        <v>Potential Outlier</v>
      </c>
      <c r="R330" s="26" t="str">
        <f>IF(OR(G330&lt;'Descriptive Statistics'!$I$17,G330&gt;'Descriptive Statistics'!$I$18),"Potential Outlier","Within Range")</f>
        <v>Within Range</v>
      </c>
      <c r="S330" s="26" t="str">
        <f>IF(OR(H330&lt;'Descriptive Statistics'!$J$17,H330&gt;'Descriptive Statistics'!$J$18),"Potential Outlier","Within Range")</f>
        <v>Within Range</v>
      </c>
    </row>
    <row r="331" hidden="1" spans="1:19">
      <c r="A331" t="s">
        <v>1301</v>
      </c>
      <c r="B331" s="23">
        <v>45651</v>
      </c>
      <c r="C331" s="23" t="str">
        <f t="shared" si="10"/>
        <v>Dec</v>
      </c>
      <c r="D331" s="23" t="str">
        <f t="shared" si="11"/>
        <v>2024</v>
      </c>
      <c r="E331" t="s">
        <v>1302</v>
      </c>
      <c r="F331" s="24" t="s">
        <v>41</v>
      </c>
      <c r="G331" s="17">
        <v>4</v>
      </c>
      <c r="H331" s="19">
        <v>283.16</v>
      </c>
      <c r="I331" t="s">
        <v>988</v>
      </c>
      <c r="J331" s="24" t="s">
        <v>34</v>
      </c>
      <c r="K331" s="24" t="s">
        <v>19</v>
      </c>
      <c r="L331" t="s">
        <v>1303</v>
      </c>
      <c r="M331" s="17">
        <v>6</v>
      </c>
      <c r="N331" t="s">
        <v>4295</v>
      </c>
      <c r="O331" s="24" t="s">
        <v>76</v>
      </c>
      <c r="P331" s="19">
        <v>1132.64</v>
      </c>
      <c r="Q331" s="26" t="str">
        <f>IF(OR(P331&lt;'Descriptive Statistics'!$H$17,P331&gt;'Descriptive Statistics'!$H$18),"Potential Outlier","Within Range")</f>
        <v>Within Range</v>
      </c>
      <c r="R331" s="26" t="str">
        <f>IF(OR(G331&lt;'Descriptive Statistics'!$I$17,G331&gt;'Descriptive Statistics'!$I$18),"Potential Outlier","Within Range")</f>
        <v>Within Range</v>
      </c>
      <c r="S331" s="26" t="str">
        <f>IF(OR(H331&lt;'Descriptive Statistics'!$J$17,H331&gt;'Descriptive Statistics'!$J$18),"Potential Outlier","Within Range")</f>
        <v>Within Range</v>
      </c>
    </row>
    <row r="332" hidden="1" spans="1:19">
      <c r="A332" t="s">
        <v>1304</v>
      </c>
      <c r="B332" s="23">
        <v>45445</v>
      </c>
      <c r="C332" s="23" t="str">
        <f t="shared" si="10"/>
        <v>Jun</v>
      </c>
      <c r="D332" s="23" t="str">
        <f t="shared" si="11"/>
        <v>2024</v>
      </c>
      <c r="E332" t="s">
        <v>1305</v>
      </c>
      <c r="F332" s="24" t="s">
        <v>73</v>
      </c>
      <c r="G332" s="17">
        <v>5</v>
      </c>
      <c r="H332" s="19">
        <v>260.53</v>
      </c>
      <c r="I332" t="s">
        <v>1306</v>
      </c>
      <c r="J332" s="24" t="s">
        <v>60</v>
      </c>
      <c r="K332" s="24" t="s">
        <v>89</v>
      </c>
      <c r="L332" t="s">
        <v>1307</v>
      </c>
      <c r="M332" s="17">
        <v>5</v>
      </c>
      <c r="N332" t="s">
        <v>21</v>
      </c>
      <c r="O332" s="24" t="s">
        <v>22</v>
      </c>
      <c r="P332" s="19">
        <v>1302.65</v>
      </c>
      <c r="Q332" s="26" t="str">
        <f>IF(OR(P332&lt;'Descriptive Statistics'!$H$17,P332&gt;'Descriptive Statistics'!$H$18),"Potential Outlier","Within Range")</f>
        <v>Within Range</v>
      </c>
      <c r="R332" s="26" t="str">
        <f>IF(OR(G332&lt;'Descriptive Statistics'!$I$17,G332&gt;'Descriptive Statistics'!$I$18),"Potential Outlier","Within Range")</f>
        <v>Within Range</v>
      </c>
      <c r="S332" s="26" t="str">
        <f>IF(OR(H332&lt;'Descriptive Statistics'!$J$17,H332&gt;'Descriptive Statistics'!$J$18),"Potential Outlier","Within Range")</f>
        <v>Within Range</v>
      </c>
    </row>
    <row r="333" hidden="1" spans="1:19">
      <c r="A333" t="s">
        <v>1308</v>
      </c>
      <c r="B333" s="23">
        <v>45031</v>
      </c>
      <c r="C333" s="23" t="str">
        <f t="shared" si="10"/>
        <v>Apr</v>
      </c>
      <c r="D333" s="23" t="str">
        <f t="shared" si="11"/>
        <v>2023</v>
      </c>
      <c r="E333" t="s">
        <v>1309</v>
      </c>
      <c r="F333" s="24" t="s">
        <v>48</v>
      </c>
      <c r="G333" s="17">
        <v>3</v>
      </c>
      <c r="H333" s="19">
        <v>422.13</v>
      </c>
      <c r="I333" t="s">
        <v>510</v>
      </c>
      <c r="J333" s="24" t="s">
        <v>27</v>
      </c>
      <c r="K333" s="24" t="s">
        <v>50</v>
      </c>
      <c r="L333" t="s">
        <v>1310</v>
      </c>
      <c r="M333" s="17">
        <v>7</v>
      </c>
      <c r="N333" t="s">
        <v>21</v>
      </c>
      <c r="O333" s="24" t="s">
        <v>45</v>
      </c>
      <c r="P333" s="19">
        <v>1266.39</v>
      </c>
      <c r="Q333" s="26" t="str">
        <f>IF(OR(P333&lt;'Descriptive Statistics'!$H$17,P333&gt;'Descriptive Statistics'!$H$18),"Potential Outlier","Within Range")</f>
        <v>Within Range</v>
      </c>
      <c r="R333" s="26" t="str">
        <f>IF(OR(G333&lt;'Descriptive Statistics'!$I$17,G333&gt;'Descriptive Statistics'!$I$18),"Potential Outlier","Within Range")</f>
        <v>Within Range</v>
      </c>
      <c r="S333" s="26" t="str">
        <f>IF(OR(H333&lt;'Descriptive Statistics'!$J$17,H333&gt;'Descriptive Statistics'!$J$18),"Potential Outlier","Within Range")</f>
        <v>Within Range</v>
      </c>
    </row>
    <row r="334" hidden="1" spans="1:19">
      <c r="A334" t="s">
        <v>1311</v>
      </c>
      <c r="B334" s="23">
        <v>45476</v>
      </c>
      <c r="C334" s="23" t="str">
        <f t="shared" si="10"/>
        <v>Jul</v>
      </c>
      <c r="D334" s="23" t="str">
        <f t="shared" si="11"/>
        <v>2024</v>
      </c>
      <c r="E334" t="s">
        <v>1312</v>
      </c>
      <c r="F334" s="24" t="s">
        <v>73</v>
      </c>
      <c r="G334" s="17">
        <v>5</v>
      </c>
      <c r="H334" s="19">
        <v>125.02</v>
      </c>
      <c r="I334" t="s">
        <v>1313</v>
      </c>
      <c r="J334" s="24" t="s">
        <v>18</v>
      </c>
      <c r="K334" s="24" t="s">
        <v>89</v>
      </c>
      <c r="L334" t="s">
        <v>1314</v>
      </c>
      <c r="M334" s="17">
        <v>9</v>
      </c>
      <c r="N334" t="s">
        <v>21</v>
      </c>
      <c r="O334" s="24" t="s">
        <v>76</v>
      </c>
      <c r="P334" s="19">
        <v>625.1</v>
      </c>
      <c r="Q334" s="26" t="str">
        <f>IF(OR(P334&lt;'Descriptive Statistics'!$H$17,P334&gt;'Descriptive Statistics'!$H$18),"Potential Outlier","Within Range")</f>
        <v>Within Range</v>
      </c>
      <c r="R334" s="26" t="str">
        <f>IF(OR(G334&lt;'Descriptive Statistics'!$I$17,G334&gt;'Descriptive Statistics'!$I$18),"Potential Outlier","Within Range")</f>
        <v>Within Range</v>
      </c>
      <c r="S334" s="26" t="str">
        <f>IF(OR(H334&lt;'Descriptive Statistics'!$J$17,H334&gt;'Descriptive Statistics'!$J$18),"Potential Outlier","Within Range")</f>
        <v>Within Range</v>
      </c>
    </row>
    <row r="335" hidden="1" spans="1:19">
      <c r="A335" t="s">
        <v>1315</v>
      </c>
      <c r="B335" s="23">
        <v>45398</v>
      </c>
      <c r="C335" s="23" t="str">
        <f t="shared" si="10"/>
        <v>Apr</v>
      </c>
      <c r="D335" s="23" t="str">
        <f t="shared" si="11"/>
        <v>2024</v>
      </c>
      <c r="E335" t="s">
        <v>1316</v>
      </c>
      <c r="F335" s="24" t="s">
        <v>25</v>
      </c>
      <c r="G335" s="17">
        <v>1</v>
      </c>
      <c r="H335" s="19">
        <v>198.51</v>
      </c>
      <c r="I335" t="s">
        <v>1317</v>
      </c>
      <c r="J335" s="24" t="s">
        <v>34</v>
      </c>
      <c r="K335" s="24" t="s">
        <v>43</v>
      </c>
      <c r="L335" t="s">
        <v>1318</v>
      </c>
      <c r="M335" s="17">
        <v>5</v>
      </c>
      <c r="N335" t="s">
        <v>81</v>
      </c>
      <c r="O335" s="24" t="s">
        <v>22</v>
      </c>
      <c r="P335" s="19">
        <v>198.51</v>
      </c>
      <c r="Q335" s="26" t="str">
        <f>IF(OR(P335&lt;'Descriptive Statistics'!$H$17,P335&gt;'Descriptive Statistics'!$H$18),"Potential Outlier","Within Range")</f>
        <v>Within Range</v>
      </c>
      <c r="R335" s="26" t="str">
        <f>IF(OR(G335&lt;'Descriptive Statistics'!$I$17,G335&gt;'Descriptive Statistics'!$I$18),"Potential Outlier","Within Range")</f>
        <v>Within Range</v>
      </c>
      <c r="S335" s="26" t="str">
        <f>IF(OR(H335&lt;'Descriptive Statistics'!$J$17,H335&gt;'Descriptive Statistics'!$J$18),"Potential Outlier","Within Range")</f>
        <v>Within Range</v>
      </c>
    </row>
    <row r="336" hidden="1" spans="1:19">
      <c r="A336" t="s">
        <v>1319</v>
      </c>
      <c r="B336" s="23">
        <v>45377</v>
      </c>
      <c r="C336" s="23" t="str">
        <f t="shared" si="10"/>
        <v>Mar</v>
      </c>
      <c r="D336" s="23" t="str">
        <f t="shared" si="11"/>
        <v>2024</v>
      </c>
      <c r="E336" t="s">
        <v>1320</v>
      </c>
      <c r="F336" s="24" t="s">
        <v>41</v>
      </c>
      <c r="G336" s="17">
        <v>4</v>
      </c>
      <c r="H336" s="19">
        <v>224.75</v>
      </c>
      <c r="I336" t="s">
        <v>1321</v>
      </c>
      <c r="J336" s="24" t="s">
        <v>27</v>
      </c>
      <c r="K336" s="24" t="s">
        <v>50</v>
      </c>
      <c r="L336" t="s">
        <v>1322</v>
      </c>
      <c r="M336" s="17">
        <v>7</v>
      </c>
      <c r="N336" t="s">
        <v>81</v>
      </c>
      <c r="O336" s="24" t="s">
        <v>45</v>
      </c>
      <c r="P336" s="19">
        <v>899</v>
      </c>
      <c r="Q336" s="26" t="str">
        <f>IF(OR(P336&lt;'Descriptive Statistics'!$H$17,P336&gt;'Descriptive Statistics'!$H$18),"Potential Outlier","Within Range")</f>
        <v>Within Range</v>
      </c>
      <c r="R336" s="26" t="str">
        <f>IF(OR(G336&lt;'Descriptive Statistics'!$I$17,G336&gt;'Descriptive Statistics'!$I$18),"Potential Outlier","Within Range")</f>
        <v>Within Range</v>
      </c>
      <c r="S336" s="26" t="str">
        <f>IF(OR(H336&lt;'Descriptive Statistics'!$J$17,H336&gt;'Descriptive Statistics'!$J$18),"Potential Outlier","Within Range")</f>
        <v>Within Range</v>
      </c>
    </row>
    <row r="337" hidden="1" spans="1:19">
      <c r="A337" t="s">
        <v>1323</v>
      </c>
      <c r="B337" s="23">
        <v>45719</v>
      </c>
      <c r="C337" s="23" t="str">
        <f t="shared" si="10"/>
        <v>Mar</v>
      </c>
      <c r="D337" s="23" t="str">
        <f t="shared" si="11"/>
        <v>2025</v>
      </c>
      <c r="E337" t="s">
        <v>1324</v>
      </c>
      <c r="F337" s="24" t="s">
        <v>32</v>
      </c>
      <c r="G337" s="17">
        <v>3</v>
      </c>
      <c r="H337" s="19">
        <v>205.86</v>
      </c>
      <c r="I337" t="s">
        <v>1244</v>
      </c>
      <c r="J337" s="24" t="s">
        <v>60</v>
      </c>
      <c r="K337" s="24" t="s">
        <v>19</v>
      </c>
      <c r="L337" t="s">
        <v>1325</v>
      </c>
      <c r="M337" s="17">
        <v>4</v>
      </c>
      <c r="N337" t="s">
        <v>4295</v>
      </c>
      <c r="O337" s="24" t="s">
        <v>38</v>
      </c>
      <c r="P337" s="19">
        <v>617.58</v>
      </c>
      <c r="Q337" s="26" t="str">
        <f>IF(OR(P337&lt;'Descriptive Statistics'!$H$17,P337&gt;'Descriptive Statistics'!$H$18),"Potential Outlier","Within Range")</f>
        <v>Within Range</v>
      </c>
      <c r="R337" s="26" t="str">
        <f>IF(OR(G337&lt;'Descriptive Statistics'!$I$17,G337&gt;'Descriptive Statistics'!$I$18),"Potential Outlier","Within Range")</f>
        <v>Within Range</v>
      </c>
      <c r="S337" s="26" t="str">
        <f>IF(OR(H337&lt;'Descriptive Statistics'!$J$17,H337&gt;'Descriptive Statistics'!$J$18),"Potential Outlier","Within Range")</f>
        <v>Within Range</v>
      </c>
    </row>
    <row r="338" hidden="1" spans="1:19">
      <c r="A338" t="s">
        <v>1326</v>
      </c>
      <c r="B338" s="23">
        <v>45289</v>
      </c>
      <c r="C338" s="23" t="str">
        <f t="shared" si="10"/>
        <v>Dec</v>
      </c>
      <c r="D338" s="23" t="str">
        <f t="shared" si="11"/>
        <v>2023</v>
      </c>
      <c r="E338" t="s">
        <v>1327</v>
      </c>
      <c r="F338" s="24" t="s">
        <v>58</v>
      </c>
      <c r="G338" s="17">
        <v>1</v>
      </c>
      <c r="H338" s="19">
        <v>18.2</v>
      </c>
      <c r="I338" t="s">
        <v>1328</v>
      </c>
      <c r="J338" s="24" t="s">
        <v>18</v>
      </c>
      <c r="K338" s="24" t="s">
        <v>89</v>
      </c>
      <c r="L338" t="s">
        <v>1329</v>
      </c>
      <c r="M338" s="17">
        <v>4</v>
      </c>
      <c r="N338" t="s">
        <v>21</v>
      </c>
      <c r="O338" s="24" t="s">
        <v>22</v>
      </c>
      <c r="P338" s="19">
        <v>18.2</v>
      </c>
      <c r="Q338" s="26" t="str">
        <f>IF(OR(P338&lt;'Descriptive Statistics'!$H$17,P338&gt;'Descriptive Statistics'!$H$18),"Potential Outlier","Within Range")</f>
        <v>Within Range</v>
      </c>
      <c r="R338" s="26" t="str">
        <f>IF(OR(G338&lt;'Descriptive Statistics'!$I$17,G338&gt;'Descriptive Statistics'!$I$18),"Potential Outlier","Within Range")</f>
        <v>Within Range</v>
      </c>
      <c r="S338" s="26" t="str">
        <f>IF(OR(H338&lt;'Descriptive Statistics'!$J$17,H338&gt;'Descriptive Statistics'!$J$18),"Potential Outlier","Within Range")</f>
        <v>Within Range</v>
      </c>
    </row>
    <row r="339" hidden="1" spans="1:19">
      <c r="A339" t="s">
        <v>1330</v>
      </c>
      <c r="B339" s="23">
        <v>45075</v>
      </c>
      <c r="C339" s="23" t="str">
        <f t="shared" si="10"/>
        <v>May</v>
      </c>
      <c r="D339" s="23" t="str">
        <f t="shared" si="11"/>
        <v>2023</v>
      </c>
      <c r="E339" t="s">
        <v>1331</v>
      </c>
      <c r="F339" s="24" t="s">
        <v>32</v>
      </c>
      <c r="G339" s="17">
        <v>3</v>
      </c>
      <c r="H339" s="19">
        <v>502.77</v>
      </c>
      <c r="I339" t="s">
        <v>1332</v>
      </c>
      <c r="J339" s="24" t="s">
        <v>18</v>
      </c>
      <c r="K339" s="24" t="s">
        <v>43</v>
      </c>
      <c r="L339" t="s">
        <v>1333</v>
      </c>
      <c r="M339" s="17">
        <v>8</v>
      </c>
      <c r="N339" t="s">
        <v>81</v>
      </c>
      <c r="O339" s="24" t="s">
        <v>38</v>
      </c>
      <c r="P339" s="19">
        <v>1508.31</v>
      </c>
      <c r="Q339" s="26" t="str">
        <f>IF(OR(P339&lt;'Descriptive Statistics'!$H$17,P339&gt;'Descriptive Statistics'!$H$18),"Potential Outlier","Within Range")</f>
        <v>Within Range</v>
      </c>
      <c r="R339" s="26" t="str">
        <f>IF(OR(G339&lt;'Descriptive Statistics'!$I$17,G339&gt;'Descriptive Statistics'!$I$18),"Potential Outlier","Within Range")</f>
        <v>Within Range</v>
      </c>
      <c r="S339" s="26" t="str">
        <f>IF(OR(H339&lt;'Descriptive Statistics'!$J$17,H339&gt;'Descriptive Statistics'!$J$18),"Potential Outlier","Within Range")</f>
        <v>Within Range</v>
      </c>
    </row>
    <row r="340" hidden="1" spans="1:19">
      <c r="A340" t="s">
        <v>1334</v>
      </c>
      <c r="B340" s="23">
        <v>45238</v>
      </c>
      <c r="C340" s="23" t="str">
        <f t="shared" si="10"/>
        <v>Nov</v>
      </c>
      <c r="D340" s="23" t="str">
        <f t="shared" si="11"/>
        <v>2023</v>
      </c>
      <c r="E340" t="s">
        <v>1335</v>
      </c>
      <c r="F340" s="24" t="s">
        <v>25</v>
      </c>
      <c r="G340" s="17">
        <v>5</v>
      </c>
      <c r="H340" s="19">
        <v>305.49</v>
      </c>
      <c r="I340" t="s">
        <v>1336</v>
      </c>
      <c r="J340" s="24" t="s">
        <v>18</v>
      </c>
      <c r="K340" s="24" t="s">
        <v>19</v>
      </c>
      <c r="L340" t="s">
        <v>1337</v>
      </c>
      <c r="M340" s="17">
        <v>10</v>
      </c>
      <c r="N340" t="s">
        <v>4295</v>
      </c>
      <c r="O340" s="24" t="s">
        <v>29</v>
      </c>
      <c r="P340" s="19">
        <v>1527.45</v>
      </c>
      <c r="Q340" s="26" t="str">
        <f>IF(OR(P340&lt;'Descriptive Statistics'!$H$17,P340&gt;'Descriptive Statistics'!$H$18),"Potential Outlier","Within Range")</f>
        <v>Within Range</v>
      </c>
      <c r="R340" s="26" t="str">
        <f>IF(OR(G340&lt;'Descriptive Statistics'!$I$17,G340&gt;'Descriptive Statistics'!$I$18),"Potential Outlier","Within Range")</f>
        <v>Within Range</v>
      </c>
      <c r="S340" s="26" t="str">
        <f>IF(OR(H340&lt;'Descriptive Statistics'!$J$17,H340&gt;'Descriptive Statistics'!$J$18),"Potential Outlier","Within Range")</f>
        <v>Within Range</v>
      </c>
    </row>
    <row r="341" hidden="1" spans="1:19">
      <c r="A341" t="s">
        <v>1338</v>
      </c>
      <c r="B341" s="23">
        <v>45392</v>
      </c>
      <c r="C341" s="23" t="str">
        <f t="shared" si="10"/>
        <v>Apr</v>
      </c>
      <c r="D341" s="23" t="str">
        <f t="shared" si="11"/>
        <v>2024</v>
      </c>
      <c r="E341" t="s">
        <v>1339</v>
      </c>
      <c r="F341" s="24" t="s">
        <v>48</v>
      </c>
      <c r="G341" s="17">
        <v>2</v>
      </c>
      <c r="H341" s="19">
        <v>236.33</v>
      </c>
      <c r="I341" t="s">
        <v>1340</v>
      </c>
      <c r="J341" s="24" t="s">
        <v>27</v>
      </c>
      <c r="K341" s="24" t="s">
        <v>89</v>
      </c>
      <c r="L341" t="s">
        <v>1341</v>
      </c>
      <c r="M341" s="17">
        <v>3</v>
      </c>
      <c r="N341" t="s">
        <v>21</v>
      </c>
      <c r="O341" s="24" t="s">
        <v>22</v>
      </c>
      <c r="P341" s="19">
        <v>472.66</v>
      </c>
      <c r="Q341" s="26" t="str">
        <f>IF(OR(P341&lt;'Descriptive Statistics'!$H$17,P341&gt;'Descriptive Statistics'!$H$18),"Potential Outlier","Within Range")</f>
        <v>Within Range</v>
      </c>
      <c r="R341" s="26" t="str">
        <f>IF(OR(G341&lt;'Descriptive Statistics'!$I$17,G341&gt;'Descriptive Statistics'!$I$18),"Potential Outlier","Within Range")</f>
        <v>Within Range</v>
      </c>
      <c r="S341" s="26" t="str">
        <f>IF(OR(H341&lt;'Descriptive Statistics'!$J$17,H341&gt;'Descriptive Statistics'!$J$18),"Potential Outlier","Within Range")</f>
        <v>Within Range</v>
      </c>
    </row>
    <row r="342" hidden="1" spans="1:19">
      <c r="A342" t="s">
        <v>1342</v>
      </c>
      <c r="B342" s="23">
        <v>45039</v>
      </c>
      <c r="C342" s="23" t="str">
        <f t="shared" si="10"/>
        <v>Apr</v>
      </c>
      <c r="D342" s="23" t="str">
        <f t="shared" si="11"/>
        <v>2023</v>
      </c>
      <c r="E342" t="s">
        <v>1343</v>
      </c>
      <c r="F342" s="24" t="s">
        <v>58</v>
      </c>
      <c r="G342" s="17">
        <v>5</v>
      </c>
      <c r="H342" s="19">
        <v>521.25</v>
      </c>
      <c r="I342" t="s">
        <v>1344</v>
      </c>
      <c r="J342" s="24" t="s">
        <v>65</v>
      </c>
      <c r="K342" s="24" t="s">
        <v>35</v>
      </c>
      <c r="L342" t="s">
        <v>1345</v>
      </c>
      <c r="M342" s="17">
        <v>8</v>
      </c>
      <c r="N342" t="s">
        <v>4295</v>
      </c>
      <c r="O342" s="24" t="s">
        <v>38</v>
      </c>
      <c r="P342" s="19">
        <v>2606.25</v>
      </c>
      <c r="Q342" s="26" t="str">
        <f>IF(OR(P342&lt;'Descriptive Statistics'!$H$17,P342&gt;'Descriptive Statistics'!$H$18),"Potential Outlier","Within Range")</f>
        <v>Within Range</v>
      </c>
      <c r="R342" s="26" t="str">
        <f>IF(OR(G342&lt;'Descriptive Statistics'!$I$17,G342&gt;'Descriptive Statistics'!$I$18),"Potential Outlier","Within Range")</f>
        <v>Within Range</v>
      </c>
      <c r="S342" s="26" t="str">
        <f>IF(OR(H342&lt;'Descriptive Statistics'!$J$17,H342&gt;'Descriptive Statistics'!$J$18),"Potential Outlier","Within Range")</f>
        <v>Within Range</v>
      </c>
    </row>
    <row r="343" hidden="1" spans="1:19">
      <c r="A343" t="s">
        <v>1346</v>
      </c>
      <c r="B343" s="23">
        <v>45558</v>
      </c>
      <c r="C343" s="23" t="str">
        <f t="shared" si="10"/>
        <v>Sep</v>
      </c>
      <c r="D343" s="23" t="str">
        <f t="shared" si="11"/>
        <v>2024</v>
      </c>
      <c r="E343" t="s">
        <v>1347</v>
      </c>
      <c r="F343" s="24" t="s">
        <v>32</v>
      </c>
      <c r="G343" s="17">
        <v>1</v>
      </c>
      <c r="H343" s="19">
        <v>167.15</v>
      </c>
      <c r="I343" t="s">
        <v>1348</v>
      </c>
      <c r="J343" s="24" t="s">
        <v>60</v>
      </c>
      <c r="K343" s="24" t="s">
        <v>19</v>
      </c>
      <c r="L343" t="s">
        <v>1349</v>
      </c>
      <c r="M343" s="17">
        <v>5</v>
      </c>
      <c r="N343" t="s">
        <v>81</v>
      </c>
      <c r="O343" s="24" t="s">
        <v>38</v>
      </c>
      <c r="P343" s="19">
        <v>167.15</v>
      </c>
      <c r="Q343" s="26" t="str">
        <f>IF(OR(P343&lt;'Descriptive Statistics'!$H$17,P343&gt;'Descriptive Statistics'!$H$18),"Potential Outlier","Within Range")</f>
        <v>Within Range</v>
      </c>
      <c r="R343" s="26" t="str">
        <f>IF(OR(G343&lt;'Descriptive Statistics'!$I$17,G343&gt;'Descriptive Statistics'!$I$18),"Potential Outlier","Within Range")</f>
        <v>Within Range</v>
      </c>
      <c r="S343" s="26" t="str">
        <f>IF(OR(H343&lt;'Descriptive Statistics'!$J$17,H343&gt;'Descriptive Statistics'!$J$18),"Potential Outlier","Within Range")</f>
        <v>Within Range</v>
      </c>
    </row>
    <row r="344" hidden="1" spans="1:19">
      <c r="A344" t="s">
        <v>1350</v>
      </c>
      <c r="B344" s="23">
        <v>45832</v>
      </c>
      <c r="C344" s="23" t="str">
        <f t="shared" si="10"/>
        <v>Jun</v>
      </c>
      <c r="D344" s="23" t="str">
        <f t="shared" si="11"/>
        <v>2025</v>
      </c>
      <c r="E344" t="s">
        <v>1351</v>
      </c>
      <c r="F344" s="24" t="s">
        <v>16</v>
      </c>
      <c r="G344" s="17">
        <v>5</v>
      </c>
      <c r="H344" s="19">
        <v>466.42</v>
      </c>
      <c r="I344" t="s">
        <v>1352</v>
      </c>
      <c r="J344" s="24" t="s">
        <v>60</v>
      </c>
      <c r="K344" s="24" t="s">
        <v>43</v>
      </c>
      <c r="L344" t="s">
        <v>1353</v>
      </c>
      <c r="M344" s="17">
        <v>5</v>
      </c>
      <c r="N344" t="s">
        <v>4295</v>
      </c>
      <c r="O344" s="24" t="s">
        <v>29</v>
      </c>
      <c r="P344" s="19">
        <v>2332.1</v>
      </c>
      <c r="Q344" s="26" t="str">
        <f>IF(OR(P344&lt;'Descriptive Statistics'!$H$17,P344&gt;'Descriptive Statistics'!$H$18),"Potential Outlier","Within Range")</f>
        <v>Within Range</v>
      </c>
      <c r="R344" s="26" t="str">
        <f>IF(OR(G344&lt;'Descriptive Statistics'!$I$17,G344&gt;'Descriptive Statistics'!$I$18),"Potential Outlier","Within Range")</f>
        <v>Within Range</v>
      </c>
      <c r="S344" s="26" t="str">
        <f>IF(OR(H344&lt;'Descriptive Statistics'!$J$17,H344&gt;'Descriptive Statistics'!$J$18),"Potential Outlier","Within Range")</f>
        <v>Within Range</v>
      </c>
    </row>
    <row r="345" hidden="1" spans="1:19">
      <c r="A345" t="s">
        <v>1354</v>
      </c>
      <c r="B345" s="23">
        <v>44983</v>
      </c>
      <c r="C345" s="23" t="str">
        <f t="shared" si="10"/>
        <v>Feb</v>
      </c>
      <c r="D345" s="23" t="str">
        <f t="shared" si="11"/>
        <v>2023</v>
      </c>
      <c r="E345" t="s">
        <v>1355</v>
      </c>
      <c r="F345" s="24" t="s">
        <v>48</v>
      </c>
      <c r="G345" s="17">
        <v>1</v>
      </c>
      <c r="H345" s="19">
        <v>527.57</v>
      </c>
      <c r="I345" t="s">
        <v>1356</v>
      </c>
      <c r="J345" s="24" t="s">
        <v>18</v>
      </c>
      <c r="K345" s="24" t="s">
        <v>89</v>
      </c>
      <c r="L345" t="s">
        <v>1357</v>
      </c>
      <c r="M345" s="17">
        <v>3</v>
      </c>
      <c r="N345" t="s">
        <v>37</v>
      </c>
      <c r="O345" s="24" t="s">
        <v>45</v>
      </c>
      <c r="P345" s="19">
        <v>527.57</v>
      </c>
      <c r="Q345" s="26" t="str">
        <f>IF(OR(P345&lt;'Descriptive Statistics'!$H$17,P345&gt;'Descriptive Statistics'!$H$18),"Potential Outlier","Within Range")</f>
        <v>Within Range</v>
      </c>
      <c r="R345" s="26" t="str">
        <f>IF(OR(G345&lt;'Descriptive Statistics'!$I$17,G345&gt;'Descriptive Statistics'!$I$18),"Potential Outlier","Within Range")</f>
        <v>Within Range</v>
      </c>
      <c r="S345" s="26" t="str">
        <f>IF(OR(H345&lt;'Descriptive Statistics'!$J$17,H345&gt;'Descriptive Statistics'!$J$18),"Potential Outlier","Within Range")</f>
        <v>Within Range</v>
      </c>
    </row>
    <row r="346" hidden="1" spans="1:19">
      <c r="A346" t="s">
        <v>1358</v>
      </c>
      <c r="B346" s="23">
        <v>45722</v>
      </c>
      <c r="C346" s="23" t="str">
        <f t="shared" si="10"/>
        <v>Mar</v>
      </c>
      <c r="D346" s="23" t="str">
        <f t="shared" si="11"/>
        <v>2025</v>
      </c>
      <c r="E346" t="s">
        <v>1359</v>
      </c>
      <c r="F346" s="24" t="s">
        <v>32</v>
      </c>
      <c r="G346" s="17">
        <v>3</v>
      </c>
      <c r="H346" s="19">
        <v>623.34</v>
      </c>
      <c r="I346" t="s">
        <v>1360</v>
      </c>
      <c r="J346" s="24" t="s">
        <v>27</v>
      </c>
      <c r="K346" s="24" t="s">
        <v>35</v>
      </c>
      <c r="L346" t="s">
        <v>1361</v>
      </c>
      <c r="M346" s="17">
        <v>3</v>
      </c>
      <c r="N346" t="s">
        <v>21</v>
      </c>
      <c r="O346" s="24" t="s">
        <v>22</v>
      </c>
      <c r="P346" s="19">
        <v>1870.02</v>
      </c>
      <c r="Q346" s="26" t="str">
        <f>IF(OR(P346&lt;'Descriptive Statistics'!$H$17,P346&gt;'Descriptive Statistics'!$H$18),"Potential Outlier","Within Range")</f>
        <v>Within Range</v>
      </c>
      <c r="R346" s="26" t="str">
        <f>IF(OR(G346&lt;'Descriptive Statistics'!$I$17,G346&gt;'Descriptive Statistics'!$I$18),"Potential Outlier","Within Range")</f>
        <v>Within Range</v>
      </c>
      <c r="S346" s="26" t="str">
        <f>IF(OR(H346&lt;'Descriptive Statistics'!$J$17,H346&gt;'Descriptive Statistics'!$J$18),"Potential Outlier","Within Range")</f>
        <v>Within Range</v>
      </c>
    </row>
    <row r="347" hidden="1" spans="1:19">
      <c r="A347" t="s">
        <v>1362</v>
      </c>
      <c r="B347" s="23">
        <v>45267</v>
      </c>
      <c r="C347" s="23" t="str">
        <f t="shared" si="10"/>
        <v>Dec</v>
      </c>
      <c r="D347" s="23" t="str">
        <f t="shared" si="11"/>
        <v>2023</v>
      </c>
      <c r="E347" t="s">
        <v>1363</v>
      </c>
      <c r="F347" s="24" t="s">
        <v>32</v>
      </c>
      <c r="G347" s="17">
        <v>5</v>
      </c>
      <c r="H347" s="19">
        <v>501.26</v>
      </c>
      <c r="I347" t="s">
        <v>1364</v>
      </c>
      <c r="J347" s="24" t="s">
        <v>60</v>
      </c>
      <c r="K347" s="24" t="s">
        <v>19</v>
      </c>
      <c r="L347" t="s">
        <v>1365</v>
      </c>
      <c r="M347" s="17">
        <v>10</v>
      </c>
      <c r="N347" t="s">
        <v>37</v>
      </c>
      <c r="O347" s="24" t="s">
        <v>29</v>
      </c>
      <c r="P347" s="19">
        <v>2506.3</v>
      </c>
      <c r="Q347" s="26" t="str">
        <f>IF(OR(P347&lt;'Descriptive Statistics'!$H$17,P347&gt;'Descriptive Statistics'!$H$18),"Potential Outlier","Within Range")</f>
        <v>Within Range</v>
      </c>
      <c r="R347" s="26" t="str">
        <f>IF(OR(G347&lt;'Descriptive Statistics'!$I$17,G347&gt;'Descriptive Statistics'!$I$18),"Potential Outlier","Within Range")</f>
        <v>Within Range</v>
      </c>
      <c r="S347" s="26" t="str">
        <f>IF(OR(H347&lt;'Descriptive Statistics'!$J$17,H347&gt;'Descriptive Statistics'!$J$18),"Potential Outlier","Within Range")</f>
        <v>Within Range</v>
      </c>
    </row>
    <row r="348" hidden="1" spans="1:19">
      <c r="A348" t="s">
        <v>1366</v>
      </c>
      <c r="B348" s="23">
        <v>45632</v>
      </c>
      <c r="C348" s="23" t="str">
        <f t="shared" si="10"/>
        <v>Dec</v>
      </c>
      <c r="D348" s="23" t="str">
        <f t="shared" si="11"/>
        <v>2024</v>
      </c>
      <c r="E348" t="s">
        <v>1367</v>
      </c>
      <c r="F348" s="24" t="s">
        <v>32</v>
      </c>
      <c r="G348" s="17">
        <v>1</v>
      </c>
      <c r="H348" s="19">
        <v>655.09</v>
      </c>
      <c r="I348" t="s">
        <v>1368</v>
      </c>
      <c r="J348" s="24" t="s">
        <v>65</v>
      </c>
      <c r="K348" s="24" t="s">
        <v>89</v>
      </c>
      <c r="L348" t="s">
        <v>1369</v>
      </c>
      <c r="M348" s="17">
        <v>6</v>
      </c>
      <c r="N348" t="s">
        <v>4295</v>
      </c>
      <c r="O348" s="24" t="s">
        <v>29</v>
      </c>
      <c r="P348" s="19">
        <v>655.09</v>
      </c>
      <c r="Q348" s="26" t="str">
        <f>IF(OR(P348&lt;'Descriptive Statistics'!$H$17,P348&gt;'Descriptive Statistics'!$H$18),"Potential Outlier","Within Range")</f>
        <v>Within Range</v>
      </c>
      <c r="R348" s="26" t="str">
        <f>IF(OR(G348&lt;'Descriptive Statistics'!$I$17,G348&gt;'Descriptive Statistics'!$I$18),"Potential Outlier","Within Range")</f>
        <v>Within Range</v>
      </c>
      <c r="S348" s="26" t="str">
        <f>IF(OR(H348&lt;'Descriptive Statistics'!$J$17,H348&gt;'Descriptive Statistics'!$J$18),"Potential Outlier","Within Range")</f>
        <v>Within Range</v>
      </c>
    </row>
    <row r="349" hidden="1" spans="1:19">
      <c r="A349" t="s">
        <v>1370</v>
      </c>
      <c r="B349" s="23">
        <v>45325</v>
      </c>
      <c r="C349" s="23" t="str">
        <f t="shared" si="10"/>
        <v>Feb</v>
      </c>
      <c r="D349" s="23" t="str">
        <f t="shared" si="11"/>
        <v>2024</v>
      </c>
      <c r="E349" t="s">
        <v>1371</v>
      </c>
      <c r="F349" s="24" t="s">
        <v>48</v>
      </c>
      <c r="G349" s="17">
        <v>4</v>
      </c>
      <c r="H349" s="19">
        <v>264.79</v>
      </c>
      <c r="I349" t="s">
        <v>1372</v>
      </c>
      <c r="J349" s="24" t="s">
        <v>34</v>
      </c>
      <c r="K349" s="24" t="s">
        <v>89</v>
      </c>
      <c r="L349" t="s">
        <v>1373</v>
      </c>
      <c r="M349" s="17">
        <v>5</v>
      </c>
      <c r="N349" t="s">
        <v>21</v>
      </c>
      <c r="O349" s="24" t="s">
        <v>76</v>
      </c>
      <c r="P349" s="19">
        <v>1059.16</v>
      </c>
      <c r="Q349" s="26" t="str">
        <f>IF(OR(P349&lt;'Descriptive Statistics'!$H$17,P349&gt;'Descriptive Statistics'!$H$18),"Potential Outlier","Within Range")</f>
        <v>Within Range</v>
      </c>
      <c r="R349" s="26" t="str">
        <f>IF(OR(G349&lt;'Descriptive Statistics'!$I$17,G349&gt;'Descriptive Statistics'!$I$18),"Potential Outlier","Within Range")</f>
        <v>Within Range</v>
      </c>
      <c r="S349" s="26" t="str">
        <f>IF(OR(H349&lt;'Descriptive Statistics'!$J$17,H349&gt;'Descriptive Statistics'!$J$18),"Potential Outlier","Within Range")</f>
        <v>Within Range</v>
      </c>
    </row>
    <row r="350" hidden="1" spans="1:19">
      <c r="A350" t="s">
        <v>1374</v>
      </c>
      <c r="B350" s="23">
        <v>45364</v>
      </c>
      <c r="C350" s="23" t="str">
        <f t="shared" si="10"/>
        <v>Mar</v>
      </c>
      <c r="D350" s="23" t="str">
        <f t="shared" si="11"/>
        <v>2024</v>
      </c>
      <c r="E350" t="s">
        <v>1375</v>
      </c>
      <c r="F350" s="24" t="s">
        <v>58</v>
      </c>
      <c r="G350" s="17">
        <v>3</v>
      </c>
      <c r="H350" s="19">
        <v>359.73</v>
      </c>
      <c r="I350" t="s">
        <v>1376</v>
      </c>
      <c r="J350" s="24" t="s">
        <v>18</v>
      </c>
      <c r="K350" s="24" t="s">
        <v>43</v>
      </c>
      <c r="L350" t="s">
        <v>1377</v>
      </c>
      <c r="M350" s="17">
        <v>7</v>
      </c>
      <c r="N350" t="s">
        <v>37</v>
      </c>
      <c r="O350" s="24" t="s">
        <v>38</v>
      </c>
      <c r="P350" s="19">
        <v>1079.19</v>
      </c>
      <c r="Q350" s="26" t="str">
        <f>IF(OR(P350&lt;'Descriptive Statistics'!$H$17,P350&gt;'Descriptive Statistics'!$H$18),"Potential Outlier","Within Range")</f>
        <v>Within Range</v>
      </c>
      <c r="R350" s="26" t="str">
        <f>IF(OR(G350&lt;'Descriptive Statistics'!$I$17,G350&gt;'Descriptive Statistics'!$I$18),"Potential Outlier","Within Range")</f>
        <v>Within Range</v>
      </c>
      <c r="S350" s="26" t="str">
        <f>IF(OR(H350&lt;'Descriptive Statistics'!$J$17,H350&gt;'Descriptive Statistics'!$J$18),"Potential Outlier","Within Range")</f>
        <v>Within Range</v>
      </c>
    </row>
    <row r="351" hidden="1" spans="1:19">
      <c r="A351" t="s">
        <v>1378</v>
      </c>
      <c r="B351" s="23">
        <v>45260</v>
      </c>
      <c r="C351" s="23" t="str">
        <f t="shared" si="10"/>
        <v>Nov</v>
      </c>
      <c r="D351" s="23" t="str">
        <f t="shared" si="11"/>
        <v>2023</v>
      </c>
      <c r="E351" t="s">
        <v>1379</v>
      </c>
      <c r="F351" s="24" t="s">
        <v>41</v>
      </c>
      <c r="G351" s="17">
        <v>1</v>
      </c>
      <c r="H351" s="19">
        <v>465.33</v>
      </c>
      <c r="I351" t="s">
        <v>1380</v>
      </c>
      <c r="J351" s="24" t="s">
        <v>60</v>
      </c>
      <c r="K351" s="24" t="s">
        <v>50</v>
      </c>
      <c r="L351" t="s">
        <v>1381</v>
      </c>
      <c r="M351" s="17">
        <v>2</v>
      </c>
      <c r="N351" t="s">
        <v>37</v>
      </c>
      <c r="O351" s="24" t="s">
        <v>76</v>
      </c>
      <c r="P351" s="19">
        <v>465.33</v>
      </c>
      <c r="Q351" s="26" t="str">
        <f>IF(OR(P351&lt;'Descriptive Statistics'!$H$17,P351&gt;'Descriptive Statistics'!$H$18),"Potential Outlier","Within Range")</f>
        <v>Within Range</v>
      </c>
      <c r="R351" s="26" t="str">
        <f>IF(OR(G351&lt;'Descriptive Statistics'!$I$17,G351&gt;'Descriptive Statistics'!$I$18),"Potential Outlier","Within Range")</f>
        <v>Within Range</v>
      </c>
      <c r="S351" s="26" t="str">
        <f>IF(OR(H351&lt;'Descriptive Statistics'!$J$17,H351&gt;'Descriptive Statistics'!$J$18),"Potential Outlier","Within Range")</f>
        <v>Within Range</v>
      </c>
    </row>
    <row r="352" hidden="1" spans="1:19">
      <c r="A352" t="s">
        <v>1382</v>
      </c>
      <c r="B352" s="23">
        <v>45080</v>
      </c>
      <c r="C352" s="23" t="str">
        <f t="shared" si="10"/>
        <v>Jun</v>
      </c>
      <c r="D352" s="23" t="str">
        <f t="shared" si="11"/>
        <v>2023</v>
      </c>
      <c r="E352" t="s">
        <v>1383</v>
      </c>
      <c r="F352" s="24" t="s">
        <v>41</v>
      </c>
      <c r="G352" s="17">
        <v>2</v>
      </c>
      <c r="H352" s="19">
        <v>54.41</v>
      </c>
      <c r="I352" t="s">
        <v>1384</v>
      </c>
      <c r="J352" s="24" t="s">
        <v>27</v>
      </c>
      <c r="K352" s="24" t="s">
        <v>19</v>
      </c>
      <c r="L352" t="s">
        <v>1385</v>
      </c>
      <c r="M352" s="17">
        <v>6</v>
      </c>
      <c r="N352" t="s">
        <v>4295</v>
      </c>
      <c r="O352" s="24" t="s">
        <v>22</v>
      </c>
      <c r="P352" s="19">
        <v>108.82</v>
      </c>
      <c r="Q352" s="26" t="str">
        <f>IF(OR(P352&lt;'Descriptive Statistics'!$H$17,P352&gt;'Descriptive Statistics'!$H$18),"Potential Outlier","Within Range")</f>
        <v>Within Range</v>
      </c>
      <c r="R352" s="26" t="str">
        <f>IF(OR(G352&lt;'Descriptive Statistics'!$I$17,G352&gt;'Descriptive Statistics'!$I$18),"Potential Outlier","Within Range")</f>
        <v>Within Range</v>
      </c>
      <c r="S352" s="26" t="str">
        <f>IF(OR(H352&lt;'Descriptive Statistics'!$J$17,H352&gt;'Descriptive Statistics'!$J$18),"Potential Outlier","Within Range")</f>
        <v>Within Range</v>
      </c>
    </row>
    <row r="353" hidden="1" spans="1:19">
      <c r="A353" t="s">
        <v>1386</v>
      </c>
      <c r="B353" s="23">
        <v>45703</v>
      </c>
      <c r="C353" s="23" t="str">
        <f t="shared" si="10"/>
        <v>Feb</v>
      </c>
      <c r="D353" s="23" t="str">
        <f t="shared" si="11"/>
        <v>2025</v>
      </c>
      <c r="E353" t="s">
        <v>1387</v>
      </c>
      <c r="F353" s="24" t="s">
        <v>58</v>
      </c>
      <c r="G353" s="17">
        <v>1</v>
      </c>
      <c r="H353" s="19">
        <v>64.66</v>
      </c>
      <c r="I353" t="s">
        <v>1388</v>
      </c>
      <c r="J353" s="24" t="s">
        <v>18</v>
      </c>
      <c r="K353" s="24" t="s">
        <v>50</v>
      </c>
      <c r="L353" t="s">
        <v>1389</v>
      </c>
      <c r="M353" s="17">
        <v>4</v>
      </c>
      <c r="N353" t="s">
        <v>4295</v>
      </c>
      <c r="O353" s="24" t="s">
        <v>22</v>
      </c>
      <c r="P353" s="19">
        <v>64.66</v>
      </c>
      <c r="Q353" s="26" t="str">
        <f>IF(OR(P353&lt;'Descriptive Statistics'!$H$17,P353&gt;'Descriptive Statistics'!$H$18),"Potential Outlier","Within Range")</f>
        <v>Within Range</v>
      </c>
      <c r="R353" s="26" t="str">
        <f>IF(OR(G353&lt;'Descriptive Statistics'!$I$17,G353&gt;'Descriptive Statistics'!$I$18),"Potential Outlier","Within Range")</f>
        <v>Within Range</v>
      </c>
      <c r="S353" s="26" t="str">
        <f>IF(OR(H353&lt;'Descriptive Statistics'!$J$17,H353&gt;'Descriptive Statistics'!$J$18),"Potential Outlier","Within Range")</f>
        <v>Within Range</v>
      </c>
    </row>
    <row r="354" hidden="1" spans="1:19">
      <c r="A354" t="s">
        <v>1390</v>
      </c>
      <c r="B354" s="23">
        <v>45169</v>
      </c>
      <c r="C354" s="23" t="str">
        <f t="shared" si="10"/>
        <v>Aug</v>
      </c>
      <c r="D354" s="23" t="str">
        <f t="shared" si="11"/>
        <v>2023</v>
      </c>
      <c r="E354" t="s">
        <v>1391</v>
      </c>
      <c r="F354" s="24" t="s">
        <v>41</v>
      </c>
      <c r="G354" s="17">
        <v>5</v>
      </c>
      <c r="H354" s="19">
        <v>173.96</v>
      </c>
      <c r="I354" t="s">
        <v>1392</v>
      </c>
      <c r="J354" s="24" t="s">
        <v>18</v>
      </c>
      <c r="K354" s="24" t="s">
        <v>89</v>
      </c>
      <c r="L354" t="s">
        <v>1393</v>
      </c>
      <c r="M354" s="17">
        <v>8</v>
      </c>
      <c r="N354" t="s">
        <v>81</v>
      </c>
      <c r="O354" s="24" t="s">
        <v>22</v>
      </c>
      <c r="P354" s="19">
        <v>869.8</v>
      </c>
      <c r="Q354" s="26" t="str">
        <f>IF(OR(P354&lt;'Descriptive Statistics'!$H$17,P354&gt;'Descriptive Statistics'!$H$18),"Potential Outlier","Within Range")</f>
        <v>Within Range</v>
      </c>
      <c r="R354" s="26" t="str">
        <f>IF(OR(G354&lt;'Descriptive Statistics'!$I$17,G354&gt;'Descriptive Statistics'!$I$18),"Potential Outlier","Within Range")</f>
        <v>Within Range</v>
      </c>
      <c r="S354" s="26" t="str">
        <f>IF(OR(H354&lt;'Descriptive Statistics'!$J$17,H354&gt;'Descriptive Statistics'!$J$18),"Potential Outlier","Within Range")</f>
        <v>Within Range</v>
      </c>
    </row>
    <row r="355" hidden="1" spans="1:19">
      <c r="A355" t="s">
        <v>1394</v>
      </c>
      <c r="B355" s="23">
        <v>45744</v>
      </c>
      <c r="C355" s="23" t="str">
        <f t="shared" si="10"/>
        <v>Mar</v>
      </c>
      <c r="D355" s="23" t="str">
        <f t="shared" si="11"/>
        <v>2025</v>
      </c>
      <c r="E355" t="s">
        <v>1395</v>
      </c>
      <c r="F355" s="24" t="s">
        <v>32</v>
      </c>
      <c r="G355" s="17">
        <v>1</v>
      </c>
      <c r="H355" s="19">
        <v>630.82</v>
      </c>
      <c r="I355" t="s">
        <v>1396</v>
      </c>
      <c r="J355" s="24" t="s">
        <v>27</v>
      </c>
      <c r="K355" s="24" t="s">
        <v>50</v>
      </c>
      <c r="L355" t="s">
        <v>1397</v>
      </c>
      <c r="M355" s="17">
        <v>5</v>
      </c>
      <c r="N355" t="s">
        <v>37</v>
      </c>
      <c r="O355" s="24" t="s">
        <v>76</v>
      </c>
      <c r="P355" s="19">
        <v>630.82</v>
      </c>
      <c r="Q355" s="26" t="str">
        <f>IF(OR(P355&lt;'Descriptive Statistics'!$H$17,P355&gt;'Descriptive Statistics'!$H$18),"Potential Outlier","Within Range")</f>
        <v>Within Range</v>
      </c>
      <c r="R355" s="26" t="str">
        <f>IF(OR(G355&lt;'Descriptive Statistics'!$I$17,G355&gt;'Descriptive Statistics'!$I$18),"Potential Outlier","Within Range")</f>
        <v>Within Range</v>
      </c>
      <c r="S355" s="26" t="str">
        <f>IF(OR(H355&lt;'Descriptive Statistics'!$J$17,H355&gt;'Descriptive Statistics'!$J$18),"Potential Outlier","Within Range")</f>
        <v>Within Range</v>
      </c>
    </row>
    <row r="356" hidden="1" spans="1:19">
      <c r="A356" t="s">
        <v>1398</v>
      </c>
      <c r="B356" s="23">
        <v>45118</v>
      </c>
      <c r="C356" s="23" t="str">
        <f t="shared" si="10"/>
        <v>Jul</v>
      </c>
      <c r="D356" s="23" t="str">
        <f t="shared" si="11"/>
        <v>2023</v>
      </c>
      <c r="E356" t="s">
        <v>1399</v>
      </c>
      <c r="F356" s="24" t="s">
        <v>25</v>
      </c>
      <c r="G356" s="17">
        <v>1</v>
      </c>
      <c r="H356" s="19">
        <v>693.41</v>
      </c>
      <c r="I356" t="s">
        <v>1400</v>
      </c>
      <c r="J356" s="24" t="s">
        <v>18</v>
      </c>
      <c r="K356" s="24" t="s">
        <v>19</v>
      </c>
      <c r="L356" t="s">
        <v>1401</v>
      </c>
      <c r="M356" s="17">
        <v>4</v>
      </c>
      <c r="N356" t="s">
        <v>4295</v>
      </c>
      <c r="O356" s="24" t="s">
        <v>22</v>
      </c>
      <c r="P356" s="19">
        <v>693.41</v>
      </c>
      <c r="Q356" s="26" t="str">
        <f>IF(OR(P356&lt;'Descriptive Statistics'!$H$17,P356&gt;'Descriptive Statistics'!$H$18),"Potential Outlier","Within Range")</f>
        <v>Within Range</v>
      </c>
      <c r="R356" s="26" t="str">
        <f>IF(OR(G356&lt;'Descriptive Statistics'!$I$17,G356&gt;'Descriptive Statistics'!$I$18),"Potential Outlier","Within Range")</f>
        <v>Within Range</v>
      </c>
      <c r="S356" s="26" t="str">
        <f>IF(OR(H356&lt;'Descriptive Statistics'!$J$17,H356&gt;'Descriptive Statistics'!$J$18),"Potential Outlier","Within Range")</f>
        <v>Within Range</v>
      </c>
    </row>
    <row r="357" hidden="1" spans="1:19">
      <c r="A357" t="s">
        <v>1402</v>
      </c>
      <c r="B357" s="23">
        <v>45811</v>
      </c>
      <c r="C357" s="23" t="str">
        <f t="shared" si="10"/>
        <v>Jun</v>
      </c>
      <c r="D357" s="23" t="str">
        <f t="shared" si="11"/>
        <v>2025</v>
      </c>
      <c r="E357" t="s">
        <v>1403</v>
      </c>
      <c r="F357" s="24" t="s">
        <v>32</v>
      </c>
      <c r="G357" s="17">
        <v>3</v>
      </c>
      <c r="H357" s="19">
        <v>433.33</v>
      </c>
      <c r="I357" t="s">
        <v>1404</v>
      </c>
      <c r="J357" s="24" t="s">
        <v>34</v>
      </c>
      <c r="K357" s="24" t="s">
        <v>35</v>
      </c>
      <c r="L357" t="s">
        <v>1405</v>
      </c>
      <c r="M357" s="17">
        <v>4</v>
      </c>
      <c r="N357" t="s">
        <v>37</v>
      </c>
      <c r="O357" s="24" t="s">
        <v>29</v>
      </c>
      <c r="P357" s="19">
        <v>1299.99</v>
      </c>
      <c r="Q357" s="26" t="str">
        <f>IF(OR(P357&lt;'Descriptive Statistics'!$H$17,P357&gt;'Descriptive Statistics'!$H$18),"Potential Outlier","Within Range")</f>
        <v>Within Range</v>
      </c>
      <c r="R357" s="26" t="str">
        <f>IF(OR(G357&lt;'Descriptive Statistics'!$I$17,G357&gt;'Descriptive Statistics'!$I$18),"Potential Outlier","Within Range")</f>
        <v>Within Range</v>
      </c>
      <c r="S357" s="26" t="str">
        <f>IF(OR(H357&lt;'Descriptive Statistics'!$J$17,H357&gt;'Descriptive Statistics'!$J$18),"Potential Outlier","Within Range")</f>
        <v>Within Range</v>
      </c>
    </row>
    <row r="358" hidden="1" spans="1:19">
      <c r="A358" t="s">
        <v>1406</v>
      </c>
      <c r="B358" s="23">
        <v>45052</v>
      </c>
      <c r="C358" s="23" t="str">
        <f t="shared" si="10"/>
        <v>May</v>
      </c>
      <c r="D358" s="23" t="str">
        <f t="shared" si="11"/>
        <v>2023</v>
      </c>
      <c r="E358" t="s">
        <v>1407</v>
      </c>
      <c r="F358" s="24" t="s">
        <v>48</v>
      </c>
      <c r="G358" s="17">
        <v>5</v>
      </c>
      <c r="H358" s="19">
        <v>374.58</v>
      </c>
      <c r="I358" t="s">
        <v>1408</v>
      </c>
      <c r="J358" s="24" t="s">
        <v>60</v>
      </c>
      <c r="K358" s="24" t="s">
        <v>35</v>
      </c>
      <c r="L358" t="s">
        <v>1409</v>
      </c>
      <c r="M358" s="17">
        <v>10</v>
      </c>
      <c r="N358" t="s">
        <v>37</v>
      </c>
      <c r="O358" s="24" t="s">
        <v>22</v>
      </c>
      <c r="P358" s="19">
        <v>1872.9</v>
      </c>
      <c r="Q358" s="26" t="str">
        <f>IF(OR(P358&lt;'Descriptive Statistics'!$H$17,P358&gt;'Descriptive Statistics'!$H$18),"Potential Outlier","Within Range")</f>
        <v>Within Range</v>
      </c>
      <c r="R358" s="26" t="str">
        <f>IF(OR(G358&lt;'Descriptive Statistics'!$I$17,G358&gt;'Descriptive Statistics'!$I$18),"Potential Outlier","Within Range")</f>
        <v>Within Range</v>
      </c>
      <c r="S358" s="26" t="str">
        <f>IF(OR(H358&lt;'Descriptive Statistics'!$J$17,H358&gt;'Descriptive Statistics'!$J$18),"Potential Outlier","Within Range")</f>
        <v>Within Range</v>
      </c>
    </row>
    <row r="359" hidden="1" spans="1:19">
      <c r="A359" t="s">
        <v>1410</v>
      </c>
      <c r="B359" s="23">
        <v>45115</v>
      </c>
      <c r="C359" s="23" t="str">
        <f t="shared" si="10"/>
        <v>Jul</v>
      </c>
      <c r="D359" s="23" t="str">
        <f t="shared" si="11"/>
        <v>2023</v>
      </c>
      <c r="E359" t="s">
        <v>1411</v>
      </c>
      <c r="F359" s="24" t="s">
        <v>58</v>
      </c>
      <c r="G359" s="17">
        <v>5</v>
      </c>
      <c r="H359" s="19">
        <v>408.56</v>
      </c>
      <c r="I359" t="s">
        <v>1340</v>
      </c>
      <c r="J359" s="24" t="s">
        <v>18</v>
      </c>
      <c r="K359" s="24" t="s">
        <v>50</v>
      </c>
      <c r="L359" t="s">
        <v>1412</v>
      </c>
      <c r="M359" s="17">
        <v>8</v>
      </c>
      <c r="N359" t="s">
        <v>37</v>
      </c>
      <c r="O359" s="24" t="s">
        <v>22</v>
      </c>
      <c r="P359" s="19">
        <v>2042.8</v>
      </c>
      <c r="Q359" s="26" t="str">
        <f>IF(OR(P359&lt;'Descriptive Statistics'!$H$17,P359&gt;'Descriptive Statistics'!$H$18),"Potential Outlier","Within Range")</f>
        <v>Within Range</v>
      </c>
      <c r="R359" s="26" t="str">
        <f>IF(OR(G359&lt;'Descriptive Statistics'!$I$17,G359&gt;'Descriptive Statistics'!$I$18),"Potential Outlier","Within Range")</f>
        <v>Within Range</v>
      </c>
      <c r="S359" s="26" t="str">
        <f>IF(OR(H359&lt;'Descriptive Statistics'!$J$17,H359&gt;'Descriptive Statistics'!$J$18),"Potential Outlier","Within Range")</f>
        <v>Within Range</v>
      </c>
    </row>
    <row r="360" hidden="1" spans="1:19">
      <c r="A360" t="s">
        <v>1413</v>
      </c>
      <c r="B360" s="23">
        <v>45389</v>
      </c>
      <c r="C360" s="23" t="str">
        <f t="shared" si="10"/>
        <v>Apr</v>
      </c>
      <c r="D360" s="23" t="str">
        <f t="shared" si="11"/>
        <v>2024</v>
      </c>
      <c r="E360" t="s">
        <v>1414</v>
      </c>
      <c r="F360" s="24" t="s">
        <v>32</v>
      </c>
      <c r="G360" s="17">
        <v>2</v>
      </c>
      <c r="H360" s="19">
        <v>183.67</v>
      </c>
      <c r="I360" t="s">
        <v>1415</v>
      </c>
      <c r="J360" s="24" t="s">
        <v>27</v>
      </c>
      <c r="K360" s="24" t="s">
        <v>35</v>
      </c>
      <c r="L360" t="s">
        <v>1416</v>
      </c>
      <c r="M360" s="17">
        <v>3</v>
      </c>
      <c r="N360" t="s">
        <v>21</v>
      </c>
      <c r="O360" s="24" t="s">
        <v>76</v>
      </c>
      <c r="P360" s="19">
        <v>367.34</v>
      </c>
      <c r="Q360" s="26" t="str">
        <f>IF(OR(P360&lt;'Descriptive Statistics'!$H$17,P360&gt;'Descriptive Statistics'!$H$18),"Potential Outlier","Within Range")</f>
        <v>Within Range</v>
      </c>
      <c r="R360" s="26" t="str">
        <f>IF(OR(G360&lt;'Descriptive Statistics'!$I$17,G360&gt;'Descriptive Statistics'!$I$18),"Potential Outlier","Within Range")</f>
        <v>Within Range</v>
      </c>
      <c r="S360" s="26" t="str">
        <f>IF(OR(H360&lt;'Descriptive Statistics'!$J$17,H360&gt;'Descriptive Statistics'!$J$18),"Potential Outlier","Within Range")</f>
        <v>Within Range</v>
      </c>
    </row>
    <row r="361" hidden="1" spans="1:19">
      <c r="A361" t="s">
        <v>1417</v>
      </c>
      <c r="B361" s="23">
        <v>45086</v>
      </c>
      <c r="C361" s="23" t="str">
        <f t="shared" si="10"/>
        <v>Jun</v>
      </c>
      <c r="D361" s="23" t="str">
        <f t="shared" si="11"/>
        <v>2023</v>
      </c>
      <c r="E361" t="s">
        <v>1418</v>
      </c>
      <c r="F361" s="24" t="s">
        <v>73</v>
      </c>
      <c r="G361" s="17">
        <v>4</v>
      </c>
      <c r="H361" s="19">
        <v>606.57</v>
      </c>
      <c r="I361" t="s">
        <v>1419</v>
      </c>
      <c r="J361" s="24" t="s">
        <v>18</v>
      </c>
      <c r="K361" s="24" t="s">
        <v>50</v>
      </c>
      <c r="L361" t="s">
        <v>1420</v>
      </c>
      <c r="M361" s="17">
        <v>5</v>
      </c>
      <c r="N361" t="s">
        <v>81</v>
      </c>
      <c r="O361" s="24" t="s">
        <v>29</v>
      </c>
      <c r="P361" s="19">
        <v>2426.28</v>
      </c>
      <c r="Q361" s="26" t="str">
        <f>IF(OR(P361&lt;'Descriptive Statistics'!$H$17,P361&gt;'Descriptive Statistics'!$H$18),"Potential Outlier","Within Range")</f>
        <v>Within Range</v>
      </c>
      <c r="R361" s="26" t="str">
        <f>IF(OR(G361&lt;'Descriptive Statistics'!$I$17,G361&gt;'Descriptive Statistics'!$I$18),"Potential Outlier","Within Range")</f>
        <v>Within Range</v>
      </c>
      <c r="S361" s="26" t="str">
        <f>IF(OR(H361&lt;'Descriptive Statistics'!$J$17,H361&gt;'Descriptive Statistics'!$J$18),"Potential Outlier","Within Range")</f>
        <v>Within Range</v>
      </c>
    </row>
    <row r="362" hidden="1" spans="1:19">
      <c r="A362" t="s">
        <v>1421</v>
      </c>
      <c r="B362" s="23">
        <v>45449</v>
      </c>
      <c r="C362" s="23" t="str">
        <f t="shared" si="10"/>
        <v>Jun</v>
      </c>
      <c r="D362" s="23" t="str">
        <f t="shared" si="11"/>
        <v>2024</v>
      </c>
      <c r="E362" t="s">
        <v>1422</v>
      </c>
      <c r="F362" s="24" t="s">
        <v>25</v>
      </c>
      <c r="G362" s="17">
        <v>4</v>
      </c>
      <c r="H362" s="19">
        <v>589.57</v>
      </c>
      <c r="I362" t="s">
        <v>1423</v>
      </c>
      <c r="J362" s="24" t="s">
        <v>65</v>
      </c>
      <c r="K362" s="24" t="s">
        <v>89</v>
      </c>
      <c r="L362" t="s">
        <v>1424</v>
      </c>
      <c r="M362" s="17">
        <v>8</v>
      </c>
      <c r="N362" t="s">
        <v>4295</v>
      </c>
      <c r="O362" s="24" t="s">
        <v>22</v>
      </c>
      <c r="P362" s="19">
        <v>2358.28</v>
      </c>
      <c r="Q362" s="26" t="str">
        <f>IF(OR(P362&lt;'Descriptive Statistics'!$H$17,P362&gt;'Descriptive Statistics'!$H$18),"Potential Outlier","Within Range")</f>
        <v>Within Range</v>
      </c>
      <c r="R362" s="26" t="str">
        <f>IF(OR(G362&lt;'Descriptive Statistics'!$I$17,G362&gt;'Descriptive Statistics'!$I$18),"Potential Outlier","Within Range")</f>
        <v>Within Range</v>
      </c>
      <c r="S362" s="26" t="str">
        <f>IF(OR(H362&lt;'Descriptive Statistics'!$J$17,H362&gt;'Descriptive Statistics'!$J$18),"Potential Outlier","Within Range")</f>
        <v>Within Range</v>
      </c>
    </row>
    <row r="363" hidden="1" spans="1:19">
      <c r="A363" t="s">
        <v>1425</v>
      </c>
      <c r="B363" s="23">
        <v>45472</v>
      </c>
      <c r="C363" s="23" t="str">
        <f t="shared" si="10"/>
        <v>Jun</v>
      </c>
      <c r="D363" s="23" t="str">
        <f t="shared" si="11"/>
        <v>2024</v>
      </c>
      <c r="E363" t="s">
        <v>1426</v>
      </c>
      <c r="F363" s="24" t="s">
        <v>48</v>
      </c>
      <c r="G363" s="17">
        <v>5</v>
      </c>
      <c r="H363" s="19">
        <v>659.85</v>
      </c>
      <c r="I363" t="s">
        <v>1427</v>
      </c>
      <c r="J363" s="24" t="s">
        <v>34</v>
      </c>
      <c r="K363" s="24" t="s">
        <v>50</v>
      </c>
      <c r="L363" t="s">
        <v>1428</v>
      </c>
      <c r="M363" s="17">
        <v>9</v>
      </c>
      <c r="N363" t="s">
        <v>21</v>
      </c>
      <c r="O363" s="24" t="s">
        <v>45</v>
      </c>
      <c r="P363" s="19">
        <v>3299.25</v>
      </c>
      <c r="Q363" s="26" t="str">
        <f>IF(OR(P363&lt;'Descriptive Statistics'!$H$17,P363&gt;'Descriptive Statistics'!$H$18),"Potential Outlier","Within Range")</f>
        <v>Within Range</v>
      </c>
      <c r="R363" s="26" t="str">
        <f>IF(OR(G363&lt;'Descriptive Statistics'!$I$17,G363&gt;'Descriptive Statistics'!$I$18),"Potential Outlier","Within Range")</f>
        <v>Within Range</v>
      </c>
      <c r="S363" s="26" t="str">
        <f>IF(OR(H363&lt;'Descriptive Statistics'!$J$17,H363&gt;'Descriptive Statistics'!$J$18),"Potential Outlier","Within Range")</f>
        <v>Within Range</v>
      </c>
    </row>
    <row r="364" hidden="1" spans="1:19">
      <c r="A364" t="s">
        <v>1429</v>
      </c>
      <c r="B364" s="23">
        <v>45104</v>
      </c>
      <c r="C364" s="23" t="str">
        <f t="shared" si="10"/>
        <v>Jun</v>
      </c>
      <c r="D364" s="23" t="str">
        <f t="shared" si="11"/>
        <v>2023</v>
      </c>
      <c r="E364" t="s">
        <v>1430</v>
      </c>
      <c r="F364" s="24" t="s">
        <v>16</v>
      </c>
      <c r="G364" s="17">
        <v>4</v>
      </c>
      <c r="H364" s="19">
        <v>206.84</v>
      </c>
      <c r="I364" t="s">
        <v>1431</v>
      </c>
      <c r="J364" s="24" t="s">
        <v>65</v>
      </c>
      <c r="K364" s="24" t="s">
        <v>35</v>
      </c>
      <c r="L364" t="s">
        <v>1432</v>
      </c>
      <c r="M364" s="17">
        <v>5</v>
      </c>
      <c r="N364" t="s">
        <v>81</v>
      </c>
      <c r="O364" s="24" t="s">
        <v>22</v>
      </c>
      <c r="P364" s="19">
        <v>827.36</v>
      </c>
      <c r="Q364" s="26" t="str">
        <f>IF(OR(P364&lt;'Descriptive Statistics'!$H$17,P364&gt;'Descriptive Statistics'!$H$18),"Potential Outlier","Within Range")</f>
        <v>Within Range</v>
      </c>
      <c r="R364" s="26" t="str">
        <f>IF(OR(G364&lt;'Descriptive Statistics'!$I$17,G364&gt;'Descriptive Statistics'!$I$18),"Potential Outlier","Within Range")</f>
        <v>Within Range</v>
      </c>
      <c r="S364" s="26" t="str">
        <f>IF(OR(H364&lt;'Descriptive Statistics'!$J$17,H364&gt;'Descriptive Statistics'!$J$18),"Potential Outlier","Within Range")</f>
        <v>Within Range</v>
      </c>
    </row>
    <row r="365" hidden="1" spans="1:19">
      <c r="A365" t="s">
        <v>1433</v>
      </c>
      <c r="B365" s="23">
        <v>45436</v>
      </c>
      <c r="C365" s="23" t="str">
        <f t="shared" si="10"/>
        <v>May</v>
      </c>
      <c r="D365" s="23" t="str">
        <f t="shared" si="11"/>
        <v>2024</v>
      </c>
      <c r="E365" t="s">
        <v>1434</v>
      </c>
      <c r="F365" s="24" t="s">
        <v>58</v>
      </c>
      <c r="G365" s="17">
        <v>5</v>
      </c>
      <c r="H365" s="19">
        <v>113.87</v>
      </c>
      <c r="I365" t="s">
        <v>212</v>
      </c>
      <c r="J365" s="24" t="s">
        <v>34</v>
      </c>
      <c r="K365" s="24" t="s">
        <v>89</v>
      </c>
      <c r="L365" t="s">
        <v>1435</v>
      </c>
      <c r="M365" s="17">
        <v>6</v>
      </c>
      <c r="N365" t="s">
        <v>21</v>
      </c>
      <c r="O365" s="24" t="s">
        <v>38</v>
      </c>
      <c r="P365" s="19">
        <v>569.35</v>
      </c>
      <c r="Q365" s="26" t="str">
        <f>IF(OR(P365&lt;'Descriptive Statistics'!$H$17,P365&gt;'Descriptive Statistics'!$H$18),"Potential Outlier","Within Range")</f>
        <v>Within Range</v>
      </c>
      <c r="R365" s="26" t="str">
        <f>IF(OR(G365&lt;'Descriptive Statistics'!$I$17,G365&gt;'Descriptive Statistics'!$I$18),"Potential Outlier","Within Range")</f>
        <v>Within Range</v>
      </c>
      <c r="S365" s="26" t="str">
        <f>IF(OR(H365&lt;'Descriptive Statistics'!$J$17,H365&gt;'Descriptive Statistics'!$J$18),"Potential Outlier","Within Range")</f>
        <v>Within Range</v>
      </c>
    </row>
    <row r="366" hidden="1" spans="1:19">
      <c r="A366" t="s">
        <v>1436</v>
      </c>
      <c r="B366" s="23">
        <v>45254</v>
      </c>
      <c r="C366" s="23" t="str">
        <f t="shared" si="10"/>
        <v>Nov</v>
      </c>
      <c r="D366" s="23" t="str">
        <f t="shared" si="11"/>
        <v>2023</v>
      </c>
      <c r="E366" t="s">
        <v>1437</v>
      </c>
      <c r="F366" s="24" t="s">
        <v>25</v>
      </c>
      <c r="G366" s="17">
        <v>5</v>
      </c>
      <c r="H366" s="19">
        <v>628.74</v>
      </c>
      <c r="I366" t="s">
        <v>1121</v>
      </c>
      <c r="J366" s="24" t="s">
        <v>65</v>
      </c>
      <c r="K366" s="24" t="s">
        <v>35</v>
      </c>
      <c r="L366" t="s">
        <v>1438</v>
      </c>
      <c r="M366" s="17">
        <v>9</v>
      </c>
      <c r="N366" t="s">
        <v>37</v>
      </c>
      <c r="O366" s="24" t="s">
        <v>45</v>
      </c>
      <c r="P366" s="19">
        <v>3143.7</v>
      </c>
      <c r="Q366" s="26" t="str">
        <f>IF(OR(P366&lt;'Descriptive Statistics'!$H$17,P366&gt;'Descriptive Statistics'!$H$18),"Potential Outlier","Within Range")</f>
        <v>Within Range</v>
      </c>
      <c r="R366" s="26" t="str">
        <f>IF(OR(G366&lt;'Descriptive Statistics'!$I$17,G366&gt;'Descriptive Statistics'!$I$18),"Potential Outlier","Within Range")</f>
        <v>Within Range</v>
      </c>
      <c r="S366" s="26" t="str">
        <f>IF(OR(H366&lt;'Descriptive Statistics'!$J$17,H366&gt;'Descriptive Statistics'!$J$18),"Potential Outlier","Within Range")</f>
        <v>Within Range</v>
      </c>
    </row>
    <row r="367" hidden="1" spans="1:19">
      <c r="A367" t="s">
        <v>1439</v>
      </c>
      <c r="B367" s="23">
        <v>45702</v>
      </c>
      <c r="C367" s="23" t="str">
        <f t="shared" si="10"/>
        <v>Feb</v>
      </c>
      <c r="D367" s="23" t="str">
        <f t="shared" si="11"/>
        <v>2025</v>
      </c>
      <c r="E367" t="s">
        <v>1440</v>
      </c>
      <c r="F367" s="24" t="s">
        <v>25</v>
      </c>
      <c r="G367" s="17">
        <v>1</v>
      </c>
      <c r="H367" s="19">
        <v>678.38</v>
      </c>
      <c r="I367" t="s">
        <v>1313</v>
      </c>
      <c r="J367" s="24" t="s">
        <v>34</v>
      </c>
      <c r="K367" s="24" t="s">
        <v>35</v>
      </c>
      <c r="L367" t="s">
        <v>1441</v>
      </c>
      <c r="M367" s="17">
        <v>4</v>
      </c>
      <c r="N367" t="s">
        <v>21</v>
      </c>
      <c r="O367" s="24" t="s">
        <v>29</v>
      </c>
      <c r="P367" s="19">
        <v>678.38</v>
      </c>
      <c r="Q367" s="26" t="str">
        <f>IF(OR(P367&lt;'Descriptive Statistics'!$H$17,P367&gt;'Descriptive Statistics'!$H$18),"Potential Outlier","Within Range")</f>
        <v>Within Range</v>
      </c>
      <c r="R367" s="26" t="str">
        <f>IF(OR(G367&lt;'Descriptive Statistics'!$I$17,G367&gt;'Descriptive Statistics'!$I$18),"Potential Outlier","Within Range")</f>
        <v>Within Range</v>
      </c>
      <c r="S367" s="26" t="str">
        <f>IF(OR(H367&lt;'Descriptive Statistics'!$J$17,H367&gt;'Descriptive Statistics'!$J$18),"Potential Outlier","Within Range")</f>
        <v>Within Range</v>
      </c>
    </row>
    <row r="368" hidden="1" spans="1:19">
      <c r="A368" t="s">
        <v>1442</v>
      </c>
      <c r="B368" s="23">
        <v>44967</v>
      </c>
      <c r="C368" s="23" t="str">
        <f t="shared" si="10"/>
        <v>Feb</v>
      </c>
      <c r="D368" s="23" t="str">
        <f t="shared" si="11"/>
        <v>2023</v>
      </c>
      <c r="E368" t="s">
        <v>1443</v>
      </c>
      <c r="F368" s="24" t="s">
        <v>48</v>
      </c>
      <c r="G368" s="17">
        <v>3</v>
      </c>
      <c r="H368" s="19">
        <v>602.24</v>
      </c>
      <c r="I368" t="s">
        <v>1444</v>
      </c>
      <c r="J368" s="24" t="s">
        <v>18</v>
      </c>
      <c r="K368" s="24" t="s">
        <v>89</v>
      </c>
      <c r="L368" t="s">
        <v>1445</v>
      </c>
      <c r="M368" s="17">
        <v>8</v>
      </c>
      <c r="N368" t="s">
        <v>4295</v>
      </c>
      <c r="O368" s="24" t="s">
        <v>29</v>
      </c>
      <c r="P368" s="19">
        <v>1806.72</v>
      </c>
      <c r="Q368" s="26" t="str">
        <f>IF(OR(P368&lt;'Descriptive Statistics'!$H$17,P368&gt;'Descriptive Statistics'!$H$18),"Potential Outlier","Within Range")</f>
        <v>Within Range</v>
      </c>
      <c r="R368" s="26" t="str">
        <f>IF(OR(G368&lt;'Descriptive Statistics'!$I$17,G368&gt;'Descriptive Statistics'!$I$18),"Potential Outlier","Within Range")</f>
        <v>Within Range</v>
      </c>
      <c r="S368" s="26" t="str">
        <f>IF(OR(H368&lt;'Descriptive Statistics'!$J$17,H368&gt;'Descriptive Statistics'!$J$18),"Potential Outlier","Within Range")</f>
        <v>Within Range</v>
      </c>
    </row>
    <row r="369" hidden="1" spans="1:19">
      <c r="A369" t="s">
        <v>1446</v>
      </c>
      <c r="B369" s="23">
        <v>45407</v>
      </c>
      <c r="C369" s="23" t="str">
        <f t="shared" si="10"/>
        <v>Apr</v>
      </c>
      <c r="D369" s="23" t="str">
        <f t="shared" si="11"/>
        <v>2024</v>
      </c>
      <c r="E369" t="s">
        <v>1447</v>
      </c>
      <c r="F369" s="24" t="s">
        <v>58</v>
      </c>
      <c r="G369" s="17">
        <v>5</v>
      </c>
      <c r="H369" s="19">
        <v>658.77</v>
      </c>
      <c r="I369" t="s">
        <v>1032</v>
      </c>
      <c r="J369" s="24" t="s">
        <v>60</v>
      </c>
      <c r="K369" s="24" t="s">
        <v>89</v>
      </c>
      <c r="L369" t="s">
        <v>1448</v>
      </c>
      <c r="M369" s="17">
        <v>10</v>
      </c>
      <c r="N369" t="s">
        <v>37</v>
      </c>
      <c r="O369" s="24" t="s">
        <v>22</v>
      </c>
      <c r="P369" s="19">
        <v>3293.85</v>
      </c>
      <c r="Q369" s="26" t="str">
        <f>IF(OR(P369&lt;'Descriptive Statistics'!$H$17,P369&gt;'Descriptive Statistics'!$H$18),"Potential Outlier","Within Range")</f>
        <v>Within Range</v>
      </c>
      <c r="R369" s="26" t="str">
        <f>IF(OR(G369&lt;'Descriptive Statistics'!$I$17,G369&gt;'Descriptive Statistics'!$I$18),"Potential Outlier","Within Range")</f>
        <v>Within Range</v>
      </c>
      <c r="S369" s="26" t="str">
        <f>IF(OR(H369&lt;'Descriptive Statistics'!$J$17,H369&gt;'Descriptive Statistics'!$J$18),"Potential Outlier","Within Range")</f>
        <v>Within Range</v>
      </c>
    </row>
    <row r="370" hidden="1" spans="1:19">
      <c r="A370" t="s">
        <v>1449</v>
      </c>
      <c r="B370" s="23">
        <v>45047</v>
      </c>
      <c r="C370" s="23" t="str">
        <f t="shared" si="10"/>
        <v>May</v>
      </c>
      <c r="D370" s="23" t="str">
        <f t="shared" si="11"/>
        <v>2023</v>
      </c>
      <c r="E370" t="s">
        <v>1450</v>
      </c>
      <c r="F370" s="24" t="s">
        <v>16</v>
      </c>
      <c r="G370" s="17">
        <v>3</v>
      </c>
      <c r="H370" s="19">
        <v>271.02</v>
      </c>
      <c r="I370" t="s">
        <v>1451</v>
      </c>
      <c r="J370" s="24" t="s">
        <v>34</v>
      </c>
      <c r="K370" s="24" t="s">
        <v>35</v>
      </c>
      <c r="L370" t="s">
        <v>1452</v>
      </c>
      <c r="M370" s="17">
        <v>6</v>
      </c>
      <c r="N370" t="s">
        <v>4295</v>
      </c>
      <c r="O370" s="24" t="s">
        <v>76</v>
      </c>
      <c r="P370" s="19">
        <v>813.06</v>
      </c>
      <c r="Q370" s="26" t="str">
        <f>IF(OR(P370&lt;'Descriptive Statistics'!$H$17,P370&gt;'Descriptive Statistics'!$H$18),"Potential Outlier","Within Range")</f>
        <v>Within Range</v>
      </c>
      <c r="R370" s="26" t="str">
        <f>IF(OR(G370&lt;'Descriptive Statistics'!$I$17,G370&gt;'Descriptive Statistics'!$I$18),"Potential Outlier","Within Range")</f>
        <v>Within Range</v>
      </c>
      <c r="S370" s="26" t="str">
        <f>IF(OR(H370&lt;'Descriptive Statistics'!$J$17,H370&gt;'Descriptive Statistics'!$J$18),"Potential Outlier","Within Range")</f>
        <v>Within Range</v>
      </c>
    </row>
    <row r="371" hidden="1" spans="1:19">
      <c r="A371" t="s">
        <v>1453</v>
      </c>
      <c r="B371" s="23">
        <v>45648</v>
      </c>
      <c r="C371" s="23" t="str">
        <f t="shared" si="10"/>
        <v>Dec</v>
      </c>
      <c r="D371" s="23" t="str">
        <f t="shared" si="11"/>
        <v>2024</v>
      </c>
      <c r="E371" t="s">
        <v>1454</v>
      </c>
      <c r="F371" s="24" t="s">
        <v>16</v>
      </c>
      <c r="G371" s="17">
        <v>5</v>
      </c>
      <c r="H371" s="19">
        <v>375.25</v>
      </c>
      <c r="I371" t="s">
        <v>1455</v>
      </c>
      <c r="J371" s="24" t="s">
        <v>60</v>
      </c>
      <c r="K371" s="24" t="s">
        <v>89</v>
      </c>
      <c r="L371" t="s">
        <v>1456</v>
      </c>
      <c r="M371" s="17">
        <v>9</v>
      </c>
      <c r="N371" t="s">
        <v>21</v>
      </c>
      <c r="O371" s="24" t="s">
        <v>38</v>
      </c>
      <c r="P371" s="19">
        <v>1876.25</v>
      </c>
      <c r="Q371" s="26" t="str">
        <f>IF(OR(P371&lt;'Descriptive Statistics'!$H$17,P371&gt;'Descriptive Statistics'!$H$18),"Potential Outlier","Within Range")</f>
        <v>Within Range</v>
      </c>
      <c r="R371" s="26" t="str">
        <f>IF(OR(G371&lt;'Descriptive Statistics'!$I$17,G371&gt;'Descriptive Statistics'!$I$18),"Potential Outlier","Within Range")</f>
        <v>Within Range</v>
      </c>
      <c r="S371" s="26" t="str">
        <f>IF(OR(H371&lt;'Descriptive Statistics'!$J$17,H371&gt;'Descriptive Statistics'!$J$18),"Potential Outlier","Within Range")</f>
        <v>Within Range</v>
      </c>
    </row>
    <row r="372" hidden="1" spans="1:19">
      <c r="A372" t="s">
        <v>1457</v>
      </c>
      <c r="B372" s="23">
        <v>45780</v>
      </c>
      <c r="C372" s="23" t="str">
        <f t="shared" si="10"/>
        <v>May</v>
      </c>
      <c r="D372" s="23" t="str">
        <f t="shared" si="11"/>
        <v>2025</v>
      </c>
      <c r="E372" t="s">
        <v>1458</v>
      </c>
      <c r="F372" s="24" t="s">
        <v>25</v>
      </c>
      <c r="G372" s="17">
        <v>1</v>
      </c>
      <c r="H372" s="19">
        <v>312.11</v>
      </c>
      <c r="I372" t="s">
        <v>1459</v>
      </c>
      <c r="J372" s="24" t="s">
        <v>27</v>
      </c>
      <c r="K372" s="24" t="s">
        <v>35</v>
      </c>
      <c r="L372" t="s">
        <v>1460</v>
      </c>
      <c r="M372" s="17">
        <v>4</v>
      </c>
      <c r="N372" t="s">
        <v>81</v>
      </c>
      <c r="O372" s="24" t="s">
        <v>45</v>
      </c>
      <c r="P372" s="19">
        <v>312.11</v>
      </c>
      <c r="Q372" s="26" t="str">
        <f>IF(OR(P372&lt;'Descriptive Statistics'!$H$17,P372&gt;'Descriptive Statistics'!$H$18),"Potential Outlier","Within Range")</f>
        <v>Within Range</v>
      </c>
      <c r="R372" s="26" t="str">
        <f>IF(OR(G372&lt;'Descriptive Statistics'!$I$17,G372&gt;'Descriptive Statistics'!$I$18),"Potential Outlier","Within Range")</f>
        <v>Within Range</v>
      </c>
      <c r="S372" s="26" t="str">
        <f>IF(OR(H372&lt;'Descriptive Statistics'!$J$17,H372&gt;'Descriptive Statistics'!$J$18),"Potential Outlier","Within Range")</f>
        <v>Within Range</v>
      </c>
    </row>
    <row r="373" hidden="1" spans="1:19">
      <c r="A373" t="s">
        <v>1461</v>
      </c>
      <c r="B373" s="23">
        <v>44931</v>
      </c>
      <c r="C373" s="23" t="str">
        <f t="shared" si="10"/>
        <v>Jan</v>
      </c>
      <c r="D373" s="23" t="str">
        <f t="shared" si="11"/>
        <v>2023</v>
      </c>
      <c r="E373" t="s">
        <v>1462</v>
      </c>
      <c r="F373" s="24" t="s">
        <v>25</v>
      </c>
      <c r="G373" s="17">
        <v>5</v>
      </c>
      <c r="H373" s="19">
        <v>307.76</v>
      </c>
      <c r="I373" t="s">
        <v>88</v>
      </c>
      <c r="J373" s="24" t="s">
        <v>60</v>
      </c>
      <c r="K373" s="24" t="s">
        <v>89</v>
      </c>
      <c r="L373" t="s">
        <v>1463</v>
      </c>
      <c r="M373" s="17">
        <v>9</v>
      </c>
      <c r="N373" t="s">
        <v>37</v>
      </c>
      <c r="O373" s="24" t="s">
        <v>76</v>
      </c>
      <c r="P373" s="19">
        <v>1538.8</v>
      </c>
      <c r="Q373" s="26" t="str">
        <f>IF(OR(P373&lt;'Descriptive Statistics'!$H$17,P373&gt;'Descriptive Statistics'!$H$18),"Potential Outlier","Within Range")</f>
        <v>Within Range</v>
      </c>
      <c r="R373" s="26" t="str">
        <f>IF(OR(G373&lt;'Descriptive Statistics'!$I$17,G373&gt;'Descriptive Statistics'!$I$18),"Potential Outlier","Within Range")</f>
        <v>Within Range</v>
      </c>
      <c r="S373" s="26" t="str">
        <f>IF(OR(H373&lt;'Descriptive Statistics'!$J$17,H373&gt;'Descriptive Statistics'!$J$18),"Potential Outlier","Within Range")</f>
        <v>Within Range</v>
      </c>
    </row>
    <row r="374" hidden="1" spans="1:19">
      <c r="A374" t="s">
        <v>1464</v>
      </c>
      <c r="B374" s="23">
        <v>45702</v>
      </c>
      <c r="C374" s="23" t="str">
        <f t="shared" si="10"/>
        <v>Feb</v>
      </c>
      <c r="D374" s="23" t="str">
        <f t="shared" si="11"/>
        <v>2025</v>
      </c>
      <c r="E374" t="s">
        <v>1465</v>
      </c>
      <c r="F374" s="24" t="s">
        <v>41</v>
      </c>
      <c r="G374" s="17">
        <v>3</v>
      </c>
      <c r="H374" s="19">
        <v>483.53</v>
      </c>
      <c r="I374" t="s">
        <v>1466</v>
      </c>
      <c r="J374" s="24" t="s">
        <v>65</v>
      </c>
      <c r="K374" s="24" t="s">
        <v>43</v>
      </c>
      <c r="L374" t="s">
        <v>1467</v>
      </c>
      <c r="M374" s="17">
        <v>4</v>
      </c>
      <c r="N374" t="s">
        <v>4295</v>
      </c>
      <c r="O374" s="24" t="s">
        <v>29</v>
      </c>
      <c r="P374" s="19">
        <v>1450.59</v>
      </c>
      <c r="Q374" s="26" t="str">
        <f>IF(OR(P374&lt;'Descriptive Statistics'!$H$17,P374&gt;'Descriptive Statistics'!$H$18),"Potential Outlier","Within Range")</f>
        <v>Within Range</v>
      </c>
      <c r="R374" s="26" t="str">
        <f>IF(OR(G374&lt;'Descriptive Statistics'!$I$17,G374&gt;'Descriptive Statistics'!$I$18),"Potential Outlier","Within Range")</f>
        <v>Within Range</v>
      </c>
      <c r="S374" s="26" t="str">
        <f>IF(OR(H374&lt;'Descriptive Statistics'!$J$17,H374&gt;'Descriptive Statistics'!$J$18),"Potential Outlier","Within Range")</f>
        <v>Within Range</v>
      </c>
    </row>
    <row r="375" hidden="1" spans="1:19">
      <c r="A375" t="s">
        <v>1468</v>
      </c>
      <c r="B375" s="23">
        <v>44928</v>
      </c>
      <c r="C375" s="23" t="str">
        <f t="shared" si="10"/>
        <v>Jan</v>
      </c>
      <c r="D375" s="23" t="str">
        <f t="shared" si="11"/>
        <v>2023</v>
      </c>
      <c r="E375" t="s">
        <v>1469</v>
      </c>
      <c r="F375" s="24" t="s">
        <v>58</v>
      </c>
      <c r="G375" s="17">
        <v>3</v>
      </c>
      <c r="H375" s="19">
        <v>341.15</v>
      </c>
      <c r="I375" t="s">
        <v>1470</v>
      </c>
      <c r="J375" s="24" t="s">
        <v>65</v>
      </c>
      <c r="K375" s="24" t="s">
        <v>89</v>
      </c>
      <c r="L375" t="s">
        <v>1471</v>
      </c>
      <c r="M375" s="17">
        <v>4</v>
      </c>
      <c r="N375" t="s">
        <v>37</v>
      </c>
      <c r="O375" s="24" t="s">
        <v>22</v>
      </c>
      <c r="P375" s="19">
        <v>1023.45</v>
      </c>
      <c r="Q375" s="26" t="str">
        <f>IF(OR(P375&lt;'Descriptive Statistics'!$H$17,P375&gt;'Descriptive Statistics'!$H$18),"Potential Outlier","Within Range")</f>
        <v>Within Range</v>
      </c>
      <c r="R375" s="26" t="str">
        <f>IF(OR(G375&lt;'Descriptive Statistics'!$I$17,G375&gt;'Descriptive Statistics'!$I$18),"Potential Outlier","Within Range")</f>
        <v>Within Range</v>
      </c>
      <c r="S375" s="26" t="str">
        <f>IF(OR(H375&lt;'Descriptive Statistics'!$J$17,H375&gt;'Descriptive Statistics'!$J$18),"Potential Outlier","Within Range")</f>
        <v>Within Range</v>
      </c>
    </row>
    <row r="376" hidden="1" spans="1:19">
      <c r="A376" t="s">
        <v>1472</v>
      </c>
      <c r="B376" s="23">
        <v>45551</v>
      </c>
      <c r="C376" s="23" t="str">
        <f t="shared" si="10"/>
        <v>Sep</v>
      </c>
      <c r="D376" s="23" t="str">
        <f t="shared" si="11"/>
        <v>2024</v>
      </c>
      <c r="E376" t="s">
        <v>1473</v>
      </c>
      <c r="F376" s="24" t="s">
        <v>16</v>
      </c>
      <c r="G376" s="17">
        <v>1</v>
      </c>
      <c r="H376" s="19">
        <v>571.9</v>
      </c>
      <c r="I376" t="s">
        <v>327</v>
      </c>
      <c r="J376" s="24" t="s">
        <v>60</v>
      </c>
      <c r="K376" s="24" t="s">
        <v>89</v>
      </c>
      <c r="L376" t="s">
        <v>1474</v>
      </c>
      <c r="M376" s="17">
        <v>1</v>
      </c>
      <c r="N376" t="s">
        <v>81</v>
      </c>
      <c r="O376" s="24" t="s">
        <v>22</v>
      </c>
      <c r="P376" s="19">
        <v>571.9</v>
      </c>
      <c r="Q376" s="26" t="str">
        <f>IF(OR(P376&lt;'Descriptive Statistics'!$H$17,P376&gt;'Descriptive Statistics'!$H$18),"Potential Outlier","Within Range")</f>
        <v>Within Range</v>
      </c>
      <c r="R376" s="26" t="str">
        <f>IF(OR(G376&lt;'Descriptive Statistics'!$I$17,G376&gt;'Descriptive Statistics'!$I$18),"Potential Outlier","Within Range")</f>
        <v>Within Range</v>
      </c>
      <c r="S376" s="26" t="str">
        <f>IF(OR(H376&lt;'Descriptive Statistics'!$J$17,H376&gt;'Descriptive Statistics'!$J$18),"Potential Outlier","Within Range")</f>
        <v>Within Range</v>
      </c>
    </row>
    <row r="377" hidden="1" spans="1:19">
      <c r="A377" t="s">
        <v>1475</v>
      </c>
      <c r="B377" s="23">
        <v>45673</v>
      </c>
      <c r="C377" s="23" t="str">
        <f t="shared" si="10"/>
        <v>Jan</v>
      </c>
      <c r="D377" s="23" t="str">
        <f t="shared" si="11"/>
        <v>2025</v>
      </c>
      <c r="E377" t="s">
        <v>1476</v>
      </c>
      <c r="F377" s="24" t="s">
        <v>16</v>
      </c>
      <c r="G377" s="17">
        <v>4</v>
      </c>
      <c r="H377" s="19">
        <v>95.03</v>
      </c>
      <c r="I377" t="s">
        <v>1477</v>
      </c>
      <c r="J377" s="24" t="s">
        <v>27</v>
      </c>
      <c r="K377" s="24" t="s">
        <v>19</v>
      </c>
      <c r="L377" t="s">
        <v>1478</v>
      </c>
      <c r="M377" s="17">
        <v>8</v>
      </c>
      <c r="N377" t="s">
        <v>37</v>
      </c>
      <c r="O377" s="24" t="s">
        <v>45</v>
      </c>
      <c r="P377" s="19">
        <v>380.12</v>
      </c>
      <c r="Q377" s="26" t="str">
        <f>IF(OR(P377&lt;'Descriptive Statistics'!$H$17,P377&gt;'Descriptive Statistics'!$H$18),"Potential Outlier","Within Range")</f>
        <v>Within Range</v>
      </c>
      <c r="R377" s="26" t="str">
        <f>IF(OR(G377&lt;'Descriptive Statistics'!$I$17,G377&gt;'Descriptive Statistics'!$I$18),"Potential Outlier","Within Range")</f>
        <v>Within Range</v>
      </c>
      <c r="S377" s="26" t="str">
        <f>IF(OR(H377&lt;'Descriptive Statistics'!$J$17,H377&gt;'Descriptive Statistics'!$J$18),"Potential Outlier","Within Range")</f>
        <v>Within Range</v>
      </c>
    </row>
    <row r="378" hidden="1" spans="1:19">
      <c r="A378" t="s">
        <v>1479</v>
      </c>
      <c r="B378" s="23">
        <v>45162</v>
      </c>
      <c r="C378" s="23" t="str">
        <f t="shared" si="10"/>
        <v>Aug</v>
      </c>
      <c r="D378" s="23" t="str">
        <f t="shared" si="11"/>
        <v>2023</v>
      </c>
      <c r="E378" t="s">
        <v>1480</v>
      </c>
      <c r="F378" s="24" t="s">
        <v>16</v>
      </c>
      <c r="G378" s="17">
        <v>5</v>
      </c>
      <c r="H378" s="19">
        <v>201.22</v>
      </c>
      <c r="I378" t="s">
        <v>1481</v>
      </c>
      <c r="J378" s="24" t="s">
        <v>18</v>
      </c>
      <c r="K378" s="24" t="s">
        <v>89</v>
      </c>
      <c r="L378" t="s">
        <v>1482</v>
      </c>
      <c r="M378" s="17">
        <v>6</v>
      </c>
      <c r="N378" t="s">
        <v>37</v>
      </c>
      <c r="O378" s="24" t="s">
        <v>45</v>
      </c>
      <c r="P378" s="19">
        <v>1006.1</v>
      </c>
      <c r="Q378" s="26" t="str">
        <f>IF(OR(P378&lt;'Descriptive Statistics'!$H$17,P378&gt;'Descriptive Statistics'!$H$18),"Potential Outlier","Within Range")</f>
        <v>Within Range</v>
      </c>
      <c r="R378" s="26" t="str">
        <f>IF(OR(G378&lt;'Descriptive Statistics'!$I$17,G378&gt;'Descriptive Statistics'!$I$18),"Potential Outlier","Within Range")</f>
        <v>Within Range</v>
      </c>
      <c r="S378" s="26" t="str">
        <f>IF(OR(H378&lt;'Descriptive Statistics'!$J$17,H378&gt;'Descriptive Statistics'!$J$18),"Potential Outlier","Within Range")</f>
        <v>Within Range</v>
      </c>
    </row>
    <row r="379" hidden="1" spans="1:19">
      <c r="A379" t="s">
        <v>1483</v>
      </c>
      <c r="B379" s="23">
        <v>45495</v>
      </c>
      <c r="C379" s="23" t="str">
        <f t="shared" si="10"/>
        <v>Jul</v>
      </c>
      <c r="D379" s="23" t="str">
        <f t="shared" si="11"/>
        <v>2024</v>
      </c>
      <c r="E379" t="s">
        <v>1484</v>
      </c>
      <c r="F379" s="24" t="s">
        <v>16</v>
      </c>
      <c r="G379" s="17">
        <v>1</v>
      </c>
      <c r="H379" s="19">
        <v>260.26</v>
      </c>
      <c r="I379" t="s">
        <v>1229</v>
      </c>
      <c r="J379" s="24" t="s">
        <v>27</v>
      </c>
      <c r="K379" s="24" t="s">
        <v>89</v>
      </c>
      <c r="L379" t="s">
        <v>1485</v>
      </c>
      <c r="M379" s="17">
        <v>5</v>
      </c>
      <c r="N379" t="s">
        <v>81</v>
      </c>
      <c r="O379" s="24" t="s">
        <v>22</v>
      </c>
      <c r="P379" s="19">
        <v>260.26</v>
      </c>
      <c r="Q379" s="26" t="str">
        <f>IF(OR(P379&lt;'Descriptive Statistics'!$H$17,P379&gt;'Descriptive Statistics'!$H$18),"Potential Outlier","Within Range")</f>
        <v>Within Range</v>
      </c>
      <c r="R379" s="26" t="str">
        <f>IF(OR(G379&lt;'Descriptive Statistics'!$I$17,G379&gt;'Descriptive Statistics'!$I$18),"Potential Outlier","Within Range")</f>
        <v>Within Range</v>
      </c>
      <c r="S379" s="26" t="str">
        <f>IF(OR(H379&lt;'Descriptive Statistics'!$J$17,H379&gt;'Descriptive Statistics'!$J$18),"Potential Outlier","Within Range")</f>
        <v>Within Range</v>
      </c>
    </row>
    <row r="380" hidden="1" spans="1:19">
      <c r="A380" t="s">
        <v>1486</v>
      </c>
      <c r="B380" s="23">
        <v>45323</v>
      </c>
      <c r="C380" s="23" t="str">
        <f t="shared" si="10"/>
        <v>Feb</v>
      </c>
      <c r="D380" s="23" t="str">
        <f t="shared" si="11"/>
        <v>2024</v>
      </c>
      <c r="E380" t="s">
        <v>1487</v>
      </c>
      <c r="F380" s="24" t="s">
        <v>41</v>
      </c>
      <c r="G380" s="17">
        <v>5</v>
      </c>
      <c r="H380" s="19">
        <v>64.5</v>
      </c>
      <c r="I380" t="s">
        <v>1488</v>
      </c>
      <c r="J380" s="24" t="s">
        <v>34</v>
      </c>
      <c r="K380" s="24" t="s">
        <v>89</v>
      </c>
      <c r="L380" t="s">
        <v>1489</v>
      </c>
      <c r="M380" s="17">
        <v>8</v>
      </c>
      <c r="N380" t="s">
        <v>81</v>
      </c>
      <c r="O380" s="24" t="s">
        <v>22</v>
      </c>
      <c r="P380" s="19">
        <v>322.5</v>
      </c>
      <c r="Q380" s="26" t="str">
        <f>IF(OR(P380&lt;'Descriptive Statistics'!$H$17,P380&gt;'Descriptive Statistics'!$H$18),"Potential Outlier","Within Range")</f>
        <v>Within Range</v>
      </c>
      <c r="R380" s="26" t="str">
        <f>IF(OR(G380&lt;'Descriptive Statistics'!$I$17,G380&gt;'Descriptive Statistics'!$I$18),"Potential Outlier","Within Range")</f>
        <v>Within Range</v>
      </c>
      <c r="S380" s="26" t="str">
        <f>IF(OR(H380&lt;'Descriptive Statistics'!$J$17,H380&gt;'Descriptive Statistics'!$J$18),"Potential Outlier","Within Range")</f>
        <v>Within Range</v>
      </c>
    </row>
    <row r="381" hidden="1" spans="1:19">
      <c r="A381" t="s">
        <v>1490</v>
      </c>
      <c r="B381" s="23">
        <v>45556</v>
      </c>
      <c r="C381" s="23" t="str">
        <f t="shared" si="10"/>
        <v>Sep</v>
      </c>
      <c r="D381" s="23" t="str">
        <f t="shared" si="11"/>
        <v>2024</v>
      </c>
      <c r="E381" t="s">
        <v>1491</v>
      </c>
      <c r="F381" s="24" t="s">
        <v>25</v>
      </c>
      <c r="G381" s="17">
        <v>3</v>
      </c>
      <c r="H381" s="19">
        <v>297.67</v>
      </c>
      <c r="I381" t="s">
        <v>739</v>
      </c>
      <c r="J381" s="24" t="s">
        <v>27</v>
      </c>
      <c r="K381" s="24" t="s">
        <v>19</v>
      </c>
      <c r="L381" t="s">
        <v>1492</v>
      </c>
      <c r="M381" s="17">
        <v>6</v>
      </c>
      <c r="N381" t="s">
        <v>4295</v>
      </c>
      <c r="O381" s="24" t="s">
        <v>76</v>
      </c>
      <c r="P381" s="19">
        <v>893.01</v>
      </c>
      <c r="Q381" s="26" t="str">
        <f>IF(OR(P381&lt;'Descriptive Statistics'!$H$17,P381&gt;'Descriptive Statistics'!$H$18),"Potential Outlier","Within Range")</f>
        <v>Within Range</v>
      </c>
      <c r="R381" s="26" t="str">
        <f>IF(OR(G381&lt;'Descriptive Statistics'!$I$17,G381&gt;'Descriptive Statistics'!$I$18),"Potential Outlier","Within Range")</f>
        <v>Within Range</v>
      </c>
      <c r="S381" s="26" t="str">
        <f>IF(OR(H381&lt;'Descriptive Statistics'!$J$17,H381&gt;'Descriptive Statistics'!$J$18),"Potential Outlier","Within Range")</f>
        <v>Within Range</v>
      </c>
    </row>
    <row r="382" hidden="1" spans="1:19">
      <c r="A382" t="s">
        <v>1493</v>
      </c>
      <c r="B382" s="23">
        <v>45402</v>
      </c>
      <c r="C382" s="23" t="str">
        <f t="shared" si="10"/>
        <v>Apr</v>
      </c>
      <c r="D382" s="23" t="str">
        <f t="shared" si="11"/>
        <v>2024</v>
      </c>
      <c r="E382" t="s">
        <v>1494</v>
      </c>
      <c r="F382" s="24" t="s">
        <v>48</v>
      </c>
      <c r="G382" s="17">
        <v>4</v>
      </c>
      <c r="H382" s="19">
        <v>331.9</v>
      </c>
      <c r="I382" t="s">
        <v>1081</v>
      </c>
      <c r="J382" s="24" t="s">
        <v>65</v>
      </c>
      <c r="K382" s="24" t="s">
        <v>89</v>
      </c>
      <c r="L382" t="s">
        <v>1495</v>
      </c>
      <c r="M382" s="17">
        <v>5</v>
      </c>
      <c r="N382" t="s">
        <v>21</v>
      </c>
      <c r="O382" s="24" t="s">
        <v>22</v>
      </c>
      <c r="P382" s="19">
        <v>1327.6</v>
      </c>
      <c r="Q382" s="26" t="str">
        <f>IF(OR(P382&lt;'Descriptive Statistics'!$H$17,P382&gt;'Descriptive Statistics'!$H$18),"Potential Outlier","Within Range")</f>
        <v>Within Range</v>
      </c>
      <c r="R382" s="26" t="str">
        <f>IF(OR(G382&lt;'Descriptive Statistics'!$I$17,G382&gt;'Descriptive Statistics'!$I$18),"Potential Outlier","Within Range")</f>
        <v>Within Range</v>
      </c>
      <c r="S382" s="26" t="str">
        <f>IF(OR(H382&lt;'Descriptive Statistics'!$J$17,H382&gt;'Descriptive Statistics'!$J$18),"Potential Outlier","Within Range")</f>
        <v>Within Range</v>
      </c>
    </row>
    <row r="383" hidden="1" spans="1:19">
      <c r="A383" t="s">
        <v>1496</v>
      </c>
      <c r="B383" s="23">
        <v>45084</v>
      </c>
      <c r="C383" s="23" t="str">
        <f t="shared" si="10"/>
        <v>Jun</v>
      </c>
      <c r="D383" s="23" t="str">
        <f t="shared" si="11"/>
        <v>2023</v>
      </c>
      <c r="E383" t="s">
        <v>1497</v>
      </c>
      <c r="F383" s="24" t="s">
        <v>41</v>
      </c>
      <c r="G383" s="17">
        <v>1</v>
      </c>
      <c r="H383" s="19">
        <v>191.76</v>
      </c>
      <c r="I383" t="s">
        <v>223</v>
      </c>
      <c r="J383" s="24" t="s">
        <v>34</v>
      </c>
      <c r="K383" s="24" t="s">
        <v>43</v>
      </c>
      <c r="L383" t="s">
        <v>1498</v>
      </c>
      <c r="M383" s="17">
        <v>1</v>
      </c>
      <c r="N383" t="s">
        <v>37</v>
      </c>
      <c r="O383" s="24" t="s">
        <v>22</v>
      </c>
      <c r="P383" s="19">
        <v>191.76</v>
      </c>
      <c r="Q383" s="26" t="str">
        <f>IF(OR(P383&lt;'Descriptive Statistics'!$H$17,P383&gt;'Descriptive Statistics'!$H$18),"Potential Outlier","Within Range")</f>
        <v>Within Range</v>
      </c>
      <c r="R383" s="26" t="str">
        <f>IF(OR(G383&lt;'Descriptive Statistics'!$I$17,G383&gt;'Descriptive Statistics'!$I$18),"Potential Outlier","Within Range")</f>
        <v>Within Range</v>
      </c>
      <c r="S383" s="26" t="str">
        <f>IF(OR(H383&lt;'Descriptive Statistics'!$J$17,H383&gt;'Descriptive Statistics'!$J$18),"Potential Outlier","Within Range")</f>
        <v>Within Range</v>
      </c>
    </row>
    <row r="384" hidden="1" spans="1:19">
      <c r="A384" t="s">
        <v>1499</v>
      </c>
      <c r="B384" s="23">
        <v>45687</v>
      </c>
      <c r="C384" s="23" t="str">
        <f t="shared" si="10"/>
        <v>Jan</v>
      </c>
      <c r="D384" s="23" t="str">
        <f t="shared" si="11"/>
        <v>2025</v>
      </c>
      <c r="E384" t="s">
        <v>1500</v>
      </c>
      <c r="F384" s="24" t="s">
        <v>48</v>
      </c>
      <c r="G384" s="17">
        <v>4</v>
      </c>
      <c r="H384" s="19">
        <v>263.09</v>
      </c>
      <c r="I384" t="s">
        <v>1501</v>
      </c>
      <c r="J384" s="24" t="s">
        <v>18</v>
      </c>
      <c r="K384" s="24" t="s">
        <v>19</v>
      </c>
      <c r="L384" t="s">
        <v>1502</v>
      </c>
      <c r="M384" s="17">
        <v>8</v>
      </c>
      <c r="N384" t="s">
        <v>21</v>
      </c>
      <c r="O384" s="24" t="s">
        <v>76</v>
      </c>
      <c r="P384" s="19">
        <v>1052.36</v>
      </c>
      <c r="Q384" s="26" t="str">
        <f>IF(OR(P384&lt;'Descriptive Statistics'!$H$17,P384&gt;'Descriptive Statistics'!$H$18),"Potential Outlier","Within Range")</f>
        <v>Within Range</v>
      </c>
      <c r="R384" s="26" t="str">
        <f>IF(OR(G384&lt;'Descriptive Statistics'!$I$17,G384&gt;'Descriptive Statistics'!$I$18),"Potential Outlier","Within Range")</f>
        <v>Within Range</v>
      </c>
      <c r="S384" s="26" t="str">
        <f>IF(OR(H384&lt;'Descriptive Statistics'!$J$17,H384&gt;'Descriptive Statistics'!$J$18),"Potential Outlier","Within Range")</f>
        <v>Within Range</v>
      </c>
    </row>
    <row r="385" hidden="1" spans="1:19">
      <c r="A385" t="s">
        <v>1503</v>
      </c>
      <c r="B385" s="23">
        <v>44946</v>
      </c>
      <c r="C385" s="23" t="str">
        <f t="shared" si="10"/>
        <v>Jan</v>
      </c>
      <c r="D385" s="23" t="str">
        <f t="shared" si="11"/>
        <v>2023</v>
      </c>
      <c r="E385" t="s">
        <v>1504</v>
      </c>
      <c r="F385" s="24" t="s">
        <v>41</v>
      </c>
      <c r="G385" s="17">
        <v>4</v>
      </c>
      <c r="H385" s="19">
        <v>393.8</v>
      </c>
      <c r="I385" t="s">
        <v>407</v>
      </c>
      <c r="J385" s="24" t="s">
        <v>34</v>
      </c>
      <c r="K385" s="24" t="s">
        <v>89</v>
      </c>
      <c r="L385" t="s">
        <v>1505</v>
      </c>
      <c r="M385" s="17">
        <v>7</v>
      </c>
      <c r="N385" t="s">
        <v>21</v>
      </c>
      <c r="O385" s="24" t="s">
        <v>38</v>
      </c>
      <c r="P385" s="19">
        <v>1575.2</v>
      </c>
      <c r="Q385" s="26" t="str">
        <f>IF(OR(P385&lt;'Descriptive Statistics'!$H$17,P385&gt;'Descriptive Statistics'!$H$18),"Potential Outlier","Within Range")</f>
        <v>Within Range</v>
      </c>
      <c r="R385" s="26" t="str">
        <f>IF(OR(G385&lt;'Descriptive Statistics'!$I$17,G385&gt;'Descriptive Statistics'!$I$18),"Potential Outlier","Within Range")</f>
        <v>Within Range</v>
      </c>
      <c r="S385" s="26" t="str">
        <f>IF(OR(H385&lt;'Descriptive Statistics'!$J$17,H385&gt;'Descriptive Statistics'!$J$18),"Potential Outlier","Within Range")</f>
        <v>Within Range</v>
      </c>
    </row>
    <row r="386" hidden="1" spans="1:19">
      <c r="A386" t="s">
        <v>1506</v>
      </c>
      <c r="B386" s="23">
        <v>45620</v>
      </c>
      <c r="C386" s="23" t="str">
        <f t="shared" ref="C386:C449" si="12">TEXT(B386,"MMM")</f>
        <v>Nov</v>
      </c>
      <c r="D386" s="23" t="str">
        <f t="shared" ref="D386:D449" si="13">TEXT(B386,"YYYY")</f>
        <v>2024</v>
      </c>
      <c r="E386" t="s">
        <v>1507</v>
      </c>
      <c r="F386" s="24" t="s">
        <v>41</v>
      </c>
      <c r="G386" s="17">
        <v>3</v>
      </c>
      <c r="H386" s="19">
        <v>553.57</v>
      </c>
      <c r="I386" t="s">
        <v>1508</v>
      </c>
      <c r="J386" s="24" t="s">
        <v>34</v>
      </c>
      <c r="K386" s="24" t="s">
        <v>43</v>
      </c>
      <c r="L386" t="s">
        <v>1509</v>
      </c>
      <c r="M386" s="17">
        <v>4</v>
      </c>
      <c r="N386" t="s">
        <v>37</v>
      </c>
      <c r="O386" s="24" t="s">
        <v>45</v>
      </c>
      <c r="P386" s="19">
        <v>1660.71</v>
      </c>
      <c r="Q386" s="26" t="str">
        <f>IF(OR(P386&lt;'Descriptive Statistics'!$H$17,P386&gt;'Descriptive Statistics'!$H$18),"Potential Outlier","Within Range")</f>
        <v>Within Range</v>
      </c>
      <c r="R386" s="26" t="str">
        <f>IF(OR(G386&lt;'Descriptive Statistics'!$I$17,G386&gt;'Descriptive Statistics'!$I$18),"Potential Outlier","Within Range")</f>
        <v>Within Range</v>
      </c>
      <c r="S386" s="26" t="str">
        <f>IF(OR(H386&lt;'Descriptive Statistics'!$J$17,H386&gt;'Descriptive Statistics'!$J$18),"Potential Outlier","Within Range")</f>
        <v>Within Range</v>
      </c>
    </row>
    <row r="387" hidden="1" spans="1:19">
      <c r="A387" t="s">
        <v>1510</v>
      </c>
      <c r="B387" s="23">
        <v>45230</v>
      </c>
      <c r="C387" s="23" t="str">
        <f t="shared" si="12"/>
        <v>Oct</v>
      </c>
      <c r="D387" s="23" t="str">
        <f t="shared" si="13"/>
        <v>2023</v>
      </c>
      <c r="E387" t="s">
        <v>1511</v>
      </c>
      <c r="F387" s="24" t="s">
        <v>41</v>
      </c>
      <c r="G387" s="17">
        <v>5</v>
      </c>
      <c r="H387" s="19">
        <v>191.63</v>
      </c>
      <c r="I387" t="s">
        <v>293</v>
      </c>
      <c r="J387" s="24" t="s">
        <v>60</v>
      </c>
      <c r="K387" s="24" t="s">
        <v>50</v>
      </c>
      <c r="L387" t="s">
        <v>1512</v>
      </c>
      <c r="M387" s="17">
        <v>6</v>
      </c>
      <c r="N387" t="s">
        <v>37</v>
      </c>
      <c r="O387" s="24" t="s">
        <v>45</v>
      </c>
      <c r="P387" s="19">
        <v>958.15</v>
      </c>
      <c r="Q387" s="26" t="str">
        <f>IF(OR(P387&lt;'Descriptive Statistics'!$H$17,P387&gt;'Descriptive Statistics'!$H$18),"Potential Outlier","Within Range")</f>
        <v>Within Range</v>
      </c>
      <c r="R387" s="26" t="str">
        <f>IF(OR(G387&lt;'Descriptive Statistics'!$I$17,G387&gt;'Descriptive Statistics'!$I$18),"Potential Outlier","Within Range")</f>
        <v>Within Range</v>
      </c>
      <c r="S387" s="26" t="str">
        <f>IF(OR(H387&lt;'Descriptive Statistics'!$J$17,H387&gt;'Descriptive Statistics'!$J$18),"Potential Outlier","Within Range")</f>
        <v>Within Range</v>
      </c>
    </row>
    <row r="388" hidden="1" spans="1:19">
      <c r="A388" t="s">
        <v>1513</v>
      </c>
      <c r="B388" s="23">
        <v>45044</v>
      </c>
      <c r="C388" s="23" t="str">
        <f t="shared" si="12"/>
        <v>Apr</v>
      </c>
      <c r="D388" s="23" t="str">
        <f t="shared" si="13"/>
        <v>2023</v>
      </c>
      <c r="E388" t="s">
        <v>1514</v>
      </c>
      <c r="F388" s="24" t="s">
        <v>32</v>
      </c>
      <c r="G388" s="17">
        <v>1</v>
      </c>
      <c r="H388" s="19">
        <v>93.02</v>
      </c>
      <c r="I388" t="s">
        <v>1515</v>
      </c>
      <c r="J388" s="24" t="s">
        <v>27</v>
      </c>
      <c r="K388" s="24" t="s">
        <v>43</v>
      </c>
      <c r="L388" t="s">
        <v>1516</v>
      </c>
      <c r="M388" s="17">
        <v>4</v>
      </c>
      <c r="N388" t="s">
        <v>4295</v>
      </c>
      <c r="O388" s="24" t="s">
        <v>38</v>
      </c>
      <c r="P388" s="19">
        <v>93.02</v>
      </c>
      <c r="Q388" s="26" t="str">
        <f>IF(OR(P388&lt;'Descriptive Statistics'!$H$17,P388&gt;'Descriptive Statistics'!$H$18),"Potential Outlier","Within Range")</f>
        <v>Within Range</v>
      </c>
      <c r="R388" s="26" t="str">
        <f>IF(OR(G388&lt;'Descriptive Statistics'!$I$17,G388&gt;'Descriptive Statistics'!$I$18),"Potential Outlier","Within Range")</f>
        <v>Within Range</v>
      </c>
      <c r="S388" s="26" t="str">
        <f>IF(OR(H388&lt;'Descriptive Statistics'!$J$17,H388&gt;'Descriptive Statistics'!$J$18),"Potential Outlier","Within Range")</f>
        <v>Within Range</v>
      </c>
    </row>
    <row r="389" hidden="1" spans="1:19">
      <c r="A389" t="s">
        <v>1517</v>
      </c>
      <c r="B389" s="23">
        <v>45470</v>
      </c>
      <c r="C389" s="23" t="str">
        <f t="shared" si="12"/>
        <v>Jun</v>
      </c>
      <c r="D389" s="23" t="str">
        <f t="shared" si="13"/>
        <v>2024</v>
      </c>
      <c r="E389" t="s">
        <v>1518</v>
      </c>
      <c r="F389" s="24" t="s">
        <v>48</v>
      </c>
      <c r="G389" s="17">
        <v>2</v>
      </c>
      <c r="H389" s="19">
        <v>39.53</v>
      </c>
      <c r="I389" t="s">
        <v>69</v>
      </c>
      <c r="J389" s="24" t="s">
        <v>34</v>
      </c>
      <c r="K389" s="24" t="s">
        <v>19</v>
      </c>
      <c r="L389" t="s">
        <v>1519</v>
      </c>
      <c r="M389" s="17">
        <v>3</v>
      </c>
      <c r="N389" t="s">
        <v>81</v>
      </c>
      <c r="O389" s="24" t="s">
        <v>76</v>
      </c>
      <c r="P389" s="19">
        <v>79.06</v>
      </c>
      <c r="Q389" s="26" t="str">
        <f>IF(OR(P389&lt;'Descriptive Statistics'!$H$17,P389&gt;'Descriptive Statistics'!$H$18),"Potential Outlier","Within Range")</f>
        <v>Within Range</v>
      </c>
      <c r="R389" s="26" t="str">
        <f>IF(OR(G389&lt;'Descriptive Statistics'!$I$17,G389&gt;'Descriptive Statistics'!$I$18),"Potential Outlier","Within Range")</f>
        <v>Within Range</v>
      </c>
      <c r="S389" s="26" t="str">
        <f>IF(OR(H389&lt;'Descriptive Statistics'!$J$17,H389&gt;'Descriptive Statistics'!$J$18),"Potential Outlier","Within Range")</f>
        <v>Within Range</v>
      </c>
    </row>
    <row r="390" hidden="1" spans="1:19">
      <c r="A390" t="s">
        <v>1520</v>
      </c>
      <c r="B390" s="23">
        <v>45288</v>
      </c>
      <c r="C390" s="23" t="str">
        <f t="shared" si="12"/>
        <v>Dec</v>
      </c>
      <c r="D390" s="23" t="str">
        <f t="shared" si="13"/>
        <v>2023</v>
      </c>
      <c r="E390" t="s">
        <v>1521</v>
      </c>
      <c r="F390" s="24" t="s">
        <v>48</v>
      </c>
      <c r="G390" s="17">
        <v>3</v>
      </c>
      <c r="H390" s="19">
        <v>633.97</v>
      </c>
      <c r="I390" t="s">
        <v>438</v>
      </c>
      <c r="J390" s="24" t="s">
        <v>65</v>
      </c>
      <c r="K390" s="24" t="s">
        <v>89</v>
      </c>
      <c r="L390" t="s">
        <v>1522</v>
      </c>
      <c r="M390" s="17">
        <v>7</v>
      </c>
      <c r="N390" t="s">
        <v>81</v>
      </c>
      <c r="O390" s="24" t="s">
        <v>45</v>
      </c>
      <c r="P390" s="19">
        <v>1901.91</v>
      </c>
      <c r="Q390" s="26" t="str">
        <f>IF(OR(P390&lt;'Descriptive Statistics'!$H$17,P390&gt;'Descriptive Statistics'!$H$18),"Potential Outlier","Within Range")</f>
        <v>Within Range</v>
      </c>
      <c r="R390" s="26" t="str">
        <f>IF(OR(G390&lt;'Descriptive Statistics'!$I$17,G390&gt;'Descriptive Statistics'!$I$18),"Potential Outlier","Within Range")</f>
        <v>Within Range</v>
      </c>
      <c r="S390" s="26" t="str">
        <f>IF(OR(H390&lt;'Descriptive Statistics'!$J$17,H390&gt;'Descriptive Statistics'!$J$18),"Potential Outlier","Within Range")</f>
        <v>Within Range</v>
      </c>
    </row>
    <row r="391" hidden="1" spans="1:19">
      <c r="A391" t="s">
        <v>1523</v>
      </c>
      <c r="B391" s="23">
        <v>45277</v>
      </c>
      <c r="C391" s="23" t="str">
        <f t="shared" si="12"/>
        <v>Dec</v>
      </c>
      <c r="D391" s="23" t="str">
        <f t="shared" si="13"/>
        <v>2023</v>
      </c>
      <c r="E391" t="s">
        <v>1524</v>
      </c>
      <c r="F391" s="24" t="s">
        <v>73</v>
      </c>
      <c r="G391" s="17">
        <v>4</v>
      </c>
      <c r="H391" s="19">
        <v>697.5</v>
      </c>
      <c r="I391" t="s">
        <v>1525</v>
      </c>
      <c r="J391" s="24" t="s">
        <v>65</v>
      </c>
      <c r="K391" s="24" t="s">
        <v>19</v>
      </c>
      <c r="L391" t="s">
        <v>1526</v>
      </c>
      <c r="M391" s="17">
        <v>7</v>
      </c>
      <c r="N391" t="s">
        <v>37</v>
      </c>
      <c r="O391" s="24" t="s">
        <v>29</v>
      </c>
      <c r="P391" s="19">
        <v>2790</v>
      </c>
      <c r="Q391" s="26" t="str">
        <f>IF(OR(P391&lt;'Descriptive Statistics'!$H$17,P391&gt;'Descriptive Statistics'!$H$18),"Potential Outlier","Within Range")</f>
        <v>Within Range</v>
      </c>
      <c r="R391" s="26" t="str">
        <f>IF(OR(G391&lt;'Descriptive Statistics'!$I$17,G391&gt;'Descriptive Statistics'!$I$18),"Potential Outlier","Within Range")</f>
        <v>Within Range</v>
      </c>
      <c r="S391" s="26" t="str">
        <f>IF(OR(H391&lt;'Descriptive Statistics'!$J$17,H391&gt;'Descriptive Statistics'!$J$18),"Potential Outlier","Within Range")</f>
        <v>Within Range</v>
      </c>
    </row>
    <row r="392" hidden="1" spans="1:19">
      <c r="A392" t="s">
        <v>1527</v>
      </c>
      <c r="B392" s="23">
        <v>45121</v>
      </c>
      <c r="C392" s="23" t="str">
        <f t="shared" si="12"/>
        <v>Jul</v>
      </c>
      <c r="D392" s="23" t="str">
        <f t="shared" si="13"/>
        <v>2023</v>
      </c>
      <c r="E392" t="s">
        <v>1528</v>
      </c>
      <c r="F392" s="24" t="s">
        <v>48</v>
      </c>
      <c r="G392" s="17">
        <v>5</v>
      </c>
      <c r="H392" s="19">
        <v>508.69</v>
      </c>
      <c r="I392" t="s">
        <v>1376</v>
      </c>
      <c r="J392" s="24" t="s">
        <v>65</v>
      </c>
      <c r="K392" s="24" t="s">
        <v>50</v>
      </c>
      <c r="L392" t="s">
        <v>1529</v>
      </c>
      <c r="M392" s="17">
        <v>10</v>
      </c>
      <c r="N392" t="s">
        <v>37</v>
      </c>
      <c r="O392" s="24" t="s">
        <v>76</v>
      </c>
      <c r="P392" s="19">
        <v>2543.45</v>
      </c>
      <c r="Q392" s="26" t="str">
        <f>IF(OR(P392&lt;'Descriptive Statistics'!$H$17,P392&gt;'Descriptive Statistics'!$H$18),"Potential Outlier","Within Range")</f>
        <v>Within Range</v>
      </c>
      <c r="R392" s="26" t="str">
        <f>IF(OR(G392&lt;'Descriptive Statistics'!$I$17,G392&gt;'Descriptive Statistics'!$I$18),"Potential Outlier","Within Range")</f>
        <v>Within Range</v>
      </c>
      <c r="S392" s="26" t="str">
        <f>IF(OR(H392&lt;'Descriptive Statistics'!$J$17,H392&gt;'Descriptive Statistics'!$J$18),"Potential Outlier","Within Range")</f>
        <v>Within Range</v>
      </c>
    </row>
    <row r="393" hidden="1" spans="1:19">
      <c r="A393" t="s">
        <v>1530</v>
      </c>
      <c r="B393" s="23">
        <v>45673</v>
      </c>
      <c r="C393" s="23" t="str">
        <f t="shared" si="12"/>
        <v>Jan</v>
      </c>
      <c r="D393" s="23" t="str">
        <f t="shared" si="13"/>
        <v>2025</v>
      </c>
      <c r="E393" t="s">
        <v>1531</v>
      </c>
      <c r="F393" s="24" t="s">
        <v>58</v>
      </c>
      <c r="G393" s="17">
        <v>2</v>
      </c>
      <c r="H393" s="19">
        <v>527.46</v>
      </c>
      <c r="I393" t="s">
        <v>1137</v>
      </c>
      <c r="J393" s="24" t="s">
        <v>18</v>
      </c>
      <c r="K393" s="24" t="s">
        <v>35</v>
      </c>
      <c r="L393" t="s">
        <v>1532</v>
      </c>
      <c r="M393" s="17">
        <v>3</v>
      </c>
      <c r="N393" t="s">
        <v>37</v>
      </c>
      <c r="O393" s="24" t="s">
        <v>29</v>
      </c>
      <c r="P393" s="19">
        <v>1054.92</v>
      </c>
      <c r="Q393" s="26" t="str">
        <f>IF(OR(P393&lt;'Descriptive Statistics'!$H$17,P393&gt;'Descriptive Statistics'!$H$18),"Potential Outlier","Within Range")</f>
        <v>Within Range</v>
      </c>
      <c r="R393" s="26" t="str">
        <f>IF(OR(G393&lt;'Descriptive Statistics'!$I$17,G393&gt;'Descriptive Statistics'!$I$18),"Potential Outlier","Within Range")</f>
        <v>Within Range</v>
      </c>
      <c r="S393" s="26" t="str">
        <f>IF(OR(H393&lt;'Descriptive Statistics'!$J$17,H393&gt;'Descriptive Statistics'!$J$18),"Potential Outlier","Within Range")</f>
        <v>Within Range</v>
      </c>
    </row>
    <row r="394" hidden="1" spans="1:19">
      <c r="A394" t="s">
        <v>1533</v>
      </c>
      <c r="B394" s="23">
        <v>45350</v>
      </c>
      <c r="C394" s="23" t="str">
        <f t="shared" si="12"/>
        <v>Feb</v>
      </c>
      <c r="D394" s="23" t="str">
        <f t="shared" si="13"/>
        <v>2024</v>
      </c>
      <c r="E394" t="s">
        <v>1534</v>
      </c>
      <c r="F394" s="24" t="s">
        <v>25</v>
      </c>
      <c r="G394" s="17">
        <v>1</v>
      </c>
      <c r="H394" s="19">
        <v>627.2</v>
      </c>
      <c r="I394" t="s">
        <v>1427</v>
      </c>
      <c r="J394" s="24" t="s">
        <v>27</v>
      </c>
      <c r="K394" s="24" t="s">
        <v>50</v>
      </c>
      <c r="L394" t="s">
        <v>1535</v>
      </c>
      <c r="M394" s="17">
        <v>1</v>
      </c>
      <c r="N394" t="s">
        <v>81</v>
      </c>
      <c r="O394" s="24" t="s">
        <v>38</v>
      </c>
      <c r="P394" s="19">
        <v>627.2</v>
      </c>
      <c r="Q394" s="26" t="str">
        <f>IF(OR(P394&lt;'Descriptive Statistics'!$H$17,P394&gt;'Descriptive Statistics'!$H$18),"Potential Outlier","Within Range")</f>
        <v>Within Range</v>
      </c>
      <c r="R394" s="26" t="str">
        <f>IF(OR(G394&lt;'Descriptive Statistics'!$I$17,G394&gt;'Descriptive Statistics'!$I$18),"Potential Outlier","Within Range")</f>
        <v>Within Range</v>
      </c>
      <c r="S394" s="26" t="str">
        <f>IF(OR(H394&lt;'Descriptive Statistics'!$J$17,H394&gt;'Descriptive Statistics'!$J$18),"Potential Outlier","Within Range")</f>
        <v>Within Range</v>
      </c>
    </row>
    <row r="395" hidden="1" spans="1:19">
      <c r="A395" t="s">
        <v>1536</v>
      </c>
      <c r="B395" s="23">
        <v>45487</v>
      </c>
      <c r="C395" s="23" t="str">
        <f t="shared" si="12"/>
        <v>Jul</v>
      </c>
      <c r="D395" s="23" t="str">
        <f t="shared" si="13"/>
        <v>2024</v>
      </c>
      <c r="E395" t="s">
        <v>1537</v>
      </c>
      <c r="F395" s="24" t="s">
        <v>48</v>
      </c>
      <c r="G395" s="17">
        <v>1</v>
      </c>
      <c r="H395" s="19">
        <v>75.01</v>
      </c>
      <c r="I395" t="s">
        <v>1538</v>
      </c>
      <c r="J395" s="24" t="s">
        <v>34</v>
      </c>
      <c r="K395" s="24" t="s">
        <v>43</v>
      </c>
      <c r="L395" t="s">
        <v>1539</v>
      </c>
      <c r="M395" s="17">
        <v>3</v>
      </c>
      <c r="N395" t="s">
        <v>4295</v>
      </c>
      <c r="O395" s="24" t="s">
        <v>76</v>
      </c>
      <c r="P395" s="19">
        <v>75.01</v>
      </c>
      <c r="Q395" s="26" t="str">
        <f>IF(OR(P395&lt;'Descriptive Statistics'!$H$17,P395&gt;'Descriptive Statistics'!$H$18),"Potential Outlier","Within Range")</f>
        <v>Within Range</v>
      </c>
      <c r="R395" s="26" t="str">
        <f>IF(OR(G395&lt;'Descriptive Statistics'!$I$17,G395&gt;'Descriptive Statistics'!$I$18),"Potential Outlier","Within Range")</f>
        <v>Within Range</v>
      </c>
      <c r="S395" s="26" t="str">
        <f>IF(OR(H395&lt;'Descriptive Statistics'!$J$17,H395&gt;'Descriptive Statistics'!$J$18),"Potential Outlier","Within Range")</f>
        <v>Within Range</v>
      </c>
    </row>
    <row r="396" hidden="1" spans="1:19">
      <c r="A396" t="s">
        <v>1540</v>
      </c>
      <c r="B396" s="23">
        <v>45112</v>
      </c>
      <c r="C396" s="23" t="str">
        <f t="shared" si="12"/>
        <v>Jul</v>
      </c>
      <c r="D396" s="23" t="str">
        <f t="shared" si="13"/>
        <v>2023</v>
      </c>
      <c r="E396" t="s">
        <v>1541</v>
      </c>
      <c r="F396" s="24" t="s">
        <v>73</v>
      </c>
      <c r="G396" s="17">
        <v>5</v>
      </c>
      <c r="H396" s="19">
        <v>529.55</v>
      </c>
      <c r="I396" t="s">
        <v>1542</v>
      </c>
      <c r="J396" s="24" t="s">
        <v>60</v>
      </c>
      <c r="K396" s="24" t="s">
        <v>19</v>
      </c>
      <c r="L396" t="s">
        <v>1543</v>
      </c>
      <c r="M396" s="17">
        <v>10</v>
      </c>
      <c r="N396" t="s">
        <v>4295</v>
      </c>
      <c r="O396" s="24" t="s">
        <v>45</v>
      </c>
      <c r="P396" s="19">
        <v>2647.75</v>
      </c>
      <c r="Q396" s="26" t="str">
        <f>IF(OR(P396&lt;'Descriptive Statistics'!$H$17,P396&gt;'Descriptive Statistics'!$H$18),"Potential Outlier","Within Range")</f>
        <v>Within Range</v>
      </c>
      <c r="R396" s="26" t="str">
        <f>IF(OR(G396&lt;'Descriptive Statistics'!$I$17,G396&gt;'Descriptive Statistics'!$I$18),"Potential Outlier","Within Range")</f>
        <v>Within Range</v>
      </c>
      <c r="S396" s="26" t="str">
        <f>IF(OR(H396&lt;'Descriptive Statistics'!$J$17,H396&gt;'Descriptive Statistics'!$J$18),"Potential Outlier","Within Range")</f>
        <v>Within Range</v>
      </c>
    </row>
    <row r="397" hidden="1" spans="1:19">
      <c r="A397" t="s">
        <v>1544</v>
      </c>
      <c r="B397" s="23">
        <v>45772</v>
      </c>
      <c r="C397" s="23" t="str">
        <f t="shared" si="12"/>
        <v>Apr</v>
      </c>
      <c r="D397" s="23" t="str">
        <f t="shared" si="13"/>
        <v>2025</v>
      </c>
      <c r="E397" t="s">
        <v>1545</v>
      </c>
      <c r="F397" s="24" t="s">
        <v>25</v>
      </c>
      <c r="G397" s="17">
        <v>3</v>
      </c>
      <c r="H397" s="19">
        <v>127.41</v>
      </c>
      <c r="I397" t="s">
        <v>169</v>
      </c>
      <c r="J397" s="24" t="s">
        <v>60</v>
      </c>
      <c r="K397" s="24" t="s">
        <v>50</v>
      </c>
      <c r="L397" t="s">
        <v>1546</v>
      </c>
      <c r="M397" s="17">
        <v>7</v>
      </c>
      <c r="N397" t="s">
        <v>21</v>
      </c>
      <c r="O397" s="24" t="s">
        <v>29</v>
      </c>
      <c r="P397" s="19">
        <v>382.23</v>
      </c>
      <c r="Q397" s="26" t="str">
        <f>IF(OR(P397&lt;'Descriptive Statistics'!$H$17,P397&gt;'Descriptive Statistics'!$H$18),"Potential Outlier","Within Range")</f>
        <v>Within Range</v>
      </c>
      <c r="R397" s="26" t="str">
        <f>IF(OR(G397&lt;'Descriptive Statistics'!$I$17,G397&gt;'Descriptive Statistics'!$I$18),"Potential Outlier","Within Range")</f>
        <v>Within Range</v>
      </c>
      <c r="S397" s="26" t="str">
        <f>IF(OR(H397&lt;'Descriptive Statistics'!$J$17,H397&gt;'Descriptive Statistics'!$J$18),"Potential Outlier","Within Range")</f>
        <v>Within Range</v>
      </c>
    </row>
    <row r="398" hidden="1" spans="1:19">
      <c r="A398" t="s">
        <v>1547</v>
      </c>
      <c r="B398" s="23">
        <v>45261</v>
      </c>
      <c r="C398" s="23" t="str">
        <f t="shared" si="12"/>
        <v>Dec</v>
      </c>
      <c r="D398" s="23" t="str">
        <f t="shared" si="13"/>
        <v>2023</v>
      </c>
      <c r="E398" t="s">
        <v>1548</v>
      </c>
      <c r="F398" s="24" t="s">
        <v>32</v>
      </c>
      <c r="G398" s="17">
        <v>5</v>
      </c>
      <c r="H398" s="19">
        <v>287.13</v>
      </c>
      <c r="I398" t="s">
        <v>1549</v>
      </c>
      <c r="J398" s="24" t="s">
        <v>27</v>
      </c>
      <c r="K398" s="24" t="s">
        <v>19</v>
      </c>
      <c r="L398" t="s">
        <v>1550</v>
      </c>
      <c r="M398" s="17">
        <v>10</v>
      </c>
      <c r="N398" t="s">
        <v>21</v>
      </c>
      <c r="O398" s="24" t="s">
        <v>38</v>
      </c>
      <c r="P398" s="19">
        <v>1435.65</v>
      </c>
      <c r="Q398" s="26" t="str">
        <f>IF(OR(P398&lt;'Descriptive Statistics'!$H$17,P398&gt;'Descriptive Statistics'!$H$18),"Potential Outlier","Within Range")</f>
        <v>Within Range</v>
      </c>
      <c r="R398" s="26" t="str">
        <f>IF(OR(G398&lt;'Descriptive Statistics'!$I$17,G398&gt;'Descriptive Statistics'!$I$18),"Potential Outlier","Within Range")</f>
        <v>Within Range</v>
      </c>
      <c r="S398" s="26" t="str">
        <f>IF(OR(H398&lt;'Descriptive Statistics'!$J$17,H398&gt;'Descriptive Statistics'!$J$18),"Potential Outlier","Within Range")</f>
        <v>Within Range</v>
      </c>
    </row>
    <row r="399" hidden="1" spans="1:19">
      <c r="A399" t="s">
        <v>1551</v>
      </c>
      <c r="B399" s="23">
        <v>45197</v>
      </c>
      <c r="C399" s="23" t="str">
        <f t="shared" si="12"/>
        <v>Sep</v>
      </c>
      <c r="D399" s="23" t="str">
        <f t="shared" si="13"/>
        <v>2023</v>
      </c>
      <c r="E399" t="s">
        <v>1552</v>
      </c>
      <c r="F399" s="24" t="s">
        <v>16</v>
      </c>
      <c r="G399" s="17">
        <v>1</v>
      </c>
      <c r="H399" s="19">
        <v>427.06</v>
      </c>
      <c r="I399" t="s">
        <v>1553</v>
      </c>
      <c r="J399" s="24" t="s">
        <v>27</v>
      </c>
      <c r="K399" s="24" t="s">
        <v>35</v>
      </c>
      <c r="L399" t="s">
        <v>1554</v>
      </c>
      <c r="M399" s="17">
        <v>1</v>
      </c>
      <c r="N399" t="s">
        <v>81</v>
      </c>
      <c r="O399" s="24" t="s">
        <v>29</v>
      </c>
      <c r="P399" s="19">
        <v>427.06</v>
      </c>
      <c r="Q399" s="26" t="str">
        <f>IF(OR(P399&lt;'Descriptive Statistics'!$H$17,P399&gt;'Descriptive Statistics'!$H$18),"Potential Outlier","Within Range")</f>
        <v>Within Range</v>
      </c>
      <c r="R399" s="26" t="str">
        <f>IF(OR(G399&lt;'Descriptive Statistics'!$I$17,G399&gt;'Descriptive Statistics'!$I$18),"Potential Outlier","Within Range")</f>
        <v>Within Range</v>
      </c>
      <c r="S399" s="26" t="str">
        <f>IF(OR(H399&lt;'Descriptive Statistics'!$J$17,H399&gt;'Descriptive Statistics'!$J$18),"Potential Outlier","Within Range")</f>
        <v>Within Range</v>
      </c>
    </row>
    <row r="400" hidden="1" spans="1:19">
      <c r="A400" t="s">
        <v>1555</v>
      </c>
      <c r="B400" s="23">
        <v>45539</v>
      </c>
      <c r="C400" s="23" t="str">
        <f t="shared" si="12"/>
        <v>Sep</v>
      </c>
      <c r="D400" s="23" t="str">
        <f t="shared" si="13"/>
        <v>2024</v>
      </c>
      <c r="E400" t="s">
        <v>1556</v>
      </c>
      <c r="F400" s="24" t="s">
        <v>25</v>
      </c>
      <c r="G400" s="17">
        <v>5</v>
      </c>
      <c r="H400" s="19">
        <v>53.93</v>
      </c>
      <c r="I400" t="s">
        <v>841</v>
      </c>
      <c r="J400" s="24" t="s">
        <v>60</v>
      </c>
      <c r="K400" s="24" t="s">
        <v>19</v>
      </c>
      <c r="L400" t="s">
        <v>1557</v>
      </c>
      <c r="M400" s="17">
        <v>7</v>
      </c>
      <c r="N400" t="s">
        <v>21</v>
      </c>
      <c r="O400" s="24" t="s">
        <v>22</v>
      </c>
      <c r="P400" s="19">
        <v>269.65</v>
      </c>
      <c r="Q400" s="26" t="str">
        <f>IF(OR(P400&lt;'Descriptive Statistics'!$H$17,P400&gt;'Descriptive Statistics'!$H$18),"Potential Outlier","Within Range")</f>
        <v>Within Range</v>
      </c>
      <c r="R400" s="26" t="str">
        <f>IF(OR(G400&lt;'Descriptive Statistics'!$I$17,G400&gt;'Descriptive Statistics'!$I$18),"Potential Outlier","Within Range")</f>
        <v>Within Range</v>
      </c>
      <c r="S400" s="26" t="str">
        <f>IF(OR(H400&lt;'Descriptive Statistics'!$J$17,H400&gt;'Descriptive Statistics'!$J$18),"Potential Outlier","Within Range")</f>
        <v>Within Range</v>
      </c>
    </row>
    <row r="401" hidden="1" spans="1:19">
      <c r="A401" t="s">
        <v>1558</v>
      </c>
      <c r="B401" s="23">
        <v>45298</v>
      </c>
      <c r="C401" s="23" t="str">
        <f t="shared" si="12"/>
        <v>Jan</v>
      </c>
      <c r="D401" s="23" t="str">
        <f t="shared" si="13"/>
        <v>2024</v>
      </c>
      <c r="E401" t="s">
        <v>1559</v>
      </c>
      <c r="F401" s="24" t="s">
        <v>32</v>
      </c>
      <c r="G401" s="17">
        <v>5</v>
      </c>
      <c r="H401" s="19">
        <v>423.93</v>
      </c>
      <c r="I401" t="s">
        <v>1560</v>
      </c>
      <c r="J401" s="24" t="s">
        <v>18</v>
      </c>
      <c r="K401" s="24" t="s">
        <v>43</v>
      </c>
      <c r="L401" t="s">
        <v>1561</v>
      </c>
      <c r="M401" s="17">
        <v>5</v>
      </c>
      <c r="N401" t="s">
        <v>37</v>
      </c>
      <c r="O401" s="24" t="s">
        <v>45</v>
      </c>
      <c r="P401" s="19">
        <v>2119.65</v>
      </c>
      <c r="Q401" s="26" t="str">
        <f>IF(OR(P401&lt;'Descriptive Statistics'!$H$17,P401&gt;'Descriptive Statistics'!$H$18),"Potential Outlier","Within Range")</f>
        <v>Within Range</v>
      </c>
      <c r="R401" s="26" t="str">
        <f>IF(OR(G401&lt;'Descriptive Statistics'!$I$17,G401&gt;'Descriptive Statistics'!$I$18),"Potential Outlier","Within Range")</f>
        <v>Within Range</v>
      </c>
      <c r="S401" s="26" t="str">
        <f>IF(OR(H401&lt;'Descriptive Statistics'!$J$17,H401&gt;'Descriptive Statistics'!$J$18),"Potential Outlier","Within Range")</f>
        <v>Within Range</v>
      </c>
    </row>
    <row r="402" hidden="1" spans="1:19">
      <c r="A402" t="s">
        <v>1562</v>
      </c>
      <c r="B402" s="23">
        <v>45563</v>
      </c>
      <c r="C402" s="23" t="str">
        <f t="shared" si="12"/>
        <v>Sep</v>
      </c>
      <c r="D402" s="23" t="str">
        <f t="shared" si="13"/>
        <v>2024</v>
      </c>
      <c r="E402" t="s">
        <v>1563</v>
      </c>
      <c r="F402" s="24" t="s">
        <v>73</v>
      </c>
      <c r="G402" s="17">
        <v>4</v>
      </c>
      <c r="H402" s="19">
        <v>160.22</v>
      </c>
      <c r="I402" t="s">
        <v>1564</v>
      </c>
      <c r="J402" s="24" t="s">
        <v>18</v>
      </c>
      <c r="K402" s="24" t="s">
        <v>43</v>
      </c>
      <c r="L402" t="s">
        <v>1565</v>
      </c>
      <c r="M402" s="17">
        <v>9</v>
      </c>
      <c r="N402" t="s">
        <v>81</v>
      </c>
      <c r="O402" s="24" t="s">
        <v>22</v>
      </c>
      <c r="P402" s="19">
        <v>640.88</v>
      </c>
      <c r="Q402" s="26" t="str">
        <f>IF(OR(P402&lt;'Descriptive Statistics'!$H$17,P402&gt;'Descriptive Statistics'!$H$18),"Potential Outlier","Within Range")</f>
        <v>Within Range</v>
      </c>
      <c r="R402" s="26" t="str">
        <f>IF(OR(G402&lt;'Descriptive Statistics'!$I$17,G402&gt;'Descriptive Statistics'!$I$18),"Potential Outlier","Within Range")</f>
        <v>Within Range</v>
      </c>
      <c r="S402" s="26" t="str">
        <f>IF(OR(H402&lt;'Descriptive Statistics'!$J$17,H402&gt;'Descriptive Statistics'!$J$18),"Potential Outlier","Within Range")</f>
        <v>Within Range</v>
      </c>
    </row>
    <row r="403" hidden="1" spans="1:19">
      <c r="A403" t="s">
        <v>1566</v>
      </c>
      <c r="B403" s="23">
        <v>45756</v>
      </c>
      <c r="C403" s="23" t="str">
        <f t="shared" si="12"/>
        <v>Apr</v>
      </c>
      <c r="D403" s="23" t="str">
        <f t="shared" si="13"/>
        <v>2025</v>
      </c>
      <c r="E403" t="s">
        <v>1567</v>
      </c>
      <c r="F403" s="24" t="s">
        <v>48</v>
      </c>
      <c r="G403" s="17">
        <v>1</v>
      </c>
      <c r="H403" s="19">
        <v>538.68</v>
      </c>
      <c r="I403" t="s">
        <v>1427</v>
      </c>
      <c r="J403" s="24" t="s">
        <v>18</v>
      </c>
      <c r="K403" s="24" t="s">
        <v>43</v>
      </c>
      <c r="L403" t="s">
        <v>1568</v>
      </c>
      <c r="M403" s="17">
        <v>6</v>
      </c>
      <c r="N403" t="s">
        <v>4295</v>
      </c>
      <c r="O403" s="24" t="s">
        <v>29</v>
      </c>
      <c r="P403" s="19">
        <v>538.68</v>
      </c>
      <c r="Q403" s="26" t="str">
        <f>IF(OR(P403&lt;'Descriptive Statistics'!$H$17,P403&gt;'Descriptive Statistics'!$H$18),"Potential Outlier","Within Range")</f>
        <v>Within Range</v>
      </c>
      <c r="R403" s="26" t="str">
        <f>IF(OR(G403&lt;'Descriptive Statistics'!$I$17,G403&gt;'Descriptive Statistics'!$I$18),"Potential Outlier","Within Range")</f>
        <v>Within Range</v>
      </c>
      <c r="S403" s="26" t="str">
        <f>IF(OR(H403&lt;'Descriptive Statistics'!$J$17,H403&gt;'Descriptive Statistics'!$J$18),"Potential Outlier","Within Range")</f>
        <v>Within Range</v>
      </c>
    </row>
    <row r="404" hidden="1" spans="1:19">
      <c r="A404" t="s">
        <v>1569</v>
      </c>
      <c r="B404" s="23">
        <v>45025</v>
      </c>
      <c r="C404" s="23" t="str">
        <f t="shared" si="12"/>
        <v>Apr</v>
      </c>
      <c r="D404" s="23" t="str">
        <f t="shared" si="13"/>
        <v>2023</v>
      </c>
      <c r="E404" t="s">
        <v>1570</v>
      </c>
      <c r="F404" s="24" t="s">
        <v>48</v>
      </c>
      <c r="G404" s="17">
        <v>5</v>
      </c>
      <c r="H404" s="19">
        <v>337.38</v>
      </c>
      <c r="I404" t="s">
        <v>1571</v>
      </c>
      <c r="J404" s="24" t="s">
        <v>60</v>
      </c>
      <c r="K404" s="24" t="s">
        <v>19</v>
      </c>
      <c r="L404" t="s">
        <v>1572</v>
      </c>
      <c r="M404" s="17">
        <v>5</v>
      </c>
      <c r="N404" t="s">
        <v>4295</v>
      </c>
      <c r="O404" s="24" t="s">
        <v>29</v>
      </c>
      <c r="P404" s="19">
        <v>1686.9</v>
      </c>
      <c r="Q404" s="26" t="str">
        <f>IF(OR(P404&lt;'Descriptive Statistics'!$H$17,P404&gt;'Descriptive Statistics'!$H$18),"Potential Outlier","Within Range")</f>
        <v>Within Range</v>
      </c>
      <c r="R404" s="26" t="str">
        <f>IF(OR(G404&lt;'Descriptive Statistics'!$I$17,G404&gt;'Descriptive Statistics'!$I$18),"Potential Outlier","Within Range")</f>
        <v>Within Range</v>
      </c>
      <c r="S404" s="26" t="str">
        <f>IF(OR(H404&lt;'Descriptive Statistics'!$J$17,H404&gt;'Descriptive Statistics'!$J$18),"Potential Outlier","Within Range")</f>
        <v>Within Range</v>
      </c>
    </row>
    <row r="405" hidden="1" spans="1:19">
      <c r="A405" t="s">
        <v>1573</v>
      </c>
      <c r="B405" s="23">
        <v>45606</v>
      </c>
      <c r="C405" s="23" t="str">
        <f t="shared" si="12"/>
        <v>Nov</v>
      </c>
      <c r="D405" s="23" t="str">
        <f t="shared" si="13"/>
        <v>2024</v>
      </c>
      <c r="E405" t="s">
        <v>1574</v>
      </c>
      <c r="F405" s="24" t="s">
        <v>32</v>
      </c>
      <c r="G405" s="17">
        <v>1</v>
      </c>
      <c r="H405" s="19">
        <v>620.21</v>
      </c>
      <c r="I405" t="s">
        <v>1121</v>
      </c>
      <c r="J405" s="24" t="s">
        <v>27</v>
      </c>
      <c r="K405" s="24" t="s">
        <v>43</v>
      </c>
      <c r="L405" t="s">
        <v>1575</v>
      </c>
      <c r="M405" s="17">
        <v>1</v>
      </c>
      <c r="N405" t="s">
        <v>37</v>
      </c>
      <c r="O405" s="24" t="s">
        <v>29</v>
      </c>
      <c r="P405" s="19">
        <v>620.21</v>
      </c>
      <c r="Q405" s="26" t="str">
        <f>IF(OR(P405&lt;'Descriptive Statistics'!$H$17,P405&gt;'Descriptive Statistics'!$H$18),"Potential Outlier","Within Range")</f>
        <v>Within Range</v>
      </c>
      <c r="R405" s="26" t="str">
        <f>IF(OR(G405&lt;'Descriptive Statistics'!$I$17,G405&gt;'Descriptive Statistics'!$I$18),"Potential Outlier","Within Range")</f>
        <v>Within Range</v>
      </c>
      <c r="S405" s="26" t="str">
        <f>IF(OR(H405&lt;'Descriptive Statistics'!$J$17,H405&gt;'Descriptive Statistics'!$J$18),"Potential Outlier","Within Range")</f>
        <v>Within Range</v>
      </c>
    </row>
    <row r="406" hidden="1" spans="1:19">
      <c r="A406" t="s">
        <v>1576</v>
      </c>
      <c r="B406" s="23">
        <v>44994</v>
      </c>
      <c r="C406" s="23" t="str">
        <f t="shared" si="12"/>
        <v>Mar</v>
      </c>
      <c r="D406" s="23" t="str">
        <f t="shared" si="13"/>
        <v>2023</v>
      </c>
      <c r="E406" t="s">
        <v>1577</v>
      </c>
      <c r="F406" s="24" t="s">
        <v>16</v>
      </c>
      <c r="G406" s="17">
        <v>2</v>
      </c>
      <c r="H406" s="19">
        <v>99.1</v>
      </c>
      <c r="I406" t="s">
        <v>305</v>
      </c>
      <c r="J406" s="24" t="s">
        <v>65</v>
      </c>
      <c r="K406" s="24" t="s">
        <v>50</v>
      </c>
      <c r="L406" t="s">
        <v>1578</v>
      </c>
      <c r="M406" s="17">
        <v>6</v>
      </c>
      <c r="N406" t="s">
        <v>4295</v>
      </c>
      <c r="O406" s="24" t="s">
        <v>22</v>
      </c>
      <c r="P406" s="19">
        <v>198.2</v>
      </c>
      <c r="Q406" s="26" t="str">
        <f>IF(OR(P406&lt;'Descriptive Statistics'!$H$17,P406&gt;'Descriptive Statistics'!$H$18),"Potential Outlier","Within Range")</f>
        <v>Within Range</v>
      </c>
      <c r="R406" s="26" t="str">
        <f>IF(OR(G406&lt;'Descriptive Statistics'!$I$17,G406&gt;'Descriptive Statistics'!$I$18),"Potential Outlier","Within Range")</f>
        <v>Within Range</v>
      </c>
      <c r="S406" s="26" t="str">
        <f>IF(OR(H406&lt;'Descriptive Statistics'!$J$17,H406&gt;'Descriptive Statistics'!$J$18),"Potential Outlier","Within Range")</f>
        <v>Within Range</v>
      </c>
    </row>
    <row r="407" hidden="1" spans="1:19">
      <c r="A407" t="s">
        <v>1579</v>
      </c>
      <c r="B407" s="23">
        <v>45683</v>
      </c>
      <c r="C407" s="23" t="str">
        <f t="shared" si="12"/>
        <v>Jan</v>
      </c>
      <c r="D407" s="23" t="str">
        <f t="shared" si="13"/>
        <v>2025</v>
      </c>
      <c r="E407" t="s">
        <v>1580</v>
      </c>
      <c r="F407" s="24" t="s">
        <v>16</v>
      </c>
      <c r="G407" s="17">
        <v>4</v>
      </c>
      <c r="H407" s="19">
        <v>451.97</v>
      </c>
      <c r="I407" t="s">
        <v>1444</v>
      </c>
      <c r="J407" s="24" t="s">
        <v>27</v>
      </c>
      <c r="K407" s="24" t="s">
        <v>35</v>
      </c>
      <c r="L407" t="s">
        <v>1581</v>
      </c>
      <c r="M407" s="17">
        <v>7</v>
      </c>
      <c r="N407" t="s">
        <v>81</v>
      </c>
      <c r="O407" s="24" t="s">
        <v>38</v>
      </c>
      <c r="P407" s="19">
        <v>1807.88</v>
      </c>
      <c r="Q407" s="26" t="str">
        <f>IF(OR(P407&lt;'Descriptive Statistics'!$H$17,P407&gt;'Descriptive Statistics'!$H$18),"Potential Outlier","Within Range")</f>
        <v>Within Range</v>
      </c>
      <c r="R407" s="26" t="str">
        <f>IF(OR(G407&lt;'Descriptive Statistics'!$I$17,G407&gt;'Descriptive Statistics'!$I$18),"Potential Outlier","Within Range")</f>
        <v>Within Range</v>
      </c>
      <c r="S407" s="26" t="str">
        <f>IF(OR(H407&lt;'Descriptive Statistics'!$J$17,H407&gt;'Descriptive Statistics'!$J$18),"Potential Outlier","Within Range")</f>
        <v>Within Range</v>
      </c>
    </row>
    <row r="408" hidden="1" spans="1:19">
      <c r="A408" t="s">
        <v>1582</v>
      </c>
      <c r="B408" s="23">
        <v>45270</v>
      </c>
      <c r="C408" s="23" t="str">
        <f t="shared" si="12"/>
        <v>Dec</v>
      </c>
      <c r="D408" s="23" t="str">
        <f t="shared" si="13"/>
        <v>2023</v>
      </c>
      <c r="E408" t="s">
        <v>1583</v>
      </c>
      <c r="F408" s="24" t="s">
        <v>32</v>
      </c>
      <c r="G408" s="17">
        <v>4</v>
      </c>
      <c r="H408" s="19">
        <v>66.1</v>
      </c>
      <c r="I408" t="s">
        <v>763</v>
      </c>
      <c r="J408" s="24" t="s">
        <v>65</v>
      </c>
      <c r="K408" s="24" t="s">
        <v>43</v>
      </c>
      <c r="L408" t="s">
        <v>1584</v>
      </c>
      <c r="M408" s="17">
        <v>9</v>
      </c>
      <c r="N408" t="s">
        <v>81</v>
      </c>
      <c r="O408" s="24" t="s">
        <v>76</v>
      </c>
      <c r="P408" s="19">
        <v>264.4</v>
      </c>
      <c r="Q408" s="26" t="str">
        <f>IF(OR(P408&lt;'Descriptive Statistics'!$H$17,P408&gt;'Descriptive Statistics'!$H$18),"Potential Outlier","Within Range")</f>
        <v>Within Range</v>
      </c>
      <c r="R408" s="26" t="str">
        <f>IF(OR(G408&lt;'Descriptive Statistics'!$I$17,G408&gt;'Descriptive Statistics'!$I$18),"Potential Outlier","Within Range")</f>
        <v>Within Range</v>
      </c>
      <c r="S408" s="26" t="str">
        <f>IF(OR(H408&lt;'Descriptive Statistics'!$J$17,H408&gt;'Descriptive Statistics'!$J$18),"Potential Outlier","Within Range")</f>
        <v>Within Range</v>
      </c>
    </row>
    <row r="409" hidden="1" spans="1:19">
      <c r="A409" t="s">
        <v>1585</v>
      </c>
      <c r="B409" s="23">
        <v>45151</v>
      </c>
      <c r="C409" s="23" t="str">
        <f t="shared" si="12"/>
        <v>Aug</v>
      </c>
      <c r="D409" s="23" t="str">
        <f t="shared" si="13"/>
        <v>2023</v>
      </c>
      <c r="E409" t="s">
        <v>1586</v>
      </c>
      <c r="F409" s="24" t="s">
        <v>32</v>
      </c>
      <c r="G409" s="17">
        <v>4</v>
      </c>
      <c r="H409" s="19">
        <v>547.32</v>
      </c>
      <c r="I409" t="s">
        <v>1054</v>
      </c>
      <c r="J409" s="24" t="s">
        <v>65</v>
      </c>
      <c r="K409" s="24" t="s">
        <v>43</v>
      </c>
      <c r="L409" t="s">
        <v>1587</v>
      </c>
      <c r="M409" s="17">
        <v>8</v>
      </c>
      <c r="N409" t="s">
        <v>37</v>
      </c>
      <c r="O409" s="24" t="s">
        <v>22</v>
      </c>
      <c r="P409" s="19">
        <v>2189.28</v>
      </c>
      <c r="Q409" s="26" t="str">
        <f>IF(OR(P409&lt;'Descriptive Statistics'!$H$17,P409&gt;'Descriptive Statistics'!$H$18),"Potential Outlier","Within Range")</f>
        <v>Within Range</v>
      </c>
      <c r="R409" s="26" t="str">
        <f>IF(OR(G409&lt;'Descriptive Statistics'!$I$17,G409&gt;'Descriptive Statistics'!$I$18),"Potential Outlier","Within Range")</f>
        <v>Within Range</v>
      </c>
      <c r="S409" s="26" t="str">
        <f>IF(OR(H409&lt;'Descriptive Statistics'!$J$17,H409&gt;'Descriptive Statistics'!$J$18),"Potential Outlier","Within Range")</f>
        <v>Within Range</v>
      </c>
    </row>
    <row r="410" hidden="1" spans="1:19">
      <c r="A410" t="s">
        <v>1588</v>
      </c>
      <c r="B410" s="23">
        <v>45658</v>
      </c>
      <c r="C410" s="23" t="str">
        <f t="shared" si="12"/>
        <v>Jan</v>
      </c>
      <c r="D410" s="23" t="str">
        <f t="shared" si="13"/>
        <v>2025</v>
      </c>
      <c r="E410" t="s">
        <v>1589</v>
      </c>
      <c r="F410" s="24" t="s">
        <v>48</v>
      </c>
      <c r="G410" s="17">
        <v>3</v>
      </c>
      <c r="H410" s="19">
        <v>412.53</v>
      </c>
      <c r="I410" t="s">
        <v>1590</v>
      </c>
      <c r="J410" s="24" t="s">
        <v>27</v>
      </c>
      <c r="K410" s="24" t="s">
        <v>89</v>
      </c>
      <c r="L410" t="s">
        <v>1591</v>
      </c>
      <c r="M410" s="17">
        <v>6</v>
      </c>
      <c r="N410" t="s">
        <v>81</v>
      </c>
      <c r="O410" s="24" t="s">
        <v>76</v>
      </c>
      <c r="P410" s="19">
        <v>1237.59</v>
      </c>
      <c r="Q410" s="26" t="str">
        <f>IF(OR(P410&lt;'Descriptive Statistics'!$H$17,P410&gt;'Descriptive Statistics'!$H$18),"Potential Outlier","Within Range")</f>
        <v>Within Range</v>
      </c>
      <c r="R410" s="26" t="str">
        <f>IF(OR(G410&lt;'Descriptive Statistics'!$I$17,G410&gt;'Descriptive Statistics'!$I$18),"Potential Outlier","Within Range")</f>
        <v>Within Range</v>
      </c>
      <c r="S410" s="26" t="str">
        <f>IF(OR(H410&lt;'Descriptive Statistics'!$J$17,H410&gt;'Descriptive Statistics'!$J$18),"Potential Outlier","Within Range")</f>
        <v>Within Range</v>
      </c>
    </row>
    <row r="411" hidden="1" spans="1:19">
      <c r="A411" t="s">
        <v>1592</v>
      </c>
      <c r="B411" s="23">
        <v>45105</v>
      </c>
      <c r="C411" s="23" t="str">
        <f t="shared" si="12"/>
        <v>Jun</v>
      </c>
      <c r="D411" s="23" t="str">
        <f t="shared" si="13"/>
        <v>2023</v>
      </c>
      <c r="E411" t="s">
        <v>1593</v>
      </c>
      <c r="F411" s="24" t="s">
        <v>73</v>
      </c>
      <c r="G411" s="17">
        <v>5</v>
      </c>
      <c r="H411" s="19">
        <v>84.13</v>
      </c>
      <c r="I411" t="s">
        <v>1594</v>
      </c>
      <c r="J411" s="24" t="s">
        <v>27</v>
      </c>
      <c r="K411" s="24" t="s">
        <v>50</v>
      </c>
      <c r="L411" t="s">
        <v>1595</v>
      </c>
      <c r="M411" s="17">
        <v>9</v>
      </c>
      <c r="N411" t="s">
        <v>21</v>
      </c>
      <c r="O411" s="24" t="s">
        <v>76</v>
      </c>
      <c r="P411" s="19">
        <v>420.65</v>
      </c>
      <c r="Q411" s="26" t="str">
        <f>IF(OR(P411&lt;'Descriptive Statistics'!$H$17,P411&gt;'Descriptive Statistics'!$H$18),"Potential Outlier","Within Range")</f>
        <v>Within Range</v>
      </c>
      <c r="R411" s="26" t="str">
        <f>IF(OR(G411&lt;'Descriptive Statistics'!$I$17,G411&gt;'Descriptive Statistics'!$I$18),"Potential Outlier","Within Range")</f>
        <v>Within Range</v>
      </c>
      <c r="S411" s="26" t="str">
        <f>IF(OR(H411&lt;'Descriptive Statistics'!$J$17,H411&gt;'Descriptive Statistics'!$J$18),"Potential Outlier","Within Range")</f>
        <v>Within Range</v>
      </c>
    </row>
    <row r="412" hidden="1" spans="1:19">
      <c r="A412" t="s">
        <v>1596</v>
      </c>
      <c r="B412" s="23">
        <v>45309</v>
      </c>
      <c r="C412" s="23" t="str">
        <f t="shared" si="12"/>
        <v>Jan</v>
      </c>
      <c r="D412" s="23" t="str">
        <f t="shared" si="13"/>
        <v>2024</v>
      </c>
      <c r="E412" t="s">
        <v>1597</v>
      </c>
      <c r="F412" s="24" t="s">
        <v>32</v>
      </c>
      <c r="G412" s="17">
        <v>2</v>
      </c>
      <c r="H412" s="19">
        <v>518.23</v>
      </c>
      <c r="I412" t="s">
        <v>1598</v>
      </c>
      <c r="J412" s="24" t="s">
        <v>18</v>
      </c>
      <c r="K412" s="24" t="s">
        <v>19</v>
      </c>
      <c r="L412" t="s">
        <v>1599</v>
      </c>
      <c r="M412" s="17">
        <v>5</v>
      </c>
      <c r="N412" t="s">
        <v>4295</v>
      </c>
      <c r="O412" s="24" t="s">
        <v>38</v>
      </c>
      <c r="P412" s="19">
        <v>1036.46</v>
      </c>
      <c r="Q412" s="26" t="str">
        <f>IF(OR(P412&lt;'Descriptive Statistics'!$H$17,P412&gt;'Descriptive Statistics'!$H$18),"Potential Outlier","Within Range")</f>
        <v>Within Range</v>
      </c>
      <c r="R412" s="26" t="str">
        <f>IF(OR(G412&lt;'Descriptive Statistics'!$I$17,G412&gt;'Descriptive Statistics'!$I$18),"Potential Outlier","Within Range")</f>
        <v>Within Range</v>
      </c>
      <c r="S412" s="26" t="str">
        <f>IF(OR(H412&lt;'Descriptive Statistics'!$J$17,H412&gt;'Descriptive Statistics'!$J$18),"Potential Outlier","Within Range")</f>
        <v>Within Range</v>
      </c>
    </row>
    <row r="413" hidden="1" spans="1:19">
      <c r="A413" t="s">
        <v>1600</v>
      </c>
      <c r="B413" s="23">
        <v>45462</v>
      </c>
      <c r="C413" s="23" t="str">
        <f t="shared" si="12"/>
        <v>Jun</v>
      </c>
      <c r="D413" s="23" t="str">
        <f t="shared" si="13"/>
        <v>2024</v>
      </c>
      <c r="E413" t="s">
        <v>1601</v>
      </c>
      <c r="F413" s="24" t="s">
        <v>73</v>
      </c>
      <c r="G413" s="17">
        <v>2</v>
      </c>
      <c r="H413" s="19">
        <v>39.51</v>
      </c>
      <c r="I413" t="s">
        <v>630</v>
      </c>
      <c r="J413" s="24" t="s">
        <v>27</v>
      </c>
      <c r="K413" s="24" t="s">
        <v>19</v>
      </c>
      <c r="L413" t="s">
        <v>1602</v>
      </c>
      <c r="M413" s="17">
        <v>5</v>
      </c>
      <c r="N413" t="s">
        <v>4295</v>
      </c>
      <c r="O413" s="24" t="s">
        <v>45</v>
      </c>
      <c r="P413" s="19">
        <v>79.02</v>
      </c>
      <c r="Q413" s="26" t="str">
        <f>IF(OR(P413&lt;'Descriptive Statistics'!$H$17,P413&gt;'Descriptive Statistics'!$H$18),"Potential Outlier","Within Range")</f>
        <v>Within Range</v>
      </c>
      <c r="R413" s="26" t="str">
        <f>IF(OR(G413&lt;'Descriptive Statistics'!$I$17,G413&gt;'Descriptive Statistics'!$I$18),"Potential Outlier","Within Range")</f>
        <v>Within Range</v>
      </c>
      <c r="S413" s="26" t="str">
        <f>IF(OR(H413&lt;'Descriptive Statistics'!$J$17,H413&gt;'Descriptive Statistics'!$J$18),"Potential Outlier","Within Range")</f>
        <v>Within Range</v>
      </c>
    </row>
    <row r="414" hidden="1" spans="1:19">
      <c r="A414" t="s">
        <v>1603</v>
      </c>
      <c r="B414" s="23">
        <v>45758</v>
      </c>
      <c r="C414" s="23" t="str">
        <f t="shared" si="12"/>
        <v>Apr</v>
      </c>
      <c r="D414" s="23" t="str">
        <f t="shared" si="13"/>
        <v>2025</v>
      </c>
      <c r="E414" t="s">
        <v>1604</v>
      </c>
      <c r="F414" s="24" t="s">
        <v>32</v>
      </c>
      <c r="G414" s="17">
        <v>5</v>
      </c>
      <c r="H414" s="19">
        <v>133.01</v>
      </c>
      <c r="I414" t="s">
        <v>1605</v>
      </c>
      <c r="J414" s="24" t="s">
        <v>34</v>
      </c>
      <c r="K414" s="24" t="s">
        <v>43</v>
      </c>
      <c r="L414" t="s">
        <v>1606</v>
      </c>
      <c r="M414" s="17">
        <v>10</v>
      </c>
      <c r="N414" t="s">
        <v>4295</v>
      </c>
      <c r="O414" s="24" t="s">
        <v>45</v>
      </c>
      <c r="P414" s="19">
        <v>665.05</v>
      </c>
      <c r="Q414" s="26" t="str">
        <f>IF(OR(P414&lt;'Descriptive Statistics'!$H$17,P414&gt;'Descriptive Statistics'!$H$18),"Potential Outlier","Within Range")</f>
        <v>Within Range</v>
      </c>
      <c r="R414" s="26" t="str">
        <f>IF(OR(G414&lt;'Descriptive Statistics'!$I$17,G414&gt;'Descriptive Statistics'!$I$18),"Potential Outlier","Within Range")</f>
        <v>Within Range</v>
      </c>
      <c r="S414" s="26" t="str">
        <f>IF(OR(H414&lt;'Descriptive Statistics'!$J$17,H414&gt;'Descriptive Statistics'!$J$18),"Potential Outlier","Within Range")</f>
        <v>Within Range</v>
      </c>
    </row>
    <row r="415" hidden="1" spans="1:19">
      <c r="A415" t="s">
        <v>1607</v>
      </c>
      <c r="B415" s="23">
        <v>45207</v>
      </c>
      <c r="C415" s="23" t="str">
        <f t="shared" si="12"/>
        <v>Oct</v>
      </c>
      <c r="D415" s="23" t="str">
        <f t="shared" si="13"/>
        <v>2023</v>
      </c>
      <c r="E415" t="s">
        <v>1608</v>
      </c>
      <c r="F415" s="24" t="s">
        <v>32</v>
      </c>
      <c r="G415" s="17">
        <v>1</v>
      </c>
      <c r="H415" s="19">
        <v>118.8</v>
      </c>
      <c r="I415" t="s">
        <v>1609</v>
      </c>
      <c r="J415" s="24" t="s">
        <v>27</v>
      </c>
      <c r="K415" s="24" t="s">
        <v>50</v>
      </c>
      <c r="L415" t="s">
        <v>1610</v>
      </c>
      <c r="M415" s="17">
        <v>6</v>
      </c>
      <c r="N415" t="s">
        <v>21</v>
      </c>
      <c r="O415" s="24" t="s">
        <v>38</v>
      </c>
      <c r="P415" s="19">
        <v>118.8</v>
      </c>
      <c r="Q415" s="26" t="str">
        <f>IF(OR(P415&lt;'Descriptive Statistics'!$H$17,P415&gt;'Descriptive Statistics'!$H$18),"Potential Outlier","Within Range")</f>
        <v>Within Range</v>
      </c>
      <c r="R415" s="26" t="str">
        <f>IF(OR(G415&lt;'Descriptive Statistics'!$I$17,G415&gt;'Descriptive Statistics'!$I$18),"Potential Outlier","Within Range")</f>
        <v>Within Range</v>
      </c>
      <c r="S415" s="26" t="str">
        <f>IF(OR(H415&lt;'Descriptive Statistics'!$J$17,H415&gt;'Descriptive Statistics'!$J$18),"Potential Outlier","Within Range")</f>
        <v>Within Range</v>
      </c>
    </row>
    <row r="416" hidden="1" spans="1:19">
      <c r="A416" t="s">
        <v>1611</v>
      </c>
      <c r="B416" s="23">
        <v>45781</v>
      </c>
      <c r="C416" s="23" t="str">
        <f t="shared" si="12"/>
        <v>May</v>
      </c>
      <c r="D416" s="23" t="str">
        <f t="shared" si="13"/>
        <v>2025</v>
      </c>
      <c r="E416" t="s">
        <v>1612</v>
      </c>
      <c r="F416" s="24" t="s">
        <v>73</v>
      </c>
      <c r="G416" s="17">
        <v>2</v>
      </c>
      <c r="H416" s="19">
        <v>139.57</v>
      </c>
      <c r="I416" t="s">
        <v>1613</v>
      </c>
      <c r="J416" s="24" t="s">
        <v>65</v>
      </c>
      <c r="K416" s="24" t="s">
        <v>50</v>
      </c>
      <c r="L416" t="s">
        <v>1614</v>
      </c>
      <c r="M416" s="17">
        <v>4</v>
      </c>
      <c r="N416" t="s">
        <v>81</v>
      </c>
      <c r="O416" s="24" t="s">
        <v>45</v>
      </c>
      <c r="P416" s="19">
        <v>279.14</v>
      </c>
      <c r="Q416" s="26" t="str">
        <f>IF(OR(P416&lt;'Descriptive Statistics'!$H$17,P416&gt;'Descriptive Statistics'!$H$18),"Potential Outlier","Within Range")</f>
        <v>Within Range</v>
      </c>
      <c r="R416" s="26" t="str">
        <f>IF(OR(G416&lt;'Descriptive Statistics'!$I$17,G416&gt;'Descriptive Statistics'!$I$18),"Potential Outlier","Within Range")</f>
        <v>Within Range</v>
      </c>
      <c r="S416" s="26" t="str">
        <f>IF(OR(H416&lt;'Descriptive Statistics'!$J$17,H416&gt;'Descriptive Statistics'!$J$18),"Potential Outlier","Within Range")</f>
        <v>Within Range</v>
      </c>
    </row>
    <row r="417" hidden="1" spans="1:19">
      <c r="A417" t="s">
        <v>1615</v>
      </c>
      <c r="B417" s="23">
        <v>45753</v>
      </c>
      <c r="C417" s="23" t="str">
        <f t="shared" si="12"/>
        <v>Apr</v>
      </c>
      <c r="D417" s="23" t="str">
        <f t="shared" si="13"/>
        <v>2025</v>
      </c>
      <c r="E417" t="s">
        <v>1616</v>
      </c>
      <c r="F417" s="24" t="s">
        <v>41</v>
      </c>
      <c r="G417" s="17">
        <v>1</v>
      </c>
      <c r="H417" s="19">
        <v>184.15</v>
      </c>
      <c r="I417" t="s">
        <v>1074</v>
      </c>
      <c r="J417" s="24" t="s">
        <v>60</v>
      </c>
      <c r="K417" s="24" t="s">
        <v>19</v>
      </c>
      <c r="L417" t="s">
        <v>1617</v>
      </c>
      <c r="M417" s="17">
        <v>5</v>
      </c>
      <c r="N417" t="s">
        <v>37</v>
      </c>
      <c r="O417" s="24" t="s">
        <v>45</v>
      </c>
      <c r="P417" s="19">
        <v>184.15</v>
      </c>
      <c r="Q417" s="26" t="str">
        <f>IF(OR(P417&lt;'Descriptive Statistics'!$H$17,P417&gt;'Descriptive Statistics'!$H$18),"Potential Outlier","Within Range")</f>
        <v>Within Range</v>
      </c>
      <c r="R417" s="26" t="str">
        <f>IF(OR(G417&lt;'Descriptive Statistics'!$I$17,G417&gt;'Descriptive Statistics'!$I$18),"Potential Outlier","Within Range")</f>
        <v>Within Range</v>
      </c>
      <c r="S417" s="26" t="str">
        <f>IF(OR(H417&lt;'Descriptive Statistics'!$J$17,H417&gt;'Descriptive Statistics'!$J$18),"Potential Outlier","Within Range")</f>
        <v>Within Range</v>
      </c>
    </row>
    <row r="418" hidden="1" spans="1:19">
      <c r="A418" t="s">
        <v>1618</v>
      </c>
      <c r="B418" s="23">
        <v>45125</v>
      </c>
      <c r="C418" s="23" t="str">
        <f t="shared" si="12"/>
        <v>Jul</v>
      </c>
      <c r="D418" s="23" t="str">
        <f t="shared" si="13"/>
        <v>2023</v>
      </c>
      <c r="E418" t="s">
        <v>1619</v>
      </c>
      <c r="F418" s="24" t="s">
        <v>58</v>
      </c>
      <c r="G418" s="17">
        <v>2</v>
      </c>
      <c r="H418" s="19">
        <v>644.05</v>
      </c>
      <c r="I418" t="s">
        <v>1620</v>
      </c>
      <c r="J418" s="24" t="s">
        <v>60</v>
      </c>
      <c r="K418" s="24" t="s">
        <v>35</v>
      </c>
      <c r="L418" t="s">
        <v>1621</v>
      </c>
      <c r="M418" s="17">
        <v>5</v>
      </c>
      <c r="N418" t="s">
        <v>81</v>
      </c>
      <c r="O418" s="24" t="s">
        <v>29</v>
      </c>
      <c r="P418" s="19">
        <v>1288.1</v>
      </c>
      <c r="Q418" s="26" t="str">
        <f>IF(OR(P418&lt;'Descriptive Statistics'!$H$17,P418&gt;'Descriptive Statistics'!$H$18),"Potential Outlier","Within Range")</f>
        <v>Within Range</v>
      </c>
      <c r="R418" s="26" t="str">
        <f>IF(OR(G418&lt;'Descriptive Statistics'!$I$17,G418&gt;'Descriptive Statistics'!$I$18),"Potential Outlier","Within Range")</f>
        <v>Within Range</v>
      </c>
      <c r="S418" s="26" t="str">
        <f>IF(OR(H418&lt;'Descriptive Statistics'!$J$17,H418&gt;'Descriptive Statistics'!$J$18),"Potential Outlier","Within Range")</f>
        <v>Within Range</v>
      </c>
    </row>
    <row r="419" hidden="1" spans="1:19">
      <c r="A419" t="s">
        <v>1622</v>
      </c>
      <c r="B419" s="23">
        <v>45223</v>
      </c>
      <c r="C419" s="23" t="str">
        <f t="shared" si="12"/>
        <v>Oct</v>
      </c>
      <c r="D419" s="23" t="str">
        <f t="shared" si="13"/>
        <v>2023</v>
      </c>
      <c r="E419" t="s">
        <v>1623</v>
      </c>
      <c r="F419" s="24" t="s">
        <v>58</v>
      </c>
      <c r="G419" s="17">
        <v>5</v>
      </c>
      <c r="H419" s="19">
        <v>55.41</v>
      </c>
      <c r="I419" t="s">
        <v>1624</v>
      </c>
      <c r="J419" s="24" t="s">
        <v>27</v>
      </c>
      <c r="K419" s="24" t="s">
        <v>35</v>
      </c>
      <c r="L419" t="s">
        <v>1625</v>
      </c>
      <c r="M419" s="17">
        <v>5</v>
      </c>
      <c r="N419" t="s">
        <v>4295</v>
      </c>
      <c r="O419" s="24" t="s">
        <v>76</v>
      </c>
      <c r="P419" s="19">
        <v>277.05</v>
      </c>
      <c r="Q419" s="26" t="str">
        <f>IF(OR(P419&lt;'Descriptive Statistics'!$H$17,P419&gt;'Descriptive Statistics'!$H$18),"Potential Outlier","Within Range")</f>
        <v>Within Range</v>
      </c>
      <c r="R419" s="26" t="str">
        <f>IF(OR(G419&lt;'Descriptive Statistics'!$I$17,G419&gt;'Descriptive Statistics'!$I$18),"Potential Outlier","Within Range")</f>
        <v>Within Range</v>
      </c>
      <c r="S419" s="26" t="str">
        <f>IF(OR(H419&lt;'Descriptive Statistics'!$J$17,H419&gt;'Descriptive Statistics'!$J$18),"Potential Outlier","Within Range")</f>
        <v>Within Range</v>
      </c>
    </row>
    <row r="420" hidden="1" spans="1:19">
      <c r="A420" t="s">
        <v>1626</v>
      </c>
      <c r="B420" s="23">
        <v>44937</v>
      </c>
      <c r="C420" s="23" t="str">
        <f t="shared" si="12"/>
        <v>Jan</v>
      </c>
      <c r="D420" s="23" t="str">
        <f t="shared" si="13"/>
        <v>2023</v>
      </c>
      <c r="E420" t="s">
        <v>1627</v>
      </c>
      <c r="F420" s="24" t="s">
        <v>48</v>
      </c>
      <c r="G420" s="17">
        <v>1</v>
      </c>
      <c r="H420" s="19">
        <v>310.93</v>
      </c>
      <c r="I420" t="s">
        <v>1628</v>
      </c>
      <c r="J420" s="24" t="s">
        <v>27</v>
      </c>
      <c r="K420" s="24" t="s">
        <v>35</v>
      </c>
      <c r="L420" t="s">
        <v>1629</v>
      </c>
      <c r="M420" s="17">
        <v>3</v>
      </c>
      <c r="N420" t="s">
        <v>4295</v>
      </c>
      <c r="O420" s="24" t="s">
        <v>45</v>
      </c>
      <c r="P420" s="19">
        <v>310.93</v>
      </c>
      <c r="Q420" s="26" t="str">
        <f>IF(OR(P420&lt;'Descriptive Statistics'!$H$17,P420&gt;'Descriptive Statistics'!$H$18),"Potential Outlier","Within Range")</f>
        <v>Within Range</v>
      </c>
      <c r="R420" s="26" t="str">
        <f>IF(OR(G420&lt;'Descriptive Statistics'!$I$17,G420&gt;'Descriptive Statistics'!$I$18),"Potential Outlier","Within Range")</f>
        <v>Within Range</v>
      </c>
      <c r="S420" s="26" t="str">
        <f>IF(OR(H420&lt;'Descriptive Statistics'!$J$17,H420&gt;'Descriptive Statistics'!$J$18),"Potential Outlier","Within Range")</f>
        <v>Within Range</v>
      </c>
    </row>
    <row r="421" hidden="1" spans="1:19">
      <c r="A421" t="s">
        <v>1630</v>
      </c>
      <c r="B421" s="23">
        <v>45399</v>
      </c>
      <c r="C421" s="23" t="str">
        <f t="shared" si="12"/>
        <v>Apr</v>
      </c>
      <c r="D421" s="23" t="str">
        <f t="shared" si="13"/>
        <v>2024</v>
      </c>
      <c r="E421" t="s">
        <v>1631</v>
      </c>
      <c r="F421" s="24" t="s">
        <v>32</v>
      </c>
      <c r="G421" s="17">
        <v>2</v>
      </c>
      <c r="H421" s="19">
        <v>216.66</v>
      </c>
      <c r="I421" t="s">
        <v>1376</v>
      </c>
      <c r="J421" s="24" t="s">
        <v>18</v>
      </c>
      <c r="K421" s="24" t="s">
        <v>89</v>
      </c>
      <c r="L421" t="s">
        <v>1632</v>
      </c>
      <c r="M421" s="17">
        <v>6</v>
      </c>
      <c r="N421" t="s">
        <v>37</v>
      </c>
      <c r="O421" s="24" t="s">
        <v>22</v>
      </c>
      <c r="P421" s="19">
        <v>433.32</v>
      </c>
      <c r="Q421" s="26" t="str">
        <f>IF(OR(P421&lt;'Descriptive Statistics'!$H$17,P421&gt;'Descriptive Statistics'!$H$18),"Potential Outlier","Within Range")</f>
        <v>Within Range</v>
      </c>
      <c r="R421" s="26" t="str">
        <f>IF(OR(G421&lt;'Descriptive Statistics'!$I$17,G421&gt;'Descriptive Statistics'!$I$18),"Potential Outlier","Within Range")</f>
        <v>Within Range</v>
      </c>
      <c r="S421" s="26" t="str">
        <f>IF(OR(H421&lt;'Descriptive Statistics'!$J$17,H421&gt;'Descriptive Statistics'!$J$18),"Potential Outlier","Within Range")</f>
        <v>Within Range</v>
      </c>
    </row>
    <row r="422" hidden="1" spans="1:19">
      <c r="A422" t="s">
        <v>1633</v>
      </c>
      <c r="B422" s="23">
        <v>45625</v>
      </c>
      <c r="C422" s="23" t="str">
        <f t="shared" si="12"/>
        <v>Nov</v>
      </c>
      <c r="D422" s="23" t="str">
        <f t="shared" si="13"/>
        <v>2024</v>
      </c>
      <c r="E422" t="s">
        <v>1634</v>
      </c>
      <c r="F422" s="24" t="s">
        <v>25</v>
      </c>
      <c r="G422" s="17">
        <v>1</v>
      </c>
      <c r="H422" s="19">
        <v>452.7</v>
      </c>
      <c r="I422" t="s">
        <v>1635</v>
      </c>
      <c r="J422" s="24" t="s">
        <v>18</v>
      </c>
      <c r="K422" s="24" t="s">
        <v>19</v>
      </c>
      <c r="L422" t="s">
        <v>1636</v>
      </c>
      <c r="M422" s="17">
        <v>5</v>
      </c>
      <c r="N422" t="s">
        <v>37</v>
      </c>
      <c r="O422" s="24" t="s">
        <v>22</v>
      </c>
      <c r="P422" s="19">
        <v>452.7</v>
      </c>
      <c r="Q422" s="26" t="str">
        <f>IF(OR(P422&lt;'Descriptive Statistics'!$H$17,P422&gt;'Descriptive Statistics'!$H$18),"Potential Outlier","Within Range")</f>
        <v>Within Range</v>
      </c>
      <c r="R422" s="26" t="str">
        <f>IF(OR(G422&lt;'Descriptive Statistics'!$I$17,G422&gt;'Descriptive Statistics'!$I$18),"Potential Outlier","Within Range")</f>
        <v>Within Range</v>
      </c>
      <c r="S422" s="26" t="str">
        <f>IF(OR(H422&lt;'Descriptive Statistics'!$J$17,H422&gt;'Descriptive Statistics'!$J$18),"Potential Outlier","Within Range")</f>
        <v>Within Range</v>
      </c>
    </row>
    <row r="423" hidden="1" spans="1:19">
      <c r="A423" t="s">
        <v>1637</v>
      </c>
      <c r="B423" s="23">
        <v>45214</v>
      </c>
      <c r="C423" s="23" t="str">
        <f t="shared" si="12"/>
        <v>Oct</v>
      </c>
      <c r="D423" s="23" t="str">
        <f t="shared" si="13"/>
        <v>2023</v>
      </c>
      <c r="E423" t="s">
        <v>1638</v>
      </c>
      <c r="F423" s="24" t="s">
        <v>41</v>
      </c>
      <c r="G423" s="17">
        <v>2</v>
      </c>
      <c r="H423" s="19">
        <v>288.21</v>
      </c>
      <c r="I423" t="s">
        <v>1639</v>
      </c>
      <c r="J423" s="24" t="s">
        <v>18</v>
      </c>
      <c r="K423" s="24" t="s">
        <v>35</v>
      </c>
      <c r="L423" t="s">
        <v>1640</v>
      </c>
      <c r="M423" s="17">
        <v>5</v>
      </c>
      <c r="N423" t="s">
        <v>4295</v>
      </c>
      <c r="O423" s="24" t="s">
        <v>38</v>
      </c>
      <c r="P423" s="19">
        <v>576.42</v>
      </c>
      <c r="Q423" s="26" t="str">
        <f>IF(OR(P423&lt;'Descriptive Statistics'!$H$17,P423&gt;'Descriptive Statistics'!$H$18),"Potential Outlier","Within Range")</f>
        <v>Within Range</v>
      </c>
      <c r="R423" s="26" t="str">
        <f>IF(OR(G423&lt;'Descriptive Statistics'!$I$17,G423&gt;'Descriptive Statistics'!$I$18),"Potential Outlier","Within Range")</f>
        <v>Within Range</v>
      </c>
      <c r="S423" s="26" t="str">
        <f>IF(OR(H423&lt;'Descriptive Statistics'!$J$17,H423&gt;'Descriptive Statistics'!$J$18),"Potential Outlier","Within Range")</f>
        <v>Within Range</v>
      </c>
    </row>
    <row r="424" hidden="1" spans="1:19">
      <c r="A424" t="s">
        <v>1641</v>
      </c>
      <c r="B424" s="23">
        <v>45082</v>
      </c>
      <c r="C424" s="23" t="str">
        <f t="shared" si="12"/>
        <v>Jun</v>
      </c>
      <c r="D424" s="23" t="str">
        <f t="shared" si="13"/>
        <v>2023</v>
      </c>
      <c r="E424" t="s">
        <v>1642</v>
      </c>
      <c r="F424" s="24" t="s">
        <v>25</v>
      </c>
      <c r="G424" s="17">
        <v>4</v>
      </c>
      <c r="H424" s="19">
        <v>206.6</v>
      </c>
      <c r="I424" t="s">
        <v>105</v>
      </c>
      <c r="J424" s="24" t="s">
        <v>60</v>
      </c>
      <c r="K424" s="24" t="s">
        <v>43</v>
      </c>
      <c r="L424" t="s">
        <v>1643</v>
      </c>
      <c r="M424" s="17">
        <v>6</v>
      </c>
      <c r="N424" t="s">
        <v>81</v>
      </c>
      <c r="O424" s="24" t="s">
        <v>29</v>
      </c>
      <c r="P424" s="19">
        <v>826.4</v>
      </c>
      <c r="Q424" s="26" t="str">
        <f>IF(OR(P424&lt;'Descriptive Statistics'!$H$17,P424&gt;'Descriptive Statistics'!$H$18),"Potential Outlier","Within Range")</f>
        <v>Within Range</v>
      </c>
      <c r="R424" s="26" t="str">
        <f>IF(OR(G424&lt;'Descriptive Statistics'!$I$17,G424&gt;'Descriptive Statistics'!$I$18),"Potential Outlier","Within Range")</f>
        <v>Within Range</v>
      </c>
      <c r="S424" s="26" t="str">
        <f>IF(OR(H424&lt;'Descriptive Statistics'!$J$17,H424&gt;'Descriptive Statistics'!$J$18),"Potential Outlier","Within Range")</f>
        <v>Within Range</v>
      </c>
    </row>
    <row r="425" hidden="1" spans="1:19">
      <c r="A425" t="s">
        <v>1644</v>
      </c>
      <c r="B425" s="23">
        <v>45493</v>
      </c>
      <c r="C425" s="23" t="str">
        <f t="shared" si="12"/>
        <v>Jul</v>
      </c>
      <c r="D425" s="23" t="str">
        <f t="shared" si="13"/>
        <v>2024</v>
      </c>
      <c r="E425" t="s">
        <v>1645</v>
      </c>
      <c r="F425" s="24" t="s">
        <v>48</v>
      </c>
      <c r="G425" s="17">
        <v>4</v>
      </c>
      <c r="H425" s="19">
        <v>685.2</v>
      </c>
      <c r="I425" t="s">
        <v>1125</v>
      </c>
      <c r="J425" s="24" t="s">
        <v>60</v>
      </c>
      <c r="K425" s="24" t="s">
        <v>35</v>
      </c>
      <c r="L425" t="s">
        <v>1646</v>
      </c>
      <c r="M425" s="17">
        <v>6</v>
      </c>
      <c r="N425" t="s">
        <v>81</v>
      </c>
      <c r="O425" s="24" t="s">
        <v>76</v>
      </c>
      <c r="P425" s="19">
        <v>2740.8</v>
      </c>
      <c r="Q425" s="26" t="str">
        <f>IF(OR(P425&lt;'Descriptive Statistics'!$H$17,P425&gt;'Descriptive Statistics'!$H$18),"Potential Outlier","Within Range")</f>
        <v>Within Range</v>
      </c>
      <c r="R425" s="26" t="str">
        <f>IF(OR(G425&lt;'Descriptive Statistics'!$I$17,G425&gt;'Descriptive Statistics'!$I$18),"Potential Outlier","Within Range")</f>
        <v>Within Range</v>
      </c>
      <c r="S425" s="26" t="str">
        <f>IF(OR(H425&lt;'Descriptive Statistics'!$J$17,H425&gt;'Descriptive Statistics'!$J$18),"Potential Outlier","Within Range")</f>
        <v>Within Range</v>
      </c>
    </row>
    <row r="426" hidden="1" spans="1:19">
      <c r="A426" t="s">
        <v>1647</v>
      </c>
      <c r="B426" s="23">
        <v>45028</v>
      </c>
      <c r="C426" s="23" t="str">
        <f t="shared" si="12"/>
        <v>Apr</v>
      </c>
      <c r="D426" s="23" t="str">
        <f t="shared" si="13"/>
        <v>2023</v>
      </c>
      <c r="E426" t="s">
        <v>1648</v>
      </c>
      <c r="F426" s="24" t="s">
        <v>41</v>
      </c>
      <c r="G426" s="17">
        <v>5</v>
      </c>
      <c r="H426" s="19">
        <v>22.94</v>
      </c>
      <c r="I426" t="s">
        <v>1260</v>
      </c>
      <c r="J426" s="24" t="s">
        <v>65</v>
      </c>
      <c r="K426" s="24" t="s">
        <v>89</v>
      </c>
      <c r="L426" t="s">
        <v>1649</v>
      </c>
      <c r="M426" s="17">
        <v>10</v>
      </c>
      <c r="N426" t="s">
        <v>4295</v>
      </c>
      <c r="O426" s="24" t="s">
        <v>38</v>
      </c>
      <c r="P426" s="19">
        <v>114.7</v>
      </c>
      <c r="Q426" s="26" t="str">
        <f>IF(OR(P426&lt;'Descriptive Statistics'!$H$17,P426&gt;'Descriptive Statistics'!$H$18),"Potential Outlier","Within Range")</f>
        <v>Within Range</v>
      </c>
      <c r="R426" s="26" t="str">
        <f>IF(OR(G426&lt;'Descriptive Statistics'!$I$17,G426&gt;'Descriptive Statistics'!$I$18),"Potential Outlier","Within Range")</f>
        <v>Within Range</v>
      </c>
      <c r="S426" s="26" t="str">
        <f>IF(OR(H426&lt;'Descriptive Statistics'!$J$17,H426&gt;'Descriptive Statistics'!$J$18),"Potential Outlier","Within Range")</f>
        <v>Within Range</v>
      </c>
    </row>
    <row r="427" hidden="1" spans="1:19">
      <c r="A427" t="s">
        <v>1650</v>
      </c>
      <c r="B427" s="23">
        <v>44994</v>
      </c>
      <c r="C427" s="23" t="str">
        <f t="shared" si="12"/>
        <v>Mar</v>
      </c>
      <c r="D427" s="23" t="str">
        <f t="shared" si="13"/>
        <v>2023</v>
      </c>
      <c r="E427" t="s">
        <v>1651</v>
      </c>
      <c r="F427" s="24" t="s">
        <v>58</v>
      </c>
      <c r="G427" s="17">
        <v>2</v>
      </c>
      <c r="H427" s="19">
        <v>301.88</v>
      </c>
      <c r="I427" t="s">
        <v>1652</v>
      </c>
      <c r="J427" s="24" t="s">
        <v>60</v>
      </c>
      <c r="K427" s="24" t="s">
        <v>43</v>
      </c>
      <c r="L427" t="s">
        <v>1653</v>
      </c>
      <c r="M427" s="17">
        <v>5</v>
      </c>
      <c r="N427" t="s">
        <v>81</v>
      </c>
      <c r="O427" s="24" t="s">
        <v>38</v>
      </c>
      <c r="P427" s="19">
        <v>603.76</v>
      </c>
      <c r="Q427" s="26" t="str">
        <f>IF(OR(P427&lt;'Descriptive Statistics'!$H$17,P427&gt;'Descriptive Statistics'!$H$18),"Potential Outlier","Within Range")</f>
        <v>Within Range</v>
      </c>
      <c r="R427" s="26" t="str">
        <f>IF(OR(G427&lt;'Descriptive Statistics'!$I$17,G427&gt;'Descriptive Statistics'!$I$18),"Potential Outlier","Within Range")</f>
        <v>Within Range</v>
      </c>
      <c r="S427" s="26" t="str">
        <f>IF(OR(H427&lt;'Descriptive Statistics'!$J$17,H427&gt;'Descriptive Statistics'!$J$18),"Potential Outlier","Within Range")</f>
        <v>Within Range</v>
      </c>
    </row>
    <row r="428" hidden="1" spans="1:19">
      <c r="A428" t="s">
        <v>1654</v>
      </c>
      <c r="B428" s="23">
        <v>45732</v>
      </c>
      <c r="C428" s="23" t="str">
        <f t="shared" si="12"/>
        <v>Mar</v>
      </c>
      <c r="D428" s="23" t="str">
        <f t="shared" si="13"/>
        <v>2025</v>
      </c>
      <c r="E428" t="s">
        <v>1655</v>
      </c>
      <c r="F428" s="24" t="s">
        <v>16</v>
      </c>
      <c r="G428" s="17">
        <v>5</v>
      </c>
      <c r="H428" s="19">
        <v>57.45</v>
      </c>
      <c r="I428" t="s">
        <v>1656</v>
      </c>
      <c r="J428" s="24" t="s">
        <v>65</v>
      </c>
      <c r="K428" s="24" t="s">
        <v>35</v>
      </c>
      <c r="L428" t="s">
        <v>1657</v>
      </c>
      <c r="M428" s="17">
        <v>10</v>
      </c>
      <c r="N428" t="s">
        <v>4295</v>
      </c>
      <c r="O428" s="24" t="s">
        <v>45</v>
      </c>
      <c r="P428" s="19">
        <v>287.25</v>
      </c>
      <c r="Q428" s="26" t="str">
        <f>IF(OR(P428&lt;'Descriptive Statistics'!$H$17,P428&gt;'Descriptive Statistics'!$H$18),"Potential Outlier","Within Range")</f>
        <v>Within Range</v>
      </c>
      <c r="R428" s="26" t="str">
        <f>IF(OR(G428&lt;'Descriptive Statistics'!$I$17,G428&gt;'Descriptive Statistics'!$I$18),"Potential Outlier","Within Range")</f>
        <v>Within Range</v>
      </c>
      <c r="S428" s="26" t="str">
        <f>IF(OR(H428&lt;'Descriptive Statistics'!$J$17,H428&gt;'Descriptive Statistics'!$J$18),"Potential Outlier","Within Range")</f>
        <v>Within Range</v>
      </c>
    </row>
    <row r="429" hidden="1" spans="1:19">
      <c r="A429" t="s">
        <v>1658</v>
      </c>
      <c r="B429" s="23">
        <v>45644</v>
      </c>
      <c r="C429" s="23" t="str">
        <f t="shared" si="12"/>
        <v>Dec</v>
      </c>
      <c r="D429" s="23" t="str">
        <f t="shared" si="13"/>
        <v>2024</v>
      </c>
      <c r="E429" t="s">
        <v>1659</v>
      </c>
      <c r="F429" s="24" t="s">
        <v>73</v>
      </c>
      <c r="G429" s="17">
        <v>1</v>
      </c>
      <c r="H429" s="19">
        <v>161.24</v>
      </c>
      <c r="I429" t="s">
        <v>1660</v>
      </c>
      <c r="J429" s="24" t="s">
        <v>34</v>
      </c>
      <c r="K429" s="24" t="s">
        <v>89</v>
      </c>
      <c r="L429" t="s">
        <v>1661</v>
      </c>
      <c r="M429" s="17">
        <v>3</v>
      </c>
      <c r="N429" t="s">
        <v>81</v>
      </c>
      <c r="O429" s="24" t="s">
        <v>22</v>
      </c>
      <c r="P429" s="19">
        <v>161.24</v>
      </c>
      <c r="Q429" s="26" t="str">
        <f>IF(OR(P429&lt;'Descriptive Statistics'!$H$17,P429&gt;'Descriptive Statistics'!$H$18),"Potential Outlier","Within Range")</f>
        <v>Within Range</v>
      </c>
      <c r="R429" s="26" t="str">
        <f>IF(OR(G429&lt;'Descriptive Statistics'!$I$17,G429&gt;'Descriptive Statistics'!$I$18),"Potential Outlier","Within Range")</f>
        <v>Within Range</v>
      </c>
      <c r="S429" s="26" t="str">
        <f>IF(OR(H429&lt;'Descriptive Statistics'!$J$17,H429&gt;'Descriptive Statistics'!$J$18),"Potential Outlier","Within Range")</f>
        <v>Within Range</v>
      </c>
    </row>
    <row r="430" hidden="1" spans="1:19">
      <c r="A430" t="s">
        <v>1662</v>
      </c>
      <c r="B430" s="23">
        <v>45622</v>
      </c>
      <c r="C430" s="23" t="str">
        <f t="shared" si="12"/>
        <v>Nov</v>
      </c>
      <c r="D430" s="23" t="str">
        <f t="shared" si="13"/>
        <v>2024</v>
      </c>
      <c r="E430" t="s">
        <v>1663</v>
      </c>
      <c r="F430" s="24" t="s">
        <v>41</v>
      </c>
      <c r="G430" s="17">
        <v>4</v>
      </c>
      <c r="H430" s="19">
        <v>262.58</v>
      </c>
      <c r="I430" t="s">
        <v>161</v>
      </c>
      <c r="J430" s="24" t="s">
        <v>27</v>
      </c>
      <c r="K430" s="24" t="s">
        <v>35</v>
      </c>
      <c r="L430" t="s">
        <v>1664</v>
      </c>
      <c r="M430" s="17">
        <v>8</v>
      </c>
      <c r="N430" t="s">
        <v>81</v>
      </c>
      <c r="O430" s="24" t="s">
        <v>38</v>
      </c>
      <c r="P430" s="19">
        <v>1050.32</v>
      </c>
      <c r="Q430" s="26" t="str">
        <f>IF(OR(P430&lt;'Descriptive Statistics'!$H$17,P430&gt;'Descriptive Statistics'!$H$18),"Potential Outlier","Within Range")</f>
        <v>Within Range</v>
      </c>
      <c r="R430" s="26" t="str">
        <f>IF(OR(G430&lt;'Descriptive Statistics'!$I$17,G430&gt;'Descriptive Statistics'!$I$18),"Potential Outlier","Within Range")</f>
        <v>Within Range</v>
      </c>
      <c r="S430" s="26" t="str">
        <f>IF(OR(H430&lt;'Descriptive Statistics'!$J$17,H430&gt;'Descriptive Statistics'!$J$18),"Potential Outlier","Within Range")</f>
        <v>Within Range</v>
      </c>
    </row>
    <row r="431" hidden="1" spans="1:19">
      <c r="A431" t="s">
        <v>1665</v>
      </c>
      <c r="B431" s="23">
        <v>45645</v>
      </c>
      <c r="C431" s="23" t="str">
        <f t="shared" si="12"/>
        <v>Dec</v>
      </c>
      <c r="D431" s="23" t="str">
        <f t="shared" si="13"/>
        <v>2024</v>
      </c>
      <c r="E431" t="s">
        <v>1666</v>
      </c>
      <c r="F431" s="24" t="s">
        <v>48</v>
      </c>
      <c r="G431" s="17">
        <v>4</v>
      </c>
      <c r="H431" s="19">
        <v>515.19</v>
      </c>
      <c r="I431" t="s">
        <v>466</v>
      </c>
      <c r="J431" s="24" t="s">
        <v>34</v>
      </c>
      <c r="K431" s="24" t="s">
        <v>89</v>
      </c>
      <c r="L431" t="s">
        <v>1667</v>
      </c>
      <c r="M431" s="17">
        <v>9</v>
      </c>
      <c r="N431" t="s">
        <v>21</v>
      </c>
      <c r="O431" s="24" t="s">
        <v>45</v>
      </c>
      <c r="P431" s="19">
        <v>2060.76</v>
      </c>
      <c r="Q431" s="26" t="str">
        <f>IF(OR(P431&lt;'Descriptive Statistics'!$H$17,P431&gt;'Descriptive Statistics'!$H$18),"Potential Outlier","Within Range")</f>
        <v>Within Range</v>
      </c>
      <c r="R431" s="26" t="str">
        <f>IF(OR(G431&lt;'Descriptive Statistics'!$I$17,G431&gt;'Descriptive Statistics'!$I$18),"Potential Outlier","Within Range")</f>
        <v>Within Range</v>
      </c>
      <c r="S431" s="26" t="str">
        <f>IF(OR(H431&lt;'Descriptive Statistics'!$J$17,H431&gt;'Descriptive Statistics'!$J$18),"Potential Outlier","Within Range")</f>
        <v>Within Range</v>
      </c>
    </row>
    <row r="432" hidden="1" spans="1:19">
      <c r="A432" t="s">
        <v>1668</v>
      </c>
      <c r="B432" s="23">
        <v>45084</v>
      </c>
      <c r="C432" s="23" t="str">
        <f t="shared" si="12"/>
        <v>Jun</v>
      </c>
      <c r="D432" s="23" t="str">
        <f t="shared" si="13"/>
        <v>2023</v>
      </c>
      <c r="E432" t="s">
        <v>1669</v>
      </c>
      <c r="F432" s="24" t="s">
        <v>25</v>
      </c>
      <c r="G432" s="17">
        <v>1</v>
      </c>
      <c r="H432" s="19">
        <v>450.07</v>
      </c>
      <c r="I432" t="s">
        <v>1670</v>
      </c>
      <c r="J432" s="24" t="s">
        <v>60</v>
      </c>
      <c r="K432" s="24" t="s">
        <v>19</v>
      </c>
      <c r="L432" t="s">
        <v>1671</v>
      </c>
      <c r="M432" s="17">
        <v>6</v>
      </c>
      <c r="N432" t="s">
        <v>37</v>
      </c>
      <c r="O432" s="24" t="s">
        <v>76</v>
      </c>
      <c r="P432" s="19">
        <v>450.07</v>
      </c>
      <c r="Q432" s="26" t="str">
        <f>IF(OR(P432&lt;'Descriptive Statistics'!$H$17,P432&gt;'Descriptive Statistics'!$H$18),"Potential Outlier","Within Range")</f>
        <v>Within Range</v>
      </c>
      <c r="R432" s="26" t="str">
        <f>IF(OR(G432&lt;'Descriptive Statistics'!$I$17,G432&gt;'Descriptive Statistics'!$I$18),"Potential Outlier","Within Range")</f>
        <v>Within Range</v>
      </c>
      <c r="S432" s="26" t="str">
        <f>IF(OR(H432&lt;'Descriptive Statistics'!$J$17,H432&gt;'Descriptive Statistics'!$J$18),"Potential Outlier","Within Range")</f>
        <v>Within Range</v>
      </c>
    </row>
    <row r="433" hidden="1" spans="1:19">
      <c r="A433" t="s">
        <v>1672</v>
      </c>
      <c r="B433" s="23">
        <v>45571</v>
      </c>
      <c r="C433" s="23" t="str">
        <f t="shared" si="12"/>
        <v>Oct</v>
      </c>
      <c r="D433" s="23" t="str">
        <f t="shared" si="13"/>
        <v>2024</v>
      </c>
      <c r="E433" t="s">
        <v>1673</v>
      </c>
      <c r="F433" s="24" t="s">
        <v>48</v>
      </c>
      <c r="G433" s="17">
        <v>1</v>
      </c>
      <c r="H433" s="19">
        <v>52.54</v>
      </c>
      <c r="I433" t="s">
        <v>652</v>
      </c>
      <c r="J433" s="24" t="s">
        <v>18</v>
      </c>
      <c r="K433" s="24" t="s">
        <v>35</v>
      </c>
      <c r="L433" t="s">
        <v>1674</v>
      </c>
      <c r="M433" s="17">
        <v>6</v>
      </c>
      <c r="N433" t="s">
        <v>81</v>
      </c>
      <c r="O433" s="24" t="s">
        <v>45</v>
      </c>
      <c r="P433" s="19">
        <v>52.54</v>
      </c>
      <c r="Q433" s="26" t="str">
        <f>IF(OR(P433&lt;'Descriptive Statistics'!$H$17,P433&gt;'Descriptive Statistics'!$H$18),"Potential Outlier","Within Range")</f>
        <v>Within Range</v>
      </c>
      <c r="R433" s="26" t="str">
        <f>IF(OR(G433&lt;'Descriptive Statistics'!$I$17,G433&gt;'Descriptive Statistics'!$I$18),"Potential Outlier","Within Range")</f>
        <v>Within Range</v>
      </c>
      <c r="S433" s="26" t="str">
        <f>IF(OR(H433&lt;'Descriptive Statistics'!$J$17,H433&gt;'Descriptive Statistics'!$J$18),"Potential Outlier","Within Range")</f>
        <v>Within Range</v>
      </c>
    </row>
    <row r="434" hidden="1" spans="1:19">
      <c r="A434" t="s">
        <v>1675</v>
      </c>
      <c r="B434" s="23">
        <v>45173</v>
      </c>
      <c r="C434" s="23" t="str">
        <f t="shared" si="12"/>
        <v>Sep</v>
      </c>
      <c r="D434" s="23" t="str">
        <f t="shared" si="13"/>
        <v>2023</v>
      </c>
      <c r="E434" t="s">
        <v>1676</v>
      </c>
      <c r="F434" s="24" t="s">
        <v>32</v>
      </c>
      <c r="G434" s="17">
        <v>2</v>
      </c>
      <c r="H434" s="19">
        <v>424.32</v>
      </c>
      <c r="I434" t="s">
        <v>1677</v>
      </c>
      <c r="J434" s="24" t="s">
        <v>34</v>
      </c>
      <c r="K434" s="24" t="s">
        <v>43</v>
      </c>
      <c r="L434" t="s">
        <v>1678</v>
      </c>
      <c r="M434" s="17">
        <v>6</v>
      </c>
      <c r="N434" t="s">
        <v>4295</v>
      </c>
      <c r="O434" s="24" t="s">
        <v>29</v>
      </c>
      <c r="P434" s="19">
        <v>848.64</v>
      </c>
      <c r="Q434" s="26" t="str">
        <f>IF(OR(P434&lt;'Descriptive Statistics'!$H$17,P434&gt;'Descriptive Statistics'!$H$18),"Potential Outlier","Within Range")</f>
        <v>Within Range</v>
      </c>
      <c r="R434" s="26" t="str">
        <f>IF(OR(G434&lt;'Descriptive Statistics'!$I$17,G434&gt;'Descriptive Statistics'!$I$18),"Potential Outlier","Within Range")</f>
        <v>Within Range</v>
      </c>
      <c r="S434" s="26" t="str">
        <f>IF(OR(H434&lt;'Descriptive Statistics'!$J$17,H434&gt;'Descriptive Statistics'!$J$18),"Potential Outlier","Within Range")</f>
        <v>Within Range</v>
      </c>
    </row>
    <row r="435" hidden="1" spans="1:19">
      <c r="A435" t="s">
        <v>1679</v>
      </c>
      <c r="B435" s="23">
        <v>45164</v>
      </c>
      <c r="C435" s="23" t="str">
        <f t="shared" si="12"/>
        <v>Aug</v>
      </c>
      <c r="D435" s="23" t="str">
        <f t="shared" si="13"/>
        <v>2023</v>
      </c>
      <c r="E435" t="s">
        <v>1680</v>
      </c>
      <c r="F435" s="24" t="s">
        <v>16</v>
      </c>
      <c r="G435" s="17">
        <v>3</v>
      </c>
      <c r="H435" s="19">
        <v>631.64</v>
      </c>
      <c r="I435" t="s">
        <v>996</v>
      </c>
      <c r="J435" s="24" t="s">
        <v>34</v>
      </c>
      <c r="K435" s="24" t="s">
        <v>43</v>
      </c>
      <c r="L435" t="s">
        <v>1681</v>
      </c>
      <c r="M435" s="17">
        <v>3</v>
      </c>
      <c r="N435" t="s">
        <v>37</v>
      </c>
      <c r="O435" s="24" t="s">
        <v>45</v>
      </c>
      <c r="P435" s="19">
        <v>1894.92</v>
      </c>
      <c r="Q435" s="26" t="str">
        <f>IF(OR(P435&lt;'Descriptive Statistics'!$H$17,P435&gt;'Descriptive Statistics'!$H$18),"Potential Outlier","Within Range")</f>
        <v>Within Range</v>
      </c>
      <c r="R435" s="26" t="str">
        <f>IF(OR(G435&lt;'Descriptive Statistics'!$I$17,G435&gt;'Descriptive Statistics'!$I$18),"Potential Outlier","Within Range")</f>
        <v>Within Range</v>
      </c>
      <c r="S435" s="26" t="str">
        <f>IF(OR(H435&lt;'Descriptive Statistics'!$J$17,H435&gt;'Descriptive Statistics'!$J$18),"Potential Outlier","Within Range")</f>
        <v>Within Range</v>
      </c>
    </row>
    <row r="436" hidden="1" spans="1:19">
      <c r="A436" t="s">
        <v>1682</v>
      </c>
      <c r="B436" s="23">
        <v>45221</v>
      </c>
      <c r="C436" s="23" t="str">
        <f t="shared" si="12"/>
        <v>Oct</v>
      </c>
      <c r="D436" s="23" t="str">
        <f t="shared" si="13"/>
        <v>2023</v>
      </c>
      <c r="E436" t="s">
        <v>1683</v>
      </c>
      <c r="F436" s="24" t="s">
        <v>48</v>
      </c>
      <c r="G436" s="17">
        <v>5</v>
      </c>
      <c r="H436" s="19">
        <v>327.68</v>
      </c>
      <c r="I436" t="s">
        <v>316</v>
      </c>
      <c r="J436" s="24" t="s">
        <v>34</v>
      </c>
      <c r="K436" s="24" t="s">
        <v>43</v>
      </c>
      <c r="L436" t="s">
        <v>1684</v>
      </c>
      <c r="M436" s="17">
        <v>6</v>
      </c>
      <c r="N436" t="s">
        <v>4295</v>
      </c>
      <c r="O436" s="24" t="s">
        <v>45</v>
      </c>
      <c r="P436" s="19">
        <v>1638.4</v>
      </c>
      <c r="Q436" s="26" t="str">
        <f>IF(OR(P436&lt;'Descriptive Statistics'!$H$17,P436&gt;'Descriptive Statistics'!$H$18),"Potential Outlier","Within Range")</f>
        <v>Within Range</v>
      </c>
      <c r="R436" s="26" t="str">
        <f>IF(OR(G436&lt;'Descriptive Statistics'!$I$17,G436&gt;'Descriptive Statistics'!$I$18),"Potential Outlier","Within Range")</f>
        <v>Within Range</v>
      </c>
      <c r="S436" s="26" t="str">
        <f>IF(OR(H436&lt;'Descriptive Statistics'!$J$17,H436&gt;'Descriptive Statistics'!$J$18),"Potential Outlier","Within Range")</f>
        <v>Within Range</v>
      </c>
    </row>
    <row r="437" hidden="1" spans="1:19">
      <c r="A437" t="s">
        <v>1685</v>
      </c>
      <c r="B437" s="23">
        <v>45073</v>
      </c>
      <c r="C437" s="23" t="str">
        <f t="shared" si="12"/>
        <v>May</v>
      </c>
      <c r="D437" s="23" t="str">
        <f t="shared" si="13"/>
        <v>2023</v>
      </c>
      <c r="E437" t="s">
        <v>1686</v>
      </c>
      <c r="F437" s="24" t="s">
        <v>48</v>
      </c>
      <c r="G437" s="17">
        <v>1</v>
      </c>
      <c r="H437" s="19">
        <v>414.47</v>
      </c>
      <c r="I437" t="s">
        <v>1256</v>
      </c>
      <c r="J437" s="24" t="s">
        <v>18</v>
      </c>
      <c r="K437" s="24" t="s">
        <v>43</v>
      </c>
      <c r="L437" t="s">
        <v>1687</v>
      </c>
      <c r="M437" s="17">
        <v>3</v>
      </c>
      <c r="N437" t="s">
        <v>37</v>
      </c>
      <c r="O437" s="24" t="s">
        <v>22</v>
      </c>
      <c r="P437" s="19">
        <v>414.47</v>
      </c>
      <c r="Q437" s="26" t="str">
        <f>IF(OR(P437&lt;'Descriptive Statistics'!$H$17,P437&gt;'Descriptive Statistics'!$H$18),"Potential Outlier","Within Range")</f>
        <v>Within Range</v>
      </c>
      <c r="R437" s="26" t="str">
        <f>IF(OR(G437&lt;'Descriptive Statistics'!$I$17,G437&gt;'Descriptive Statistics'!$I$18),"Potential Outlier","Within Range")</f>
        <v>Within Range</v>
      </c>
      <c r="S437" s="26" t="str">
        <f>IF(OR(H437&lt;'Descriptive Statistics'!$J$17,H437&gt;'Descriptive Statistics'!$J$18),"Potential Outlier","Within Range")</f>
        <v>Within Range</v>
      </c>
    </row>
    <row r="438" hidden="1" spans="1:19">
      <c r="A438" t="s">
        <v>1688</v>
      </c>
      <c r="B438" s="23">
        <v>44968</v>
      </c>
      <c r="C438" s="23" t="str">
        <f t="shared" si="12"/>
        <v>Feb</v>
      </c>
      <c r="D438" s="23" t="str">
        <f t="shared" si="13"/>
        <v>2023</v>
      </c>
      <c r="E438" t="s">
        <v>1689</v>
      </c>
      <c r="F438" s="24" t="s">
        <v>58</v>
      </c>
      <c r="G438" s="17">
        <v>4</v>
      </c>
      <c r="H438" s="19">
        <v>221.33</v>
      </c>
      <c r="I438" t="s">
        <v>652</v>
      </c>
      <c r="J438" s="24" t="s">
        <v>27</v>
      </c>
      <c r="K438" s="24" t="s">
        <v>89</v>
      </c>
      <c r="L438" t="s">
        <v>1690</v>
      </c>
      <c r="M438" s="17">
        <v>5</v>
      </c>
      <c r="N438" t="s">
        <v>4295</v>
      </c>
      <c r="O438" s="24" t="s">
        <v>76</v>
      </c>
      <c r="P438" s="19">
        <v>885.32</v>
      </c>
      <c r="Q438" s="26" t="str">
        <f>IF(OR(P438&lt;'Descriptive Statistics'!$H$17,P438&gt;'Descriptive Statistics'!$H$18),"Potential Outlier","Within Range")</f>
        <v>Within Range</v>
      </c>
      <c r="R438" s="26" t="str">
        <f>IF(OR(G438&lt;'Descriptive Statistics'!$I$17,G438&gt;'Descriptive Statistics'!$I$18),"Potential Outlier","Within Range")</f>
        <v>Within Range</v>
      </c>
      <c r="S438" s="26" t="str">
        <f>IF(OR(H438&lt;'Descriptive Statistics'!$J$17,H438&gt;'Descriptive Statistics'!$J$18),"Potential Outlier","Within Range")</f>
        <v>Within Range</v>
      </c>
    </row>
    <row r="439" hidden="1" spans="1:19">
      <c r="A439" t="s">
        <v>1691</v>
      </c>
      <c r="B439" s="23">
        <v>45400</v>
      </c>
      <c r="C439" s="23" t="str">
        <f t="shared" si="12"/>
        <v>Apr</v>
      </c>
      <c r="D439" s="23" t="str">
        <f t="shared" si="13"/>
        <v>2024</v>
      </c>
      <c r="E439" t="s">
        <v>1692</v>
      </c>
      <c r="F439" s="24" t="s">
        <v>25</v>
      </c>
      <c r="G439" s="17">
        <v>1</v>
      </c>
      <c r="H439" s="19">
        <v>512.39</v>
      </c>
      <c r="I439" t="s">
        <v>1693</v>
      </c>
      <c r="J439" s="24" t="s">
        <v>27</v>
      </c>
      <c r="K439" s="24" t="s">
        <v>50</v>
      </c>
      <c r="L439" t="s">
        <v>1694</v>
      </c>
      <c r="M439" s="17">
        <v>2</v>
      </c>
      <c r="N439" t="s">
        <v>37</v>
      </c>
      <c r="O439" s="24" t="s">
        <v>22</v>
      </c>
      <c r="P439" s="19">
        <v>512.39</v>
      </c>
      <c r="Q439" s="26" t="str">
        <f>IF(OR(P439&lt;'Descriptive Statistics'!$H$17,P439&gt;'Descriptive Statistics'!$H$18),"Potential Outlier","Within Range")</f>
        <v>Within Range</v>
      </c>
      <c r="R439" s="26" t="str">
        <f>IF(OR(G439&lt;'Descriptive Statistics'!$I$17,G439&gt;'Descriptive Statistics'!$I$18),"Potential Outlier","Within Range")</f>
        <v>Within Range</v>
      </c>
      <c r="S439" s="26" t="str">
        <f>IF(OR(H439&lt;'Descriptive Statistics'!$J$17,H439&gt;'Descriptive Statistics'!$J$18),"Potential Outlier","Within Range")</f>
        <v>Within Range</v>
      </c>
    </row>
    <row r="440" hidden="1" spans="1:19">
      <c r="A440" t="s">
        <v>1695</v>
      </c>
      <c r="B440" s="23">
        <v>45660</v>
      </c>
      <c r="C440" s="23" t="str">
        <f t="shared" si="12"/>
        <v>Jan</v>
      </c>
      <c r="D440" s="23" t="str">
        <f t="shared" si="13"/>
        <v>2025</v>
      </c>
      <c r="E440" t="s">
        <v>1696</v>
      </c>
      <c r="F440" s="24" t="s">
        <v>32</v>
      </c>
      <c r="G440" s="17">
        <v>3</v>
      </c>
      <c r="H440" s="19">
        <v>459.34</v>
      </c>
      <c r="I440" t="s">
        <v>1697</v>
      </c>
      <c r="J440" s="24" t="s">
        <v>60</v>
      </c>
      <c r="K440" s="24" t="s">
        <v>89</v>
      </c>
      <c r="L440" t="s">
        <v>1698</v>
      </c>
      <c r="M440" s="17">
        <v>3</v>
      </c>
      <c r="N440" t="s">
        <v>21</v>
      </c>
      <c r="O440" s="24" t="s">
        <v>22</v>
      </c>
      <c r="P440" s="19">
        <v>1378.02</v>
      </c>
      <c r="Q440" s="26" t="str">
        <f>IF(OR(P440&lt;'Descriptive Statistics'!$H$17,P440&gt;'Descriptive Statistics'!$H$18),"Potential Outlier","Within Range")</f>
        <v>Within Range</v>
      </c>
      <c r="R440" s="26" t="str">
        <f>IF(OR(G440&lt;'Descriptive Statistics'!$I$17,G440&gt;'Descriptive Statistics'!$I$18),"Potential Outlier","Within Range")</f>
        <v>Within Range</v>
      </c>
      <c r="S440" s="26" t="str">
        <f>IF(OR(H440&lt;'Descriptive Statistics'!$J$17,H440&gt;'Descriptive Statistics'!$J$18),"Potential Outlier","Within Range")</f>
        <v>Within Range</v>
      </c>
    </row>
    <row r="441" hidden="1" spans="1:19">
      <c r="A441" t="s">
        <v>1699</v>
      </c>
      <c r="B441" s="23">
        <v>45543</v>
      </c>
      <c r="C441" s="23" t="str">
        <f t="shared" si="12"/>
        <v>Sep</v>
      </c>
      <c r="D441" s="23" t="str">
        <f t="shared" si="13"/>
        <v>2024</v>
      </c>
      <c r="E441" t="s">
        <v>1700</v>
      </c>
      <c r="F441" s="24" t="s">
        <v>32</v>
      </c>
      <c r="G441" s="17">
        <v>1</v>
      </c>
      <c r="H441" s="19">
        <v>146.32</v>
      </c>
      <c r="I441" t="s">
        <v>1701</v>
      </c>
      <c r="J441" s="24" t="s">
        <v>27</v>
      </c>
      <c r="K441" s="24" t="s">
        <v>19</v>
      </c>
      <c r="L441" t="s">
        <v>1702</v>
      </c>
      <c r="M441" s="17">
        <v>4</v>
      </c>
      <c r="N441" t="s">
        <v>81</v>
      </c>
      <c r="O441" s="24" t="s">
        <v>45</v>
      </c>
      <c r="P441" s="19">
        <v>146.32</v>
      </c>
      <c r="Q441" s="26" t="str">
        <f>IF(OR(P441&lt;'Descriptive Statistics'!$H$17,P441&gt;'Descriptive Statistics'!$H$18),"Potential Outlier","Within Range")</f>
        <v>Within Range</v>
      </c>
      <c r="R441" s="26" t="str">
        <f>IF(OR(G441&lt;'Descriptive Statistics'!$I$17,G441&gt;'Descriptive Statistics'!$I$18),"Potential Outlier","Within Range")</f>
        <v>Within Range</v>
      </c>
      <c r="S441" s="26" t="str">
        <f>IF(OR(H441&lt;'Descriptive Statistics'!$J$17,H441&gt;'Descriptive Statistics'!$J$18),"Potential Outlier","Within Range")</f>
        <v>Within Range</v>
      </c>
    </row>
    <row r="442" hidden="1" spans="1:19">
      <c r="A442" t="s">
        <v>1703</v>
      </c>
      <c r="B442" s="23">
        <v>45601</v>
      </c>
      <c r="C442" s="23" t="str">
        <f t="shared" si="12"/>
        <v>Nov</v>
      </c>
      <c r="D442" s="23" t="str">
        <f t="shared" si="13"/>
        <v>2024</v>
      </c>
      <c r="E442" t="s">
        <v>1704</v>
      </c>
      <c r="F442" s="24" t="s">
        <v>73</v>
      </c>
      <c r="G442" s="17">
        <v>4</v>
      </c>
      <c r="H442" s="19">
        <v>83.6</v>
      </c>
      <c r="I442" t="s">
        <v>1244</v>
      </c>
      <c r="J442" s="24" t="s">
        <v>18</v>
      </c>
      <c r="K442" s="24" t="s">
        <v>89</v>
      </c>
      <c r="L442" t="s">
        <v>1705</v>
      </c>
      <c r="M442" s="17">
        <v>4</v>
      </c>
      <c r="N442" t="s">
        <v>21</v>
      </c>
      <c r="O442" s="24" t="s">
        <v>45</v>
      </c>
      <c r="P442" s="19">
        <v>334.4</v>
      </c>
      <c r="Q442" s="26" t="str">
        <f>IF(OR(P442&lt;'Descriptive Statistics'!$H$17,P442&gt;'Descriptive Statistics'!$H$18),"Potential Outlier","Within Range")</f>
        <v>Within Range</v>
      </c>
      <c r="R442" s="26" t="str">
        <f>IF(OR(G442&lt;'Descriptive Statistics'!$I$17,G442&gt;'Descriptive Statistics'!$I$18),"Potential Outlier","Within Range")</f>
        <v>Within Range</v>
      </c>
      <c r="S442" s="26" t="str">
        <f>IF(OR(H442&lt;'Descriptive Statistics'!$J$17,H442&gt;'Descriptive Statistics'!$J$18),"Potential Outlier","Within Range")</f>
        <v>Within Range</v>
      </c>
    </row>
    <row r="443" hidden="1" spans="1:19">
      <c r="A443" t="s">
        <v>1706</v>
      </c>
      <c r="B443" s="23">
        <v>45273</v>
      </c>
      <c r="C443" s="23" t="str">
        <f t="shared" si="12"/>
        <v>Dec</v>
      </c>
      <c r="D443" s="23" t="str">
        <f t="shared" si="13"/>
        <v>2023</v>
      </c>
      <c r="E443" t="s">
        <v>1707</v>
      </c>
      <c r="F443" s="24" t="s">
        <v>48</v>
      </c>
      <c r="G443" s="17">
        <v>2</v>
      </c>
      <c r="H443" s="19">
        <v>328.54</v>
      </c>
      <c r="I443" t="s">
        <v>1708</v>
      </c>
      <c r="J443" s="24" t="s">
        <v>60</v>
      </c>
      <c r="K443" s="24" t="s">
        <v>43</v>
      </c>
      <c r="L443" t="s">
        <v>1709</v>
      </c>
      <c r="M443" s="17">
        <v>6</v>
      </c>
      <c r="N443" t="s">
        <v>37</v>
      </c>
      <c r="O443" s="24" t="s">
        <v>38</v>
      </c>
      <c r="P443" s="19">
        <v>657.08</v>
      </c>
      <c r="Q443" s="26" t="str">
        <f>IF(OR(P443&lt;'Descriptive Statistics'!$H$17,P443&gt;'Descriptive Statistics'!$H$18),"Potential Outlier","Within Range")</f>
        <v>Within Range</v>
      </c>
      <c r="R443" s="26" t="str">
        <f>IF(OR(G443&lt;'Descriptive Statistics'!$I$17,G443&gt;'Descriptive Statistics'!$I$18),"Potential Outlier","Within Range")</f>
        <v>Within Range</v>
      </c>
      <c r="S443" s="26" t="str">
        <f>IF(OR(H443&lt;'Descriptive Statistics'!$J$17,H443&gt;'Descriptive Statistics'!$J$18),"Potential Outlier","Within Range")</f>
        <v>Within Range</v>
      </c>
    </row>
    <row r="444" hidden="1" spans="1:19">
      <c r="A444" t="s">
        <v>1710</v>
      </c>
      <c r="B444" s="23">
        <v>45418</v>
      </c>
      <c r="C444" s="23" t="str">
        <f t="shared" si="12"/>
        <v>May</v>
      </c>
      <c r="D444" s="23" t="str">
        <f t="shared" si="13"/>
        <v>2024</v>
      </c>
      <c r="E444" t="s">
        <v>1711</v>
      </c>
      <c r="F444" s="24" t="s">
        <v>41</v>
      </c>
      <c r="G444" s="17">
        <v>5</v>
      </c>
      <c r="H444" s="19">
        <v>314.94</v>
      </c>
      <c r="I444" t="s">
        <v>1712</v>
      </c>
      <c r="J444" s="24" t="s">
        <v>65</v>
      </c>
      <c r="K444" s="24" t="s">
        <v>89</v>
      </c>
      <c r="L444" t="s">
        <v>1713</v>
      </c>
      <c r="M444" s="17">
        <v>8</v>
      </c>
      <c r="N444" t="s">
        <v>21</v>
      </c>
      <c r="O444" s="24" t="s">
        <v>22</v>
      </c>
      <c r="P444" s="19">
        <v>1574.7</v>
      </c>
      <c r="Q444" s="26" t="str">
        <f>IF(OR(P444&lt;'Descriptive Statistics'!$H$17,P444&gt;'Descriptive Statistics'!$H$18),"Potential Outlier","Within Range")</f>
        <v>Within Range</v>
      </c>
      <c r="R444" s="26" t="str">
        <f>IF(OR(G444&lt;'Descriptive Statistics'!$I$17,G444&gt;'Descriptive Statistics'!$I$18),"Potential Outlier","Within Range")</f>
        <v>Within Range</v>
      </c>
      <c r="S444" s="26" t="str">
        <f>IF(OR(H444&lt;'Descriptive Statistics'!$J$17,H444&gt;'Descriptive Statistics'!$J$18),"Potential Outlier","Within Range")</f>
        <v>Within Range</v>
      </c>
    </row>
    <row r="445" hidden="1" spans="1:19">
      <c r="A445" t="s">
        <v>1714</v>
      </c>
      <c r="B445" s="23">
        <v>45426</v>
      </c>
      <c r="C445" s="23" t="str">
        <f t="shared" si="12"/>
        <v>May</v>
      </c>
      <c r="D445" s="23" t="str">
        <f t="shared" si="13"/>
        <v>2024</v>
      </c>
      <c r="E445" t="s">
        <v>1715</v>
      </c>
      <c r="F445" s="24" t="s">
        <v>41</v>
      </c>
      <c r="G445" s="17">
        <v>2</v>
      </c>
      <c r="H445" s="19">
        <v>69.64</v>
      </c>
      <c r="I445" t="s">
        <v>289</v>
      </c>
      <c r="J445" s="24" t="s">
        <v>65</v>
      </c>
      <c r="K445" s="24" t="s">
        <v>43</v>
      </c>
      <c r="L445" t="s">
        <v>1716</v>
      </c>
      <c r="M445" s="17">
        <v>6</v>
      </c>
      <c r="N445" t="s">
        <v>4295</v>
      </c>
      <c r="O445" s="24" t="s">
        <v>45</v>
      </c>
      <c r="P445" s="19">
        <v>139.28</v>
      </c>
      <c r="Q445" s="26" t="str">
        <f>IF(OR(P445&lt;'Descriptive Statistics'!$H$17,P445&gt;'Descriptive Statistics'!$H$18),"Potential Outlier","Within Range")</f>
        <v>Within Range</v>
      </c>
      <c r="R445" s="26" t="str">
        <f>IF(OR(G445&lt;'Descriptive Statistics'!$I$17,G445&gt;'Descriptive Statistics'!$I$18),"Potential Outlier","Within Range")</f>
        <v>Within Range</v>
      </c>
      <c r="S445" s="26" t="str">
        <f>IF(OR(H445&lt;'Descriptive Statistics'!$J$17,H445&gt;'Descriptive Statistics'!$J$18),"Potential Outlier","Within Range")</f>
        <v>Within Range</v>
      </c>
    </row>
    <row r="446" hidden="1" spans="1:19">
      <c r="A446" t="s">
        <v>1717</v>
      </c>
      <c r="B446" s="23">
        <v>45451</v>
      </c>
      <c r="C446" s="23" t="str">
        <f t="shared" si="12"/>
        <v>Jun</v>
      </c>
      <c r="D446" s="23" t="str">
        <f t="shared" si="13"/>
        <v>2024</v>
      </c>
      <c r="E446" t="s">
        <v>1718</v>
      </c>
      <c r="F446" s="24" t="s">
        <v>48</v>
      </c>
      <c r="G446" s="17">
        <v>1</v>
      </c>
      <c r="H446" s="19">
        <v>135.17</v>
      </c>
      <c r="I446" t="s">
        <v>1719</v>
      </c>
      <c r="J446" s="24" t="s">
        <v>27</v>
      </c>
      <c r="K446" s="24" t="s">
        <v>19</v>
      </c>
      <c r="L446" t="s">
        <v>1720</v>
      </c>
      <c r="M446" s="17">
        <v>6</v>
      </c>
      <c r="N446" t="s">
        <v>37</v>
      </c>
      <c r="O446" s="24" t="s">
        <v>22</v>
      </c>
      <c r="P446" s="19">
        <v>135.17</v>
      </c>
      <c r="Q446" s="26" t="str">
        <f>IF(OR(P446&lt;'Descriptive Statistics'!$H$17,P446&gt;'Descriptive Statistics'!$H$18),"Potential Outlier","Within Range")</f>
        <v>Within Range</v>
      </c>
      <c r="R446" s="26" t="str">
        <f>IF(OR(G446&lt;'Descriptive Statistics'!$I$17,G446&gt;'Descriptive Statistics'!$I$18),"Potential Outlier","Within Range")</f>
        <v>Within Range</v>
      </c>
      <c r="S446" s="26" t="str">
        <f>IF(OR(H446&lt;'Descriptive Statistics'!$J$17,H446&gt;'Descriptive Statistics'!$J$18),"Potential Outlier","Within Range")</f>
        <v>Within Range</v>
      </c>
    </row>
    <row r="447" hidden="1" spans="1:19">
      <c r="A447" t="s">
        <v>1721</v>
      </c>
      <c r="B447" s="23">
        <v>45374</v>
      </c>
      <c r="C447" s="23" t="str">
        <f t="shared" si="12"/>
        <v>Mar</v>
      </c>
      <c r="D447" s="23" t="str">
        <f t="shared" si="13"/>
        <v>2024</v>
      </c>
      <c r="E447" t="s">
        <v>1722</v>
      </c>
      <c r="F447" s="24" t="s">
        <v>25</v>
      </c>
      <c r="G447" s="17">
        <v>1</v>
      </c>
      <c r="H447" s="19">
        <v>487.21</v>
      </c>
      <c r="I447" t="s">
        <v>1723</v>
      </c>
      <c r="J447" s="24" t="s">
        <v>65</v>
      </c>
      <c r="K447" s="24" t="s">
        <v>50</v>
      </c>
      <c r="L447" t="s">
        <v>1724</v>
      </c>
      <c r="M447" s="17">
        <v>3</v>
      </c>
      <c r="N447" t="s">
        <v>21</v>
      </c>
      <c r="O447" s="24" t="s">
        <v>29</v>
      </c>
      <c r="P447" s="19">
        <v>487.21</v>
      </c>
      <c r="Q447" s="26" t="str">
        <f>IF(OR(P447&lt;'Descriptive Statistics'!$H$17,P447&gt;'Descriptive Statistics'!$H$18),"Potential Outlier","Within Range")</f>
        <v>Within Range</v>
      </c>
      <c r="R447" s="26" t="str">
        <f>IF(OR(G447&lt;'Descriptive Statistics'!$I$17,G447&gt;'Descriptive Statistics'!$I$18),"Potential Outlier","Within Range")</f>
        <v>Within Range</v>
      </c>
      <c r="S447" s="26" t="str">
        <f>IF(OR(H447&lt;'Descriptive Statistics'!$J$17,H447&gt;'Descriptive Statistics'!$J$18),"Potential Outlier","Within Range")</f>
        <v>Within Range</v>
      </c>
    </row>
    <row r="448" hidden="1" spans="1:19">
      <c r="A448" t="s">
        <v>1725</v>
      </c>
      <c r="B448" s="23">
        <v>45217</v>
      </c>
      <c r="C448" s="23" t="str">
        <f t="shared" si="12"/>
        <v>Oct</v>
      </c>
      <c r="D448" s="23" t="str">
        <f t="shared" si="13"/>
        <v>2023</v>
      </c>
      <c r="E448" t="s">
        <v>1726</v>
      </c>
      <c r="F448" s="24" t="s">
        <v>58</v>
      </c>
      <c r="G448" s="17">
        <v>5</v>
      </c>
      <c r="H448" s="19">
        <v>509.58</v>
      </c>
      <c r="I448" t="s">
        <v>1727</v>
      </c>
      <c r="J448" s="24" t="s">
        <v>27</v>
      </c>
      <c r="K448" s="24" t="s">
        <v>50</v>
      </c>
      <c r="L448" t="s">
        <v>1728</v>
      </c>
      <c r="M448" s="17">
        <v>6</v>
      </c>
      <c r="N448" t="s">
        <v>37</v>
      </c>
      <c r="O448" s="24" t="s">
        <v>22</v>
      </c>
      <c r="P448" s="19">
        <v>2547.9</v>
      </c>
      <c r="Q448" s="26" t="str">
        <f>IF(OR(P448&lt;'Descriptive Statistics'!$H$17,P448&gt;'Descriptive Statistics'!$H$18),"Potential Outlier","Within Range")</f>
        <v>Within Range</v>
      </c>
      <c r="R448" s="26" t="str">
        <f>IF(OR(G448&lt;'Descriptive Statistics'!$I$17,G448&gt;'Descriptive Statistics'!$I$18),"Potential Outlier","Within Range")</f>
        <v>Within Range</v>
      </c>
      <c r="S448" s="26" t="str">
        <f>IF(OR(H448&lt;'Descriptive Statistics'!$J$17,H448&gt;'Descriptive Statistics'!$J$18),"Potential Outlier","Within Range")</f>
        <v>Within Range</v>
      </c>
    </row>
    <row r="449" hidden="1" spans="1:19">
      <c r="A449" t="s">
        <v>1729</v>
      </c>
      <c r="B449" s="23">
        <v>45389</v>
      </c>
      <c r="C449" s="23" t="str">
        <f t="shared" si="12"/>
        <v>Apr</v>
      </c>
      <c r="D449" s="23" t="str">
        <f t="shared" si="13"/>
        <v>2024</v>
      </c>
      <c r="E449" t="s">
        <v>1730</v>
      </c>
      <c r="F449" s="24" t="s">
        <v>48</v>
      </c>
      <c r="G449" s="17">
        <v>2</v>
      </c>
      <c r="H449" s="19">
        <v>416.81</v>
      </c>
      <c r="I449" t="s">
        <v>1731</v>
      </c>
      <c r="J449" s="24" t="s">
        <v>65</v>
      </c>
      <c r="K449" s="24" t="s">
        <v>43</v>
      </c>
      <c r="L449" t="s">
        <v>1732</v>
      </c>
      <c r="M449" s="17">
        <v>2</v>
      </c>
      <c r="N449" t="s">
        <v>4295</v>
      </c>
      <c r="O449" s="24" t="s">
        <v>45</v>
      </c>
      <c r="P449" s="19">
        <v>833.62</v>
      </c>
      <c r="Q449" s="26" t="str">
        <f>IF(OR(P449&lt;'Descriptive Statistics'!$H$17,P449&gt;'Descriptive Statistics'!$H$18),"Potential Outlier","Within Range")</f>
        <v>Within Range</v>
      </c>
      <c r="R449" s="26" t="str">
        <f>IF(OR(G449&lt;'Descriptive Statistics'!$I$17,G449&gt;'Descriptive Statistics'!$I$18),"Potential Outlier","Within Range")</f>
        <v>Within Range</v>
      </c>
      <c r="S449" s="26" t="str">
        <f>IF(OR(H449&lt;'Descriptive Statistics'!$J$17,H449&gt;'Descriptive Statistics'!$J$18),"Potential Outlier","Within Range")</f>
        <v>Within Range</v>
      </c>
    </row>
    <row r="450" hidden="1" spans="1:19">
      <c r="A450" t="s">
        <v>1733</v>
      </c>
      <c r="B450" s="23">
        <v>45173</v>
      </c>
      <c r="C450" s="23" t="str">
        <f t="shared" ref="C450:C513" si="14">TEXT(B450,"MMM")</f>
        <v>Sep</v>
      </c>
      <c r="D450" s="23" t="str">
        <f t="shared" ref="D450:D513" si="15">TEXT(B450,"YYYY")</f>
        <v>2023</v>
      </c>
      <c r="E450" t="s">
        <v>1734</v>
      </c>
      <c r="F450" s="24" t="s">
        <v>58</v>
      </c>
      <c r="G450" s="17">
        <v>2</v>
      </c>
      <c r="H450" s="19">
        <v>160</v>
      </c>
      <c r="I450" t="s">
        <v>1735</v>
      </c>
      <c r="J450" s="24" t="s">
        <v>65</v>
      </c>
      <c r="K450" s="24" t="s">
        <v>89</v>
      </c>
      <c r="L450" t="s">
        <v>1736</v>
      </c>
      <c r="M450" s="17">
        <v>4</v>
      </c>
      <c r="N450" t="s">
        <v>21</v>
      </c>
      <c r="O450" s="24" t="s">
        <v>22</v>
      </c>
      <c r="P450" s="19">
        <v>320</v>
      </c>
      <c r="Q450" s="26" t="str">
        <f>IF(OR(P450&lt;'Descriptive Statistics'!$H$17,P450&gt;'Descriptive Statistics'!$H$18),"Potential Outlier","Within Range")</f>
        <v>Within Range</v>
      </c>
      <c r="R450" s="26" t="str">
        <f>IF(OR(G450&lt;'Descriptive Statistics'!$I$17,G450&gt;'Descriptive Statistics'!$I$18),"Potential Outlier","Within Range")</f>
        <v>Within Range</v>
      </c>
      <c r="S450" s="26" t="str">
        <f>IF(OR(H450&lt;'Descriptive Statistics'!$J$17,H450&gt;'Descriptive Statistics'!$J$18),"Potential Outlier","Within Range")</f>
        <v>Within Range</v>
      </c>
    </row>
    <row r="451" hidden="1" spans="1:19">
      <c r="A451" t="s">
        <v>1737</v>
      </c>
      <c r="B451" s="23">
        <v>45530</v>
      </c>
      <c r="C451" s="23" t="str">
        <f t="shared" si="14"/>
        <v>Aug</v>
      </c>
      <c r="D451" s="23" t="str">
        <f t="shared" si="15"/>
        <v>2024</v>
      </c>
      <c r="E451" t="s">
        <v>1738</v>
      </c>
      <c r="F451" s="24" t="s">
        <v>32</v>
      </c>
      <c r="G451" s="17">
        <v>3</v>
      </c>
      <c r="H451" s="19">
        <v>253.05</v>
      </c>
      <c r="I451" t="s">
        <v>1739</v>
      </c>
      <c r="J451" s="24" t="s">
        <v>27</v>
      </c>
      <c r="K451" s="24" t="s">
        <v>89</v>
      </c>
      <c r="L451" t="s">
        <v>1740</v>
      </c>
      <c r="M451" s="17">
        <v>3</v>
      </c>
      <c r="N451" t="s">
        <v>4295</v>
      </c>
      <c r="O451" s="24" t="s">
        <v>22</v>
      </c>
      <c r="P451" s="19">
        <v>759.15</v>
      </c>
      <c r="Q451" s="26" t="str">
        <f>IF(OR(P451&lt;'Descriptive Statistics'!$H$17,P451&gt;'Descriptive Statistics'!$H$18),"Potential Outlier","Within Range")</f>
        <v>Within Range</v>
      </c>
      <c r="R451" s="26" t="str">
        <f>IF(OR(G451&lt;'Descriptive Statistics'!$I$17,G451&gt;'Descriptive Statistics'!$I$18),"Potential Outlier","Within Range")</f>
        <v>Within Range</v>
      </c>
      <c r="S451" s="26" t="str">
        <f>IF(OR(H451&lt;'Descriptive Statistics'!$J$17,H451&gt;'Descriptive Statistics'!$J$18),"Potential Outlier","Within Range")</f>
        <v>Within Range</v>
      </c>
    </row>
    <row r="452" hidden="1" spans="1:19">
      <c r="A452" t="s">
        <v>1741</v>
      </c>
      <c r="B452" s="23">
        <v>45306</v>
      </c>
      <c r="C452" s="23" t="str">
        <f t="shared" si="14"/>
        <v>Jan</v>
      </c>
      <c r="D452" s="23" t="str">
        <f t="shared" si="15"/>
        <v>2024</v>
      </c>
      <c r="E452" t="s">
        <v>1742</v>
      </c>
      <c r="F452" s="24" t="s">
        <v>16</v>
      </c>
      <c r="G452" s="17">
        <v>5</v>
      </c>
      <c r="H452" s="19">
        <v>615.1</v>
      </c>
      <c r="I452" t="s">
        <v>1743</v>
      </c>
      <c r="J452" s="24" t="s">
        <v>60</v>
      </c>
      <c r="K452" s="24" t="s">
        <v>43</v>
      </c>
      <c r="L452" t="s">
        <v>1744</v>
      </c>
      <c r="M452" s="17">
        <v>10</v>
      </c>
      <c r="N452" t="s">
        <v>81</v>
      </c>
      <c r="O452" s="24" t="s">
        <v>22</v>
      </c>
      <c r="P452" s="19">
        <v>3075.5</v>
      </c>
      <c r="Q452" s="26" t="str">
        <f>IF(OR(P452&lt;'Descriptive Statistics'!$H$17,P452&gt;'Descriptive Statistics'!$H$18),"Potential Outlier","Within Range")</f>
        <v>Within Range</v>
      </c>
      <c r="R452" s="26" t="str">
        <f>IF(OR(G452&lt;'Descriptive Statistics'!$I$17,G452&gt;'Descriptive Statistics'!$I$18),"Potential Outlier","Within Range")</f>
        <v>Within Range</v>
      </c>
      <c r="S452" s="26" t="str">
        <f>IF(OR(H452&lt;'Descriptive Statistics'!$J$17,H452&gt;'Descriptive Statistics'!$J$18),"Potential Outlier","Within Range")</f>
        <v>Within Range</v>
      </c>
    </row>
    <row r="453" hidden="1" spans="1:19">
      <c r="A453" t="s">
        <v>1745</v>
      </c>
      <c r="B453" s="23">
        <v>45017</v>
      </c>
      <c r="C453" s="23" t="str">
        <f t="shared" si="14"/>
        <v>Apr</v>
      </c>
      <c r="D453" s="23" t="str">
        <f t="shared" si="15"/>
        <v>2023</v>
      </c>
      <c r="E453" t="s">
        <v>1746</v>
      </c>
      <c r="F453" s="24" t="s">
        <v>16</v>
      </c>
      <c r="G453" s="17">
        <v>1</v>
      </c>
      <c r="H453" s="19">
        <v>183.18</v>
      </c>
      <c r="I453" t="s">
        <v>450</v>
      </c>
      <c r="J453" s="24" t="s">
        <v>18</v>
      </c>
      <c r="K453" s="24" t="s">
        <v>35</v>
      </c>
      <c r="L453" t="s">
        <v>1747</v>
      </c>
      <c r="M453" s="17">
        <v>6</v>
      </c>
      <c r="N453" t="s">
        <v>21</v>
      </c>
      <c r="O453" s="24" t="s">
        <v>38</v>
      </c>
      <c r="P453" s="19">
        <v>183.18</v>
      </c>
      <c r="Q453" s="26" t="str">
        <f>IF(OR(P453&lt;'Descriptive Statistics'!$H$17,P453&gt;'Descriptive Statistics'!$H$18),"Potential Outlier","Within Range")</f>
        <v>Within Range</v>
      </c>
      <c r="R453" s="26" t="str">
        <f>IF(OR(G453&lt;'Descriptive Statistics'!$I$17,G453&gt;'Descriptive Statistics'!$I$18),"Potential Outlier","Within Range")</f>
        <v>Within Range</v>
      </c>
      <c r="S453" s="26" t="str">
        <f>IF(OR(H453&lt;'Descriptive Statistics'!$J$17,H453&gt;'Descriptive Statistics'!$J$18),"Potential Outlier","Within Range")</f>
        <v>Within Range</v>
      </c>
    </row>
    <row r="454" hidden="1" spans="1:19">
      <c r="A454" t="s">
        <v>1748</v>
      </c>
      <c r="B454" s="23">
        <v>45130</v>
      </c>
      <c r="C454" s="23" t="str">
        <f t="shared" si="14"/>
        <v>Jul</v>
      </c>
      <c r="D454" s="23" t="str">
        <f t="shared" si="15"/>
        <v>2023</v>
      </c>
      <c r="E454" t="s">
        <v>1749</v>
      </c>
      <c r="F454" s="24" t="s">
        <v>48</v>
      </c>
      <c r="G454" s="17">
        <v>1</v>
      </c>
      <c r="H454" s="19">
        <v>75.78</v>
      </c>
      <c r="I454" t="s">
        <v>1750</v>
      </c>
      <c r="J454" s="24" t="s">
        <v>65</v>
      </c>
      <c r="K454" s="24" t="s">
        <v>89</v>
      </c>
      <c r="L454" t="s">
        <v>1751</v>
      </c>
      <c r="M454" s="17">
        <v>5</v>
      </c>
      <c r="N454" t="s">
        <v>21</v>
      </c>
      <c r="O454" s="24" t="s">
        <v>76</v>
      </c>
      <c r="P454" s="19">
        <v>75.78</v>
      </c>
      <c r="Q454" s="26" t="str">
        <f>IF(OR(P454&lt;'Descriptive Statistics'!$H$17,P454&gt;'Descriptive Statistics'!$H$18),"Potential Outlier","Within Range")</f>
        <v>Within Range</v>
      </c>
      <c r="R454" s="26" t="str">
        <f>IF(OR(G454&lt;'Descriptive Statistics'!$I$17,G454&gt;'Descriptive Statistics'!$I$18),"Potential Outlier","Within Range")</f>
        <v>Within Range</v>
      </c>
      <c r="S454" s="26" t="str">
        <f>IF(OR(H454&lt;'Descriptive Statistics'!$J$17,H454&gt;'Descriptive Statistics'!$J$18),"Potential Outlier","Within Range")</f>
        <v>Within Range</v>
      </c>
    </row>
    <row r="455" hidden="1" spans="1:19">
      <c r="A455" t="s">
        <v>1752</v>
      </c>
      <c r="B455" s="23">
        <v>45779</v>
      </c>
      <c r="C455" s="23" t="str">
        <f t="shared" si="14"/>
        <v>May</v>
      </c>
      <c r="D455" s="23" t="str">
        <f t="shared" si="15"/>
        <v>2025</v>
      </c>
      <c r="E455" t="s">
        <v>1753</v>
      </c>
      <c r="F455" s="24" t="s">
        <v>32</v>
      </c>
      <c r="G455" s="17">
        <v>1</v>
      </c>
      <c r="H455" s="19">
        <v>675.57</v>
      </c>
      <c r="I455" t="s">
        <v>1754</v>
      </c>
      <c r="J455" s="24" t="s">
        <v>65</v>
      </c>
      <c r="K455" s="24" t="s">
        <v>19</v>
      </c>
      <c r="L455" t="s">
        <v>1755</v>
      </c>
      <c r="M455" s="17">
        <v>1</v>
      </c>
      <c r="N455" t="s">
        <v>81</v>
      </c>
      <c r="O455" s="24" t="s">
        <v>45</v>
      </c>
      <c r="P455" s="19">
        <v>675.57</v>
      </c>
      <c r="Q455" s="26" t="str">
        <f>IF(OR(P455&lt;'Descriptive Statistics'!$H$17,P455&gt;'Descriptive Statistics'!$H$18),"Potential Outlier","Within Range")</f>
        <v>Within Range</v>
      </c>
      <c r="R455" s="26" t="str">
        <f>IF(OR(G455&lt;'Descriptive Statistics'!$I$17,G455&gt;'Descriptive Statistics'!$I$18),"Potential Outlier","Within Range")</f>
        <v>Within Range</v>
      </c>
      <c r="S455" s="26" t="str">
        <f>IF(OR(H455&lt;'Descriptive Statistics'!$J$17,H455&gt;'Descriptive Statistics'!$J$18),"Potential Outlier","Within Range")</f>
        <v>Within Range</v>
      </c>
    </row>
    <row r="456" hidden="1" spans="1:19">
      <c r="A456" t="s">
        <v>1756</v>
      </c>
      <c r="B456" s="23">
        <v>45623</v>
      </c>
      <c r="C456" s="23" t="str">
        <f t="shared" si="14"/>
        <v>Nov</v>
      </c>
      <c r="D456" s="23" t="str">
        <f t="shared" si="15"/>
        <v>2024</v>
      </c>
      <c r="E456" t="s">
        <v>1757</v>
      </c>
      <c r="F456" s="24" t="s">
        <v>58</v>
      </c>
      <c r="G456" s="17">
        <v>1</v>
      </c>
      <c r="H456" s="19">
        <v>109.29</v>
      </c>
      <c r="I456" t="s">
        <v>1758</v>
      </c>
      <c r="J456" s="24" t="s">
        <v>18</v>
      </c>
      <c r="K456" s="24" t="s">
        <v>35</v>
      </c>
      <c r="L456" t="s">
        <v>1759</v>
      </c>
      <c r="M456" s="17">
        <v>5</v>
      </c>
      <c r="N456" t="s">
        <v>37</v>
      </c>
      <c r="O456" s="24" t="s">
        <v>76</v>
      </c>
      <c r="P456" s="19">
        <v>109.29</v>
      </c>
      <c r="Q456" s="26" t="str">
        <f>IF(OR(P456&lt;'Descriptive Statistics'!$H$17,P456&gt;'Descriptive Statistics'!$H$18),"Potential Outlier","Within Range")</f>
        <v>Within Range</v>
      </c>
      <c r="R456" s="26" t="str">
        <f>IF(OR(G456&lt;'Descriptive Statistics'!$I$17,G456&gt;'Descriptive Statistics'!$I$18),"Potential Outlier","Within Range")</f>
        <v>Within Range</v>
      </c>
      <c r="S456" s="26" t="str">
        <f>IF(OR(H456&lt;'Descriptive Statistics'!$J$17,H456&gt;'Descriptive Statistics'!$J$18),"Potential Outlier","Within Range")</f>
        <v>Within Range</v>
      </c>
    </row>
    <row r="457" hidden="1" spans="1:19">
      <c r="A457" t="s">
        <v>1760</v>
      </c>
      <c r="B457" s="23">
        <v>45377</v>
      </c>
      <c r="C457" s="23" t="str">
        <f t="shared" si="14"/>
        <v>Mar</v>
      </c>
      <c r="D457" s="23" t="str">
        <f t="shared" si="15"/>
        <v>2024</v>
      </c>
      <c r="E457" t="s">
        <v>1761</v>
      </c>
      <c r="F457" s="24" t="s">
        <v>25</v>
      </c>
      <c r="G457" s="17">
        <v>1</v>
      </c>
      <c r="H457" s="19">
        <v>639.83</v>
      </c>
      <c r="I457" t="s">
        <v>1762</v>
      </c>
      <c r="J457" s="24" t="s">
        <v>18</v>
      </c>
      <c r="K457" s="24" t="s">
        <v>89</v>
      </c>
      <c r="L457" t="s">
        <v>1763</v>
      </c>
      <c r="M457" s="17">
        <v>2</v>
      </c>
      <c r="N457" t="s">
        <v>21</v>
      </c>
      <c r="O457" s="24" t="s">
        <v>29</v>
      </c>
      <c r="P457" s="19">
        <v>639.83</v>
      </c>
      <c r="Q457" s="26" t="str">
        <f>IF(OR(P457&lt;'Descriptive Statistics'!$H$17,P457&gt;'Descriptive Statistics'!$H$18),"Potential Outlier","Within Range")</f>
        <v>Within Range</v>
      </c>
      <c r="R457" s="26" t="str">
        <f>IF(OR(G457&lt;'Descriptive Statistics'!$I$17,G457&gt;'Descriptive Statistics'!$I$18),"Potential Outlier","Within Range")</f>
        <v>Within Range</v>
      </c>
      <c r="S457" s="26" t="str">
        <f>IF(OR(H457&lt;'Descriptive Statistics'!$J$17,H457&gt;'Descriptive Statistics'!$J$18),"Potential Outlier","Within Range")</f>
        <v>Within Range</v>
      </c>
    </row>
    <row r="458" hidden="1" spans="1:19">
      <c r="A458" t="s">
        <v>1764</v>
      </c>
      <c r="B458" s="23">
        <v>45103</v>
      </c>
      <c r="C458" s="23" t="str">
        <f t="shared" si="14"/>
        <v>Jun</v>
      </c>
      <c r="D458" s="23" t="str">
        <f t="shared" si="15"/>
        <v>2023</v>
      </c>
      <c r="E458" t="s">
        <v>1765</v>
      </c>
      <c r="F458" s="24" t="s">
        <v>73</v>
      </c>
      <c r="G458" s="17">
        <v>5</v>
      </c>
      <c r="H458" s="19">
        <v>62.81</v>
      </c>
      <c r="I458" t="s">
        <v>1364</v>
      </c>
      <c r="J458" s="24" t="s">
        <v>34</v>
      </c>
      <c r="K458" s="24" t="s">
        <v>19</v>
      </c>
      <c r="L458" t="s">
        <v>1766</v>
      </c>
      <c r="M458" s="17">
        <v>9</v>
      </c>
      <c r="N458" t="s">
        <v>21</v>
      </c>
      <c r="O458" s="24" t="s">
        <v>45</v>
      </c>
      <c r="P458" s="19">
        <v>314.05</v>
      </c>
      <c r="Q458" s="26" t="str">
        <f>IF(OR(P458&lt;'Descriptive Statistics'!$H$17,P458&gt;'Descriptive Statistics'!$H$18),"Potential Outlier","Within Range")</f>
        <v>Within Range</v>
      </c>
      <c r="R458" s="26" t="str">
        <f>IF(OR(G458&lt;'Descriptive Statistics'!$I$17,G458&gt;'Descriptive Statistics'!$I$18),"Potential Outlier","Within Range")</f>
        <v>Within Range</v>
      </c>
      <c r="S458" s="26" t="str">
        <f>IF(OR(H458&lt;'Descriptive Statistics'!$J$17,H458&gt;'Descriptive Statistics'!$J$18),"Potential Outlier","Within Range")</f>
        <v>Within Range</v>
      </c>
    </row>
    <row r="459" hidden="1" spans="1:19">
      <c r="A459" t="s">
        <v>1767</v>
      </c>
      <c r="B459" s="23">
        <v>45802</v>
      </c>
      <c r="C459" s="23" t="str">
        <f t="shared" si="14"/>
        <v>May</v>
      </c>
      <c r="D459" s="23" t="str">
        <f t="shared" si="15"/>
        <v>2025</v>
      </c>
      <c r="E459" t="s">
        <v>1768</v>
      </c>
      <c r="F459" s="24" t="s">
        <v>73</v>
      </c>
      <c r="G459" s="17">
        <v>4</v>
      </c>
      <c r="H459" s="19">
        <v>615.83</v>
      </c>
      <c r="I459" t="s">
        <v>1769</v>
      </c>
      <c r="J459" s="24" t="s">
        <v>27</v>
      </c>
      <c r="K459" s="24" t="s">
        <v>43</v>
      </c>
      <c r="L459" t="s">
        <v>1770</v>
      </c>
      <c r="M459" s="17">
        <v>4</v>
      </c>
      <c r="N459" t="s">
        <v>81</v>
      </c>
      <c r="O459" s="24" t="s">
        <v>22</v>
      </c>
      <c r="P459" s="19">
        <v>2463.32</v>
      </c>
      <c r="Q459" s="26" t="str">
        <f>IF(OR(P459&lt;'Descriptive Statistics'!$H$17,P459&gt;'Descriptive Statistics'!$H$18),"Potential Outlier","Within Range")</f>
        <v>Within Range</v>
      </c>
      <c r="R459" s="26" t="str">
        <f>IF(OR(G459&lt;'Descriptive Statistics'!$I$17,G459&gt;'Descriptive Statistics'!$I$18),"Potential Outlier","Within Range")</f>
        <v>Within Range</v>
      </c>
      <c r="S459" s="26" t="str">
        <f>IF(OR(H459&lt;'Descriptive Statistics'!$J$17,H459&gt;'Descriptive Statistics'!$J$18),"Potential Outlier","Within Range")</f>
        <v>Within Range</v>
      </c>
    </row>
    <row r="460" hidden="1" spans="1:19">
      <c r="A460" t="s">
        <v>1771</v>
      </c>
      <c r="B460" s="23">
        <v>45475</v>
      </c>
      <c r="C460" s="23" t="str">
        <f t="shared" si="14"/>
        <v>Jul</v>
      </c>
      <c r="D460" s="23" t="str">
        <f t="shared" si="15"/>
        <v>2024</v>
      </c>
      <c r="E460" t="s">
        <v>1772</v>
      </c>
      <c r="F460" s="24" t="s">
        <v>16</v>
      </c>
      <c r="G460" s="17">
        <v>4</v>
      </c>
      <c r="H460" s="19">
        <v>510.58</v>
      </c>
      <c r="I460" t="s">
        <v>399</v>
      </c>
      <c r="J460" s="24" t="s">
        <v>34</v>
      </c>
      <c r="K460" s="24" t="s">
        <v>43</v>
      </c>
      <c r="L460" t="s">
        <v>1773</v>
      </c>
      <c r="M460" s="17">
        <v>7</v>
      </c>
      <c r="N460" t="s">
        <v>81</v>
      </c>
      <c r="O460" s="24" t="s">
        <v>38</v>
      </c>
      <c r="P460" s="19">
        <v>2042.32</v>
      </c>
      <c r="Q460" s="26" t="str">
        <f>IF(OR(P460&lt;'Descriptive Statistics'!$H$17,P460&gt;'Descriptive Statistics'!$H$18),"Potential Outlier","Within Range")</f>
        <v>Within Range</v>
      </c>
      <c r="R460" s="26" t="str">
        <f>IF(OR(G460&lt;'Descriptive Statistics'!$I$17,G460&gt;'Descriptive Statistics'!$I$18),"Potential Outlier","Within Range")</f>
        <v>Within Range</v>
      </c>
      <c r="S460" s="26" t="str">
        <f>IF(OR(H460&lt;'Descriptive Statistics'!$J$17,H460&gt;'Descriptive Statistics'!$J$18),"Potential Outlier","Within Range")</f>
        <v>Within Range</v>
      </c>
    </row>
    <row r="461" hidden="1" spans="1:19">
      <c r="A461" t="s">
        <v>1774</v>
      </c>
      <c r="B461" s="23">
        <v>45497</v>
      </c>
      <c r="C461" s="23" t="str">
        <f t="shared" si="14"/>
        <v>Jul</v>
      </c>
      <c r="D461" s="23" t="str">
        <f t="shared" si="15"/>
        <v>2024</v>
      </c>
      <c r="E461" t="s">
        <v>1775</v>
      </c>
      <c r="F461" s="24" t="s">
        <v>73</v>
      </c>
      <c r="G461" s="17">
        <v>1</v>
      </c>
      <c r="H461" s="19">
        <v>334.39</v>
      </c>
      <c r="I461" t="s">
        <v>1670</v>
      </c>
      <c r="J461" s="24" t="s">
        <v>34</v>
      </c>
      <c r="K461" s="24" t="s">
        <v>43</v>
      </c>
      <c r="L461" t="s">
        <v>1776</v>
      </c>
      <c r="M461" s="17">
        <v>2</v>
      </c>
      <c r="N461" t="s">
        <v>4295</v>
      </c>
      <c r="O461" s="24" t="s">
        <v>22</v>
      </c>
      <c r="P461" s="19">
        <v>334.39</v>
      </c>
      <c r="Q461" s="26" t="str">
        <f>IF(OR(P461&lt;'Descriptive Statistics'!$H$17,P461&gt;'Descriptive Statistics'!$H$18),"Potential Outlier","Within Range")</f>
        <v>Within Range</v>
      </c>
      <c r="R461" s="26" t="str">
        <f>IF(OR(G461&lt;'Descriptive Statistics'!$I$17,G461&gt;'Descriptive Statistics'!$I$18),"Potential Outlier","Within Range")</f>
        <v>Within Range</v>
      </c>
      <c r="S461" s="26" t="str">
        <f>IF(OR(H461&lt;'Descriptive Statistics'!$J$17,H461&gt;'Descriptive Statistics'!$J$18),"Potential Outlier","Within Range")</f>
        <v>Within Range</v>
      </c>
    </row>
    <row r="462" hidden="1" spans="1:19">
      <c r="A462" t="s">
        <v>1777</v>
      </c>
      <c r="B462" s="23">
        <v>45571</v>
      </c>
      <c r="C462" s="23" t="str">
        <f t="shared" si="14"/>
        <v>Oct</v>
      </c>
      <c r="D462" s="23" t="str">
        <f t="shared" si="15"/>
        <v>2024</v>
      </c>
      <c r="E462" t="s">
        <v>1778</v>
      </c>
      <c r="F462" s="24" t="s">
        <v>58</v>
      </c>
      <c r="G462" s="17">
        <v>1</v>
      </c>
      <c r="H462" s="19">
        <v>144.25</v>
      </c>
      <c r="I462" t="s">
        <v>1779</v>
      </c>
      <c r="J462" s="24" t="s">
        <v>65</v>
      </c>
      <c r="K462" s="24" t="s">
        <v>43</v>
      </c>
      <c r="L462" t="s">
        <v>1780</v>
      </c>
      <c r="M462" s="17">
        <v>2</v>
      </c>
      <c r="N462" t="s">
        <v>81</v>
      </c>
      <c r="O462" s="24" t="s">
        <v>29</v>
      </c>
      <c r="P462" s="19">
        <v>144.25</v>
      </c>
      <c r="Q462" s="26" t="str">
        <f>IF(OR(P462&lt;'Descriptive Statistics'!$H$17,P462&gt;'Descriptive Statistics'!$H$18),"Potential Outlier","Within Range")</f>
        <v>Within Range</v>
      </c>
      <c r="R462" s="26" t="str">
        <f>IF(OR(G462&lt;'Descriptive Statistics'!$I$17,G462&gt;'Descriptive Statistics'!$I$18),"Potential Outlier","Within Range")</f>
        <v>Within Range</v>
      </c>
      <c r="S462" s="26" t="str">
        <f>IF(OR(H462&lt;'Descriptive Statistics'!$J$17,H462&gt;'Descriptive Statistics'!$J$18),"Potential Outlier","Within Range")</f>
        <v>Within Range</v>
      </c>
    </row>
    <row r="463" hidden="1" spans="1:19">
      <c r="A463" t="s">
        <v>1781</v>
      </c>
      <c r="B463" s="23">
        <v>45451</v>
      </c>
      <c r="C463" s="23" t="str">
        <f t="shared" si="14"/>
        <v>Jun</v>
      </c>
      <c r="D463" s="23" t="str">
        <f t="shared" si="15"/>
        <v>2024</v>
      </c>
      <c r="E463" t="s">
        <v>1782</v>
      </c>
      <c r="F463" s="24" t="s">
        <v>32</v>
      </c>
      <c r="G463" s="17">
        <v>1</v>
      </c>
      <c r="H463" s="19">
        <v>401.82</v>
      </c>
      <c r="I463" t="s">
        <v>972</v>
      </c>
      <c r="J463" s="24" t="s">
        <v>34</v>
      </c>
      <c r="K463" s="24" t="s">
        <v>19</v>
      </c>
      <c r="L463" t="s">
        <v>1783</v>
      </c>
      <c r="M463" s="17">
        <v>5</v>
      </c>
      <c r="N463" t="s">
        <v>37</v>
      </c>
      <c r="O463" s="24" t="s">
        <v>76</v>
      </c>
      <c r="P463" s="19">
        <v>401.82</v>
      </c>
      <c r="Q463" s="26" t="str">
        <f>IF(OR(P463&lt;'Descriptive Statistics'!$H$17,P463&gt;'Descriptive Statistics'!$H$18),"Potential Outlier","Within Range")</f>
        <v>Within Range</v>
      </c>
      <c r="R463" s="26" t="str">
        <f>IF(OR(G463&lt;'Descriptive Statistics'!$I$17,G463&gt;'Descriptive Statistics'!$I$18),"Potential Outlier","Within Range")</f>
        <v>Within Range</v>
      </c>
      <c r="S463" s="26" t="str">
        <f>IF(OR(H463&lt;'Descriptive Statistics'!$J$17,H463&gt;'Descriptive Statistics'!$J$18),"Potential Outlier","Within Range")</f>
        <v>Within Range</v>
      </c>
    </row>
    <row r="464" hidden="1" spans="1:19">
      <c r="A464" t="s">
        <v>1784</v>
      </c>
      <c r="B464" s="23">
        <v>45747</v>
      </c>
      <c r="C464" s="23" t="str">
        <f t="shared" si="14"/>
        <v>Mar</v>
      </c>
      <c r="D464" s="23" t="str">
        <f t="shared" si="15"/>
        <v>2025</v>
      </c>
      <c r="E464" t="s">
        <v>1785</v>
      </c>
      <c r="F464" s="24" t="s">
        <v>25</v>
      </c>
      <c r="G464" s="17">
        <v>1</v>
      </c>
      <c r="H464" s="19">
        <v>252.68</v>
      </c>
      <c r="I464" t="s">
        <v>1786</v>
      </c>
      <c r="J464" s="24" t="s">
        <v>27</v>
      </c>
      <c r="K464" s="24" t="s">
        <v>35</v>
      </c>
      <c r="L464" t="s">
        <v>1787</v>
      </c>
      <c r="M464" s="17">
        <v>1</v>
      </c>
      <c r="N464" t="s">
        <v>4295</v>
      </c>
      <c r="O464" s="24" t="s">
        <v>29</v>
      </c>
      <c r="P464" s="19">
        <v>252.68</v>
      </c>
      <c r="Q464" s="26" t="str">
        <f>IF(OR(P464&lt;'Descriptive Statistics'!$H$17,P464&gt;'Descriptive Statistics'!$H$18),"Potential Outlier","Within Range")</f>
        <v>Within Range</v>
      </c>
      <c r="R464" s="26" t="str">
        <f>IF(OR(G464&lt;'Descriptive Statistics'!$I$17,G464&gt;'Descriptive Statistics'!$I$18),"Potential Outlier","Within Range")</f>
        <v>Within Range</v>
      </c>
      <c r="S464" s="26" t="str">
        <f>IF(OR(H464&lt;'Descriptive Statistics'!$J$17,H464&gt;'Descriptive Statistics'!$J$18),"Potential Outlier","Within Range")</f>
        <v>Within Range</v>
      </c>
    </row>
    <row r="465" hidden="1" spans="1:19">
      <c r="A465" t="s">
        <v>1788</v>
      </c>
      <c r="B465" s="23">
        <v>45072</v>
      </c>
      <c r="C465" s="23" t="str">
        <f t="shared" si="14"/>
        <v>May</v>
      </c>
      <c r="D465" s="23" t="str">
        <f t="shared" si="15"/>
        <v>2023</v>
      </c>
      <c r="E465" t="s">
        <v>1789</v>
      </c>
      <c r="F465" s="24" t="s">
        <v>58</v>
      </c>
      <c r="G465" s="17">
        <v>5</v>
      </c>
      <c r="H465" s="19">
        <v>662.78</v>
      </c>
      <c r="I465" t="s">
        <v>1790</v>
      </c>
      <c r="J465" s="24" t="s">
        <v>18</v>
      </c>
      <c r="K465" s="24" t="s">
        <v>19</v>
      </c>
      <c r="L465" t="s">
        <v>1791</v>
      </c>
      <c r="M465" s="17">
        <v>9</v>
      </c>
      <c r="N465" t="s">
        <v>21</v>
      </c>
      <c r="O465" s="24" t="s">
        <v>22</v>
      </c>
      <c r="P465" s="19">
        <v>3313.9</v>
      </c>
      <c r="Q465" s="26" t="str">
        <f>IF(OR(P465&lt;'Descriptive Statistics'!$H$17,P465&gt;'Descriptive Statistics'!$H$18),"Potential Outlier","Within Range")</f>
        <v>Within Range</v>
      </c>
      <c r="R465" s="26" t="str">
        <f>IF(OR(G465&lt;'Descriptive Statistics'!$I$17,G465&gt;'Descriptive Statistics'!$I$18),"Potential Outlier","Within Range")</f>
        <v>Within Range</v>
      </c>
      <c r="S465" s="26" t="str">
        <f>IF(OR(H465&lt;'Descriptive Statistics'!$J$17,H465&gt;'Descriptive Statistics'!$J$18),"Potential Outlier","Within Range")</f>
        <v>Within Range</v>
      </c>
    </row>
    <row r="466" hidden="1" spans="1:19">
      <c r="A466" t="s">
        <v>1792</v>
      </c>
      <c r="B466" s="23">
        <v>44999</v>
      </c>
      <c r="C466" s="23" t="str">
        <f t="shared" si="14"/>
        <v>Mar</v>
      </c>
      <c r="D466" s="23" t="str">
        <f t="shared" si="15"/>
        <v>2023</v>
      </c>
      <c r="E466" t="s">
        <v>1793</v>
      </c>
      <c r="F466" s="24" t="s">
        <v>32</v>
      </c>
      <c r="G466" s="17">
        <v>4</v>
      </c>
      <c r="H466" s="19">
        <v>434.42</v>
      </c>
      <c r="I466" t="s">
        <v>1794</v>
      </c>
      <c r="J466" s="24" t="s">
        <v>27</v>
      </c>
      <c r="K466" s="24" t="s">
        <v>35</v>
      </c>
      <c r="L466" t="s">
        <v>1795</v>
      </c>
      <c r="M466" s="17">
        <v>6</v>
      </c>
      <c r="N466" t="s">
        <v>37</v>
      </c>
      <c r="O466" s="24" t="s">
        <v>76</v>
      </c>
      <c r="P466" s="19">
        <v>1737.68</v>
      </c>
      <c r="Q466" s="26" t="str">
        <f>IF(OR(P466&lt;'Descriptive Statistics'!$H$17,P466&gt;'Descriptive Statistics'!$H$18),"Potential Outlier","Within Range")</f>
        <v>Within Range</v>
      </c>
      <c r="R466" s="26" t="str">
        <f>IF(OR(G466&lt;'Descriptive Statistics'!$I$17,G466&gt;'Descriptive Statistics'!$I$18),"Potential Outlier","Within Range")</f>
        <v>Within Range</v>
      </c>
      <c r="S466" s="26" t="str">
        <f>IF(OR(H466&lt;'Descriptive Statistics'!$J$17,H466&gt;'Descriptive Statistics'!$J$18),"Potential Outlier","Within Range")</f>
        <v>Within Range</v>
      </c>
    </row>
    <row r="467" hidden="1" spans="1:19">
      <c r="A467" t="s">
        <v>1796</v>
      </c>
      <c r="B467" s="23">
        <v>45348</v>
      </c>
      <c r="C467" s="23" t="str">
        <f t="shared" si="14"/>
        <v>Feb</v>
      </c>
      <c r="D467" s="23" t="str">
        <f t="shared" si="15"/>
        <v>2024</v>
      </c>
      <c r="E467" t="s">
        <v>1797</v>
      </c>
      <c r="F467" s="24" t="s">
        <v>48</v>
      </c>
      <c r="G467" s="17">
        <v>5</v>
      </c>
      <c r="H467" s="19">
        <v>513.49</v>
      </c>
      <c r="I467" t="s">
        <v>1798</v>
      </c>
      <c r="J467" s="24" t="s">
        <v>60</v>
      </c>
      <c r="K467" s="24" t="s">
        <v>35</v>
      </c>
      <c r="L467" t="s">
        <v>1799</v>
      </c>
      <c r="M467" s="17">
        <v>8</v>
      </c>
      <c r="N467" t="s">
        <v>4295</v>
      </c>
      <c r="O467" s="24" t="s">
        <v>76</v>
      </c>
      <c r="P467" s="19">
        <v>2567.45</v>
      </c>
      <c r="Q467" s="26" t="str">
        <f>IF(OR(P467&lt;'Descriptive Statistics'!$H$17,P467&gt;'Descriptive Statistics'!$H$18),"Potential Outlier","Within Range")</f>
        <v>Within Range</v>
      </c>
      <c r="R467" s="26" t="str">
        <f>IF(OR(G467&lt;'Descriptive Statistics'!$I$17,G467&gt;'Descriptive Statistics'!$I$18),"Potential Outlier","Within Range")</f>
        <v>Within Range</v>
      </c>
      <c r="S467" s="26" t="str">
        <f>IF(OR(H467&lt;'Descriptive Statistics'!$J$17,H467&gt;'Descriptive Statistics'!$J$18),"Potential Outlier","Within Range")</f>
        <v>Within Range</v>
      </c>
    </row>
    <row r="468" hidden="1" spans="1:19">
      <c r="A468" t="s">
        <v>1800</v>
      </c>
      <c r="B468" s="23">
        <v>45125</v>
      </c>
      <c r="C468" s="23" t="str">
        <f t="shared" si="14"/>
        <v>Jul</v>
      </c>
      <c r="D468" s="23" t="str">
        <f t="shared" si="15"/>
        <v>2023</v>
      </c>
      <c r="E468" t="s">
        <v>1801</v>
      </c>
      <c r="F468" s="24" t="s">
        <v>25</v>
      </c>
      <c r="G468" s="17">
        <v>1</v>
      </c>
      <c r="H468" s="19">
        <v>432.47</v>
      </c>
      <c r="I468" t="s">
        <v>161</v>
      </c>
      <c r="J468" s="24" t="s">
        <v>65</v>
      </c>
      <c r="K468" s="24" t="s">
        <v>50</v>
      </c>
      <c r="L468" t="s">
        <v>1802</v>
      </c>
      <c r="M468" s="17">
        <v>4</v>
      </c>
      <c r="N468" t="s">
        <v>37</v>
      </c>
      <c r="O468" s="24" t="s">
        <v>29</v>
      </c>
      <c r="P468" s="19">
        <v>432.47</v>
      </c>
      <c r="Q468" s="26" t="str">
        <f>IF(OR(P468&lt;'Descriptive Statistics'!$H$17,P468&gt;'Descriptive Statistics'!$H$18),"Potential Outlier","Within Range")</f>
        <v>Within Range</v>
      </c>
      <c r="R468" s="26" t="str">
        <f>IF(OR(G468&lt;'Descriptive Statistics'!$I$17,G468&gt;'Descriptive Statistics'!$I$18),"Potential Outlier","Within Range")</f>
        <v>Within Range</v>
      </c>
      <c r="S468" s="26" t="str">
        <f>IF(OR(H468&lt;'Descriptive Statistics'!$J$17,H468&gt;'Descriptive Statistics'!$J$18),"Potential Outlier","Within Range")</f>
        <v>Within Range</v>
      </c>
    </row>
    <row r="469" hidden="1" spans="1:19">
      <c r="A469" t="s">
        <v>1803</v>
      </c>
      <c r="B469" s="23">
        <v>45534</v>
      </c>
      <c r="C469" s="23" t="str">
        <f t="shared" si="14"/>
        <v>Aug</v>
      </c>
      <c r="D469" s="23" t="str">
        <f t="shared" si="15"/>
        <v>2024</v>
      </c>
      <c r="E469" t="s">
        <v>1804</v>
      </c>
      <c r="F469" s="24" t="s">
        <v>73</v>
      </c>
      <c r="G469" s="17">
        <v>1</v>
      </c>
      <c r="H469" s="19">
        <v>45.94</v>
      </c>
      <c r="I469" t="s">
        <v>763</v>
      </c>
      <c r="J469" s="24" t="s">
        <v>65</v>
      </c>
      <c r="K469" s="24" t="s">
        <v>35</v>
      </c>
      <c r="L469" t="s">
        <v>1805</v>
      </c>
      <c r="M469" s="17">
        <v>2</v>
      </c>
      <c r="N469" t="s">
        <v>81</v>
      </c>
      <c r="O469" s="24" t="s">
        <v>38</v>
      </c>
      <c r="P469" s="19">
        <v>45.94</v>
      </c>
      <c r="Q469" s="26" t="str">
        <f>IF(OR(P469&lt;'Descriptive Statistics'!$H$17,P469&gt;'Descriptive Statistics'!$H$18),"Potential Outlier","Within Range")</f>
        <v>Within Range</v>
      </c>
      <c r="R469" s="26" t="str">
        <f>IF(OR(G469&lt;'Descriptive Statistics'!$I$17,G469&gt;'Descriptive Statistics'!$I$18),"Potential Outlier","Within Range")</f>
        <v>Within Range</v>
      </c>
      <c r="S469" s="26" t="str">
        <f>IF(OR(H469&lt;'Descriptive Statistics'!$J$17,H469&gt;'Descriptive Statistics'!$J$18),"Potential Outlier","Within Range")</f>
        <v>Within Range</v>
      </c>
    </row>
    <row r="470" hidden="1" spans="1:19">
      <c r="A470" t="s">
        <v>1806</v>
      </c>
      <c r="B470" s="23">
        <v>45829</v>
      </c>
      <c r="C470" s="23" t="str">
        <f t="shared" si="14"/>
        <v>Jun</v>
      </c>
      <c r="D470" s="23" t="str">
        <f t="shared" si="15"/>
        <v>2025</v>
      </c>
      <c r="E470" t="s">
        <v>1807</v>
      </c>
      <c r="F470" s="24" t="s">
        <v>25</v>
      </c>
      <c r="G470" s="17">
        <v>1</v>
      </c>
      <c r="H470" s="19">
        <v>418.36</v>
      </c>
      <c r="I470" t="s">
        <v>1808</v>
      </c>
      <c r="J470" s="24" t="s">
        <v>34</v>
      </c>
      <c r="K470" s="24" t="s">
        <v>50</v>
      </c>
      <c r="L470" t="s">
        <v>1809</v>
      </c>
      <c r="M470" s="17">
        <v>5</v>
      </c>
      <c r="N470" t="s">
        <v>37</v>
      </c>
      <c r="O470" s="24" t="s">
        <v>38</v>
      </c>
      <c r="P470" s="19">
        <v>418.36</v>
      </c>
      <c r="Q470" s="26" t="str">
        <f>IF(OR(P470&lt;'Descriptive Statistics'!$H$17,P470&gt;'Descriptive Statistics'!$H$18),"Potential Outlier","Within Range")</f>
        <v>Within Range</v>
      </c>
      <c r="R470" s="26" t="str">
        <f>IF(OR(G470&lt;'Descriptive Statistics'!$I$17,G470&gt;'Descriptive Statistics'!$I$18),"Potential Outlier","Within Range")</f>
        <v>Within Range</v>
      </c>
      <c r="S470" s="26" t="str">
        <f>IF(OR(H470&lt;'Descriptive Statistics'!$J$17,H470&gt;'Descriptive Statistics'!$J$18),"Potential Outlier","Within Range")</f>
        <v>Within Range</v>
      </c>
    </row>
    <row r="471" spans="1:19">
      <c r="A471" t="s">
        <v>1810</v>
      </c>
      <c r="B471" s="23">
        <v>45256</v>
      </c>
      <c r="C471" s="23" t="str">
        <f t="shared" si="14"/>
        <v>Nov</v>
      </c>
      <c r="D471" s="23" t="str">
        <f t="shared" si="15"/>
        <v>2023</v>
      </c>
      <c r="E471" t="s">
        <v>1811</v>
      </c>
      <c r="F471" s="24" t="s">
        <v>41</v>
      </c>
      <c r="G471" s="17">
        <v>5</v>
      </c>
      <c r="H471" s="19">
        <v>676.98</v>
      </c>
      <c r="I471" t="s">
        <v>618</v>
      </c>
      <c r="J471" s="24" t="s">
        <v>65</v>
      </c>
      <c r="K471" s="24" t="s">
        <v>35</v>
      </c>
      <c r="L471" t="s">
        <v>1812</v>
      </c>
      <c r="M471" s="17">
        <v>5</v>
      </c>
      <c r="N471" t="s">
        <v>4295</v>
      </c>
      <c r="O471" s="24" t="s">
        <v>45</v>
      </c>
      <c r="P471" s="19">
        <v>3384.9</v>
      </c>
      <c r="Q471" s="26" t="str">
        <f>IF(OR(P471&lt;'Descriptive Statistics'!$H$17,P471&gt;'Descriptive Statistics'!$H$18),"Potential Outlier","Within Range")</f>
        <v>Potential Outlier</v>
      </c>
      <c r="R471" s="26" t="str">
        <f>IF(OR(G471&lt;'Descriptive Statistics'!$I$17,G471&gt;'Descriptive Statistics'!$I$18),"Potential Outlier","Within Range")</f>
        <v>Within Range</v>
      </c>
      <c r="S471" s="26" t="str">
        <f>IF(OR(H471&lt;'Descriptive Statistics'!$J$17,H471&gt;'Descriptive Statistics'!$J$18),"Potential Outlier","Within Range")</f>
        <v>Within Range</v>
      </c>
    </row>
    <row r="472" hidden="1" spans="1:19">
      <c r="A472" t="s">
        <v>1813</v>
      </c>
      <c r="B472" s="23">
        <v>45198</v>
      </c>
      <c r="C472" s="23" t="str">
        <f t="shared" si="14"/>
        <v>Sep</v>
      </c>
      <c r="D472" s="23" t="str">
        <f t="shared" si="15"/>
        <v>2023</v>
      </c>
      <c r="E472" t="s">
        <v>1814</v>
      </c>
      <c r="F472" s="24" t="s">
        <v>32</v>
      </c>
      <c r="G472" s="17">
        <v>4</v>
      </c>
      <c r="H472" s="19">
        <v>263.62</v>
      </c>
      <c r="I472" t="s">
        <v>1815</v>
      </c>
      <c r="J472" s="24" t="s">
        <v>65</v>
      </c>
      <c r="K472" s="24" t="s">
        <v>19</v>
      </c>
      <c r="L472" t="s">
        <v>1816</v>
      </c>
      <c r="M472" s="17">
        <v>5</v>
      </c>
      <c r="N472" t="s">
        <v>21</v>
      </c>
      <c r="O472" s="24" t="s">
        <v>38</v>
      </c>
      <c r="P472" s="19">
        <v>1054.48</v>
      </c>
      <c r="Q472" s="26" t="str">
        <f>IF(OR(P472&lt;'Descriptive Statistics'!$H$17,P472&gt;'Descriptive Statistics'!$H$18),"Potential Outlier","Within Range")</f>
        <v>Within Range</v>
      </c>
      <c r="R472" s="26" t="str">
        <f>IF(OR(G472&lt;'Descriptive Statistics'!$I$17,G472&gt;'Descriptive Statistics'!$I$18),"Potential Outlier","Within Range")</f>
        <v>Within Range</v>
      </c>
      <c r="S472" s="26" t="str">
        <f>IF(OR(H472&lt;'Descriptive Statistics'!$J$17,H472&gt;'Descriptive Statistics'!$J$18),"Potential Outlier","Within Range")</f>
        <v>Within Range</v>
      </c>
    </row>
    <row r="473" hidden="1" spans="1:19">
      <c r="A473" t="s">
        <v>1817</v>
      </c>
      <c r="B473" s="23">
        <v>45766</v>
      </c>
      <c r="C473" s="23" t="str">
        <f t="shared" si="14"/>
        <v>Apr</v>
      </c>
      <c r="D473" s="23" t="str">
        <f t="shared" si="15"/>
        <v>2025</v>
      </c>
      <c r="E473" t="s">
        <v>1818</v>
      </c>
      <c r="F473" s="24" t="s">
        <v>73</v>
      </c>
      <c r="G473" s="17">
        <v>5</v>
      </c>
      <c r="H473" s="19">
        <v>551.27</v>
      </c>
      <c r="I473" t="s">
        <v>1819</v>
      </c>
      <c r="J473" s="24" t="s">
        <v>27</v>
      </c>
      <c r="K473" s="24" t="s">
        <v>35</v>
      </c>
      <c r="L473" t="s">
        <v>1820</v>
      </c>
      <c r="M473" s="17">
        <v>7</v>
      </c>
      <c r="N473" t="s">
        <v>37</v>
      </c>
      <c r="O473" s="24" t="s">
        <v>29</v>
      </c>
      <c r="P473" s="19">
        <v>2756.35</v>
      </c>
      <c r="Q473" s="26" t="str">
        <f>IF(OR(P473&lt;'Descriptive Statistics'!$H$17,P473&gt;'Descriptive Statistics'!$H$18),"Potential Outlier","Within Range")</f>
        <v>Within Range</v>
      </c>
      <c r="R473" s="26" t="str">
        <f>IF(OR(G473&lt;'Descriptive Statistics'!$I$17,G473&gt;'Descriptive Statistics'!$I$18),"Potential Outlier","Within Range")</f>
        <v>Within Range</v>
      </c>
      <c r="S473" s="26" t="str">
        <f>IF(OR(H473&lt;'Descriptive Statistics'!$J$17,H473&gt;'Descriptive Statistics'!$J$18),"Potential Outlier","Within Range")</f>
        <v>Within Range</v>
      </c>
    </row>
    <row r="474" hidden="1" spans="1:19">
      <c r="A474" t="s">
        <v>1821</v>
      </c>
      <c r="B474" s="23">
        <v>44932</v>
      </c>
      <c r="C474" s="23" t="str">
        <f t="shared" si="14"/>
        <v>Jan</v>
      </c>
      <c r="D474" s="23" t="str">
        <f t="shared" si="15"/>
        <v>2023</v>
      </c>
      <c r="E474" t="s">
        <v>1822</v>
      </c>
      <c r="F474" s="24" t="s">
        <v>41</v>
      </c>
      <c r="G474" s="17">
        <v>3</v>
      </c>
      <c r="H474" s="19">
        <v>508.12</v>
      </c>
      <c r="I474" t="s">
        <v>1823</v>
      </c>
      <c r="J474" s="24" t="s">
        <v>34</v>
      </c>
      <c r="K474" s="24" t="s">
        <v>35</v>
      </c>
      <c r="L474" t="s">
        <v>1824</v>
      </c>
      <c r="M474" s="17">
        <v>8</v>
      </c>
      <c r="N474" t="s">
        <v>37</v>
      </c>
      <c r="O474" s="24" t="s">
        <v>29</v>
      </c>
      <c r="P474" s="19">
        <v>1524.36</v>
      </c>
      <c r="Q474" s="26" t="str">
        <f>IF(OR(P474&lt;'Descriptive Statistics'!$H$17,P474&gt;'Descriptive Statistics'!$H$18),"Potential Outlier","Within Range")</f>
        <v>Within Range</v>
      </c>
      <c r="R474" s="26" t="str">
        <f>IF(OR(G474&lt;'Descriptive Statistics'!$I$17,G474&gt;'Descriptive Statistics'!$I$18),"Potential Outlier","Within Range")</f>
        <v>Within Range</v>
      </c>
      <c r="S474" s="26" t="str">
        <f>IF(OR(H474&lt;'Descriptive Statistics'!$J$17,H474&gt;'Descriptive Statistics'!$J$18),"Potential Outlier","Within Range")</f>
        <v>Within Range</v>
      </c>
    </row>
    <row r="475" hidden="1" spans="1:19">
      <c r="A475" t="s">
        <v>1825</v>
      </c>
      <c r="B475" s="23">
        <v>45713</v>
      </c>
      <c r="C475" s="23" t="str">
        <f t="shared" si="14"/>
        <v>Feb</v>
      </c>
      <c r="D475" s="23" t="str">
        <f t="shared" si="15"/>
        <v>2025</v>
      </c>
      <c r="E475" t="s">
        <v>1826</v>
      </c>
      <c r="F475" s="24" t="s">
        <v>41</v>
      </c>
      <c r="G475" s="17">
        <v>2</v>
      </c>
      <c r="H475" s="19">
        <v>14.93</v>
      </c>
      <c r="I475" t="s">
        <v>1827</v>
      </c>
      <c r="J475" s="24" t="s">
        <v>27</v>
      </c>
      <c r="K475" s="24" t="s">
        <v>19</v>
      </c>
      <c r="L475" t="s">
        <v>1828</v>
      </c>
      <c r="M475" s="17">
        <v>4</v>
      </c>
      <c r="N475" t="s">
        <v>4295</v>
      </c>
      <c r="O475" s="24" t="s">
        <v>45</v>
      </c>
      <c r="P475" s="19">
        <v>29.86</v>
      </c>
      <c r="Q475" s="26" t="str">
        <f>IF(OR(P475&lt;'Descriptive Statistics'!$H$17,P475&gt;'Descriptive Statistics'!$H$18),"Potential Outlier","Within Range")</f>
        <v>Within Range</v>
      </c>
      <c r="R475" s="26" t="str">
        <f>IF(OR(G475&lt;'Descriptive Statistics'!$I$17,G475&gt;'Descriptive Statistics'!$I$18),"Potential Outlier","Within Range")</f>
        <v>Within Range</v>
      </c>
      <c r="S475" s="26" t="str">
        <f>IF(OR(H475&lt;'Descriptive Statistics'!$J$17,H475&gt;'Descriptive Statistics'!$J$18),"Potential Outlier","Within Range")</f>
        <v>Within Range</v>
      </c>
    </row>
    <row r="476" hidden="1" spans="1:19">
      <c r="A476" t="s">
        <v>1829</v>
      </c>
      <c r="B476" s="23">
        <v>45245</v>
      </c>
      <c r="C476" s="23" t="str">
        <f t="shared" si="14"/>
        <v>Nov</v>
      </c>
      <c r="D476" s="23" t="str">
        <f t="shared" si="15"/>
        <v>2023</v>
      </c>
      <c r="E476" t="s">
        <v>1830</v>
      </c>
      <c r="F476" s="24" t="s">
        <v>48</v>
      </c>
      <c r="G476" s="17">
        <v>3</v>
      </c>
      <c r="H476" s="19">
        <v>229.34</v>
      </c>
      <c r="I476" t="s">
        <v>1340</v>
      </c>
      <c r="J476" s="24" t="s">
        <v>34</v>
      </c>
      <c r="K476" s="24" t="s">
        <v>19</v>
      </c>
      <c r="L476" t="s">
        <v>1831</v>
      </c>
      <c r="M476" s="17">
        <v>6</v>
      </c>
      <c r="N476" t="s">
        <v>21</v>
      </c>
      <c r="O476" s="24" t="s">
        <v>29</v>
      </c>
      <c r="P476" s="19">
        <v>688.02</v>
      </c>
      <c r="Q476" s="26" t="str">
        <f>IF(OR(P476&lt;'Descriptive Statistics'!$H$17,P476&gt;'Descriptive Statistics'!$H$18),"Potential Outlier","Within Range")</f>
        <v>Within Range</v>
      </c>
      <c r="R476" s="26" t="str">
        <f>IF(OR(G476&lt;'Descriptive Statistics'!$I$17,G476&gt;'Descriptive Statistics'!$I$18),"Potential Outlier","Within Range")</f>
        <v>Within Range</v>
      </c>
      <c r="S476" s="26" t="str">
        <f>IF(OR(H476&lt;'Descriptive Statistics'!$J$17,H476&gt;'Descriptive Statistics'!$J$18),"Potential Outlier","Within Range")</f>
        <v>Within Range</v>
      </c>
    </row>
    <row r="477" hidden="1" spans="1:19">
      <c r="A477" t="s">
        <v>1832</v>
      </c>
      <c r="B477" s="23">
        <v>45766</v>
      </c>
      <c r="C477" s="23" t="str">
        <f t="shared" si="14"/>
        <v>Apr</v>
      </c>
      <c r="D477" s="23" t="str">
        <f t="shared" si="15"/>
        <v>2025</v>
      </c>
      <c r="E477" t="s">
        <v>1833</v>
      </c>
      <c r="F477" s="24" t="s">
        <v>32</v>
      </c>
      <c r="G477" s="17">
        <v>2</v>
      </c>
      <c r="H477" s="19">
        <v>438.62</v>
      </c>
      <c r="I477" t="s">
        <v>1834</v>
      </c>
      <c r="J477" s="24" t="s">
        <v>65</v>
      </c>
      <c r="K477" s="24" t="s">
        <v>35</v>
      </c>
      <c r="L477" t="s">
        <v>1835</v>
      </c>
      <c r="M477" s="17">
        <v>3</v>
      </c>
      <c r="N477" t="s">
        <v>21</v>
      </c>
      <c r="O477" s="24" t="s">
        <v>45</v>
      </c>
      <c r="P477" s="19">
        <v>877.24</v>
      </c>
      <c r="Q477" s="26" t="str">
        <f>IF(OR(P477&lt;'Descriptive Statistics'!$H$17,P477&gt;'Descriptive Statistics'!$H$18),"Potential Outlier","Within Range")</f>
        <v>Within Range</v>
      </c>
      <c r="R477" s="26" t="str">
        <f>IF(OR(G477&lt;'Descriptive Statistics'!$I$17,G477&gt;'Descriptive Statistics'!$I$18),"Potential Outlier","Within Range")</f>
        <v>Within Range</v>
      </c>
      <c r="S477" s="26" t="str">
        <f>IF(OR(H477&lt;'Descriptive Statistics'!$J$17,H477&gt;'Descriptive Statistics'!$J$18),"Potential Outlier","Within Range")</f>
        <v>Within Range</v>
      </c>
    </row>
    <row r="478" hidden="1" spans="1:19">
      <c r="A478" t="s">
        <v>1836</v>
      </c>
      <c r="B478" s="23">
        <v>45306</v>
      </c>
      <c r="C478" s="23" t="str">
        <f t="shared" si="14"/>
        <v>Jan</v>
      </c>
      <c r="D478" s="23" t="str">
        <f t="shared" si="15"/>
        <v>2024</v>
      </c>
      <c r="E478" t="s">
        <v>1837</v>
      </c>
      <c r="F478" s="24" t="s">
        <v>25</v>
      </c>
      <c r="G478" s="17">
        <v>2</v>
      </c>
      <c r="H478" s="19">
        <v>513.59</v>
      </c>
      <c r="I478" t="s">
        <v>1838</v>
      </c>
      <c r="J478" s="24" t="s">
        <v>27</v>
      </c>
      <c r="K478" s="24" t="s">
        <v>43</v>
      </c>
      <c r="L478" t="s">
        <v>1839</v>
      </c>
      <c r="M478" s="17">
        <v>4</v>
      </c>
      <c r="N478" t="s">
        <v>37</v>
      </c>
      <c r="O478" s="24" t="s">
        <v>29</v>
      </c>
      <c r="P478" s="19">
        <v>1027.18</v>
      </c>
      <c r="Q478" s="26" t="str">
        <f>IF(OR(P478&lt;'Descriptive Statistics'!$H$17,P478&gt;'Descriptive Statistics'!$H$18),"Potential Outlier","Within Range")</f>
        <v>Within Range</v>
      </c>
      <c r="R478" s="26" t="str">
        <f>IF(OR(G478&lt;'Descriptive Statistics'!$I$17,G478&gt;'Descriptive Statistics'!$I$18),"Potential Outlier","Within Range")</f>
        <v>Within Range</v>
      </c>
      <c r="S478" s="26" t="str">
        <f>IF(OR(H478&lt;'Descriptive Statistics'!$J$17,H478&gt;'Descriptive Statistics'!$J$18),"Potential Outlier","Within Range")</f>
        <v>Within Range</v>
      </c>
    </row>
    <row r="479" hidden="1" spans="1:19">
      <c r="A479" t="s">
        <v>1840</v>
      </c>
      <c r="B479" s="23">
        <v>45721</v>
      </c>
      <c r="C479" s="23" t="str">
        <f t="shared" si="14"/>
        <v>Mar</v>
      </c>
      <c r="D479" s="23" t="str">
        <f t="shared" si="15"/>
        <v>2025</v>
      </c>
      <c r="E479" t="s">
        <v>1841</v>
      </c>
      <c r="F479" s="24" t="s">
        <v>25</v>
      </c>
      <c r="G479" s="17">
        <v>2</v>
      </c>
      <c r="H479" s="19">
        <v>253.74</v>
      </c>
      <c r="I479" t="s">
        <v>1842</v>
      </c>
      <c r="J479" s="24" t="s">
        <v>27</v>
      </c>
      <c r="K479" s="24" t="s">
        <v>19</v>
      </c>
      <c r="L479" t="s">
        <v>1843</v>
      </c>
      <c r="M479" s="17">
        <v>5</v>
      </c>
      <c r="N479" t="s">
        <v>21</v>
      </c>
      <c r="O479" s="24" t="s">
        <v>76</v>
      </c>
      <c r="P479" s="19">
        <v>507.48</v>
      </c>
      <c r="Q479" s="26" t="str">
        <f>IF(OR(P479&lt;'Descriptive Statistics'!$H$17,P479&gt;'Descriptive Statistics'!$H$18),"Potential Outlier","Within Range")</f>
        <v>Within Range</v>
      </c>
      <c r="R479" s="26" t="str">
        <f>IF(OR(G479&lt;'Descriptive Statistics'!$I$17,G479&gt;'Descriptive Statistics'!$I$18),"Potential Outlier","Within Range")</f>
        <v>Within Range</v>
      </c>
      <c r="S479" s="26" t="str">
        <f>IF(OR(H479&lt;'Descriptive Statistics'!$J$17,H479&gt;'Descriptive Statistics'!$J$18),"Potential Outlier","Within Range")</f>
        <v>Within Range</v>
      </c>
    </row>
    <row r="480" hidden="1" spans="1:19">
      <c r="A480" t="s">
        <v>1844</v>
      </c>
      <c r="B480" s="23">
        <v>45597</v>
      </c>
      <c r="C480" s="23" t="str">
        <f t="shared" si="14"/>
        <v>Nov</v>
      </c>
      <c r="D480" s="23" t="str">
        <f t="shared" si="15"/>
        <v>2024</v>
      </c>
      <c r="E480" t="s">
        <v>1845</v>
      </c>
      <c r="F480" s="24" t="s">
        <v>32</v>
      </c>
      <c r="G480" s="17">
        <v>3</v>
      </c>
      <c r="H480" s="19">
        <v>62.77</v>
      </c>
      <c r="I480" t="s">
        <v>105</v>
      </c>
      <c r="J480" s="24" t="s">
        <v>60</v>
      </c>
      <c r="K480" s="24" t="s">
        <v>19</v>
      </c>
      <c r="L480" t="s">
        <v>1846</v>
      </c>
      <c r="M480" s="17">
        <v>6</v>
      </c>
      <c r="N480" t="s">
        <v>37</v>
      </c>
      <c r="O480" s="24" t="s">
        <v>29</v>
      </c>
      <c r="P480" s="19">
        <v>188.31</v>
      </c>
      <c r="Q480" s="26" t="str">
        <f>IF(OR(P480&lt;'Descriptive Statistics'!$H$17,P480&gt;'Descriptive Statistics'!$H$18),"Potential Outlier","Within Range")</f>
        <v>Within Range</v>
      </c>
      <c r="R480" s="26" t="str">
        <f>IF(OR(G480&lt;'Descriptive Statistics'!$I$17,G480&gt;'Descriptive Statistics'!$I$18),"Potential Outlier","Within Range")</f>
        <v>Within Range</v>
      </c>
      <c r="S480" s="26" t="str">
        <f>IF(OR(H480&lt;'Descriptive Statistics'!$J$17,H480&gt;'Descriptive Statistics'!$J$18),"Potential Outlier","Within Range")</f>
        <v>Within Range</v>
      </c>
    </row>
    <row r="481" hidden="1" spans="1:19">
      <c r="A481" t="s">
        <v>1847</v>
      </c>
      <c r="B481" s="23">
        <v>44975</v>
      </c>
      <c r="C481" s="23" t="str">
        <f t="shared" si="14"/>
        <v>Feb</v>
      </c>
      <c r="D481" s="23" t="str">
        <f t="shared" si="15"/>
        <v>2023</v>
      </c>
      <c r="E481" t="s">
        <v>1848</v>
      </c>
      <c r="F481" s="24" t="s">
        <v>16</v>
      </c>
      <c r="G481" s="17">
        <v>4</v>
      </c>
      <c r="H481" s="19">
        <v>25.29</v>
      </c>
      <c r="I481" t="s">
        <v>1849</v>
      </c>
      <c r="J481" s="24" t="s">
        <v>34</v>
      </c>
      <c r="K481" s="24" t="s">
        <v>89</v>
      </c>
      <c r="L481" t="s">
        <v>1850</v>
      </c>
      <c r="M481" s="17">
        <v>8</v>
      </c>
      <c r="N481" t="s">
        <v>4295</v>
      </c>
      <c r="O481" s="24" t="s">
        <v>76</v>
      </c>
      <c r="P481" s="19">
        <v>101.16</v>
      </c>
      <c r="Q481" s="26" t="str">
        <f>IF(OR(P481&lt;'Descriptive Statistics'!$H$17,P481&gt;'Descriptive Statistics'!$H$18),"Potential Outlier","Within Range")</f>
        <v>Within Range</v>
      </c>
      <c r="R481" s="26" t="str">
        <f>IF(OR(G481&lt;'Descriptive Statistics'!$I$17,G481&gt;'Descriptive Statistics'!$I$18),"Potential Outlier","Within Range")</f>
        <v>Within Range</v>
      </c>
      <c r="S481" s="26" t="str">
        <f>IF(OR(H481&lt;'Descriptive Statistics'!$J$17,H481&gt;'Descriptive Statistics'!$J$18),"Potential Outlier","Within Range")</f>
        <v>Within Range</v>
      </c>
    </row>
    <row r="482" hidden="1" spans="1:19">
      <c r="A482" t="s">
        <v>1851</v>
      </c>
      <c r="B482" s="23">
        <v>45093</v>
      </c>
      <c r="C482" s="23" t="str">
        <f t="shared" si="14"/>
        <v>Jun</v>
      </c>
      <c r="D482" s="23" t="str">
        <f t="shared" si="15"/>
        <v>2023</v>
      </c>
      <c r="E482" t="s">
        <v>1852</v>
      </c>
      <c r="F482" s="24" t="s">
        <v>41</v>
      </c>
      <c r="G482" s="17">
        <v>1</v>
      </c>
      <c r="H482" s="19">
        <v>335.1</v>
      </c>
      <c r="I482" t="s">
        <v>458</v>
      </c>
      <c r="J482" s="24" t="s">
        <v>18</v>
      </c>
      <c r="K482" s="24" t="s">
        <v>89</v>
      </c>
      <c r="L482" t="s">
        <v>1853</v>
      </c>
      <c r="M482" s="17">
        <v>6</v>
      </c>
      <c r="N482" t="s">
        <v>37</v>
      </c>
      <c r="O482" s="24" t="s">
        <v>29</v>
      </c>
      <c r="P482" s="19">
        <v>335.1</v>
      </c>
      <c r="Q482" s="26" t="str">
        <f>IF(OR(P482&lt;'Descriptive Statistics'!$H$17,P482&gt;'Descriptive Statistics'!$H$18),"Potential Outlier","Within Range")</f>
        <v>Within Range</v>
      </c>
      <c r="R482" s="26" t="str">
        <f>IF(OR(G482&lt;'Descriptive Statistics'!$I$17,G482&gt;'Descriptive Statistics'!$I$18),"Potential Outlier","Within Range")</f>
        <v>Within Range</v>
      </c>
      <c r="S482" s="26" t="str">
        <f>IF(OR(H482&lt;'Descriptive Statistics'!$J$17,H482&gt;'Descriptive Statistics'!$J$18),"Potential Outlier","Within Range")</f>
        <v>Within Range</v>
      </c>
    </row>
    <row r="483" hidden="1" spans="1:19">
      <c r="A483" t="s">
        <v>1854</v>
      </c>
      <c r="B483" s="23">
        <v>45039</v>
      </c>
      <c r="C483" s="23" t="str">
        <f t="shared" si="14"/>
        <v>Apr</v>
      </c>
      <c r="D483" s="23" t="str">
        <f t="shared" si="15"/>
        <v>2023</v>
      </c>
      <c r="E483" t="s">
        <v>1855</v>
      </c>
      <c r="F483" s="24" t="s">
        <v>58</v>
      </c>
      <c r="G483" s="17">
        <v>4</v>
      </c>
      <c r="H483" s="19">
        <v>484.85</v>
      </c>
      <c r="I483" t="s">
        <v>866</v>
      </c>
      <c r="J483" s="24" t="s">
        <v>18</v>
      </c>
      <c r="K483" s="24" t="s">
        <v>50</v>
      </c>
      <c r="L483" t="s">
        <v>1856</v>
      </c>
      <c r="M483" s="17">
        <v>5</v>
      </c>
      <c r="N483" t="s">
        <v>81</v>
      </c>
      <c r="O483" s="24" t="s">
        <v>29</v>
      </c>
      <c r="P483" s="19">
        <v>1939.4</v>
      </c>
      <c r="Q483" s="26" t="str">
        <f>IF(OR(P483&lt;'Descriptive Statistics'!$H$17,P483&gt;'Descriptive Statistics'!$H$18),"Potential Outlier","Within Range")</f>
        <v>Within Range</v>
      </c>
      <c r="R483" s="26" t="str">
        <f>IF(OR(G483&lt;'Descriptive Statistics'!$I$17,G483&gt;'Descriptive Statistics'!$I$18),"Potential Outlier","Within Range")</f>
        <v>Within Range</v>
      </c>
      <c r="S483" s="26" t="str">
        <f>IF(OR(H483&lt;'Descriptive Statistics'!$J$17,H483&gt;'Descriptive Statistics'!$J$18),"Potential Outlier","Within Range")</f>
        <v>Within Range</v>
      </c>
    </row>
    <row r="484" hidden="1" spans="1:19">
      <c r="A484" t="s">
        <v>1857</v>
      </c>
      <c r="B484" s="23">
        <v>45718</v>
      </c>
      <c r="C484" s="23" t="str">
        <f t="shared" si="14"/>
        <v>Mar</v>
      </c>
      <c r="D484" s="23" t="str">
        <f t="shared" si="15"/>
        <v>2025</v>
      </c>
      <c r="E484" t="s">
        <v>1858</v>
      </c>
      <c r="F484" s="24" t="s">
        <v>16</v>
      </c>
      <c r="G484" s="17">
        <v>3</v>
      </c>
      <c r="H484" s="19">
        <v>381.41</v>
      </c>
      <c r="I484" t="s">
        <v>367</v>
      </c>
      <c r="J484" s="24" t="s">
        <v>27</v>
      </c>
      <c r="K484" s="24" t="s">
        <v>89</v>
      </c>
      <c r="L484" t="s">
        <v>1859</v>
      </c>
      <c r="M484" s="17">
        <v>6</v>
      </c>
      <c r="N484" t="s">
        <v>4295</v>
      </c>
      <c r="O484" s="24" t="s">
        <v>22</v>
      </c>
      <c r="P484" s="19">
        <v>1144.23</v>
      </c>
      <c r="Q484" s="26" t="str">
        <f>IF(OR(P484&lt;'Descriptive Statistics'!$H$17,P484&gt;'Descriptive Statistics'!$H$18),"Potential Outlier","Within Range")</f>
        <v>Within Range</v>
      </c>
      <c r="R484" s="26" t="str">
        <f>IF(OR(G484&lt;'Descriptive Statistics'!$I$17,G484&gt;'Descriptive Statistics'!$I$18),"Potential Outlier","Within Range")</f>
        <v>Within Range</v>
      </c>
      <c r="S484" s="26" t="str">
        <f>IF(OR(H484&lt;'Descriptive Statistics'!$J$17,H484&gt;'Descriptive Statistics'!$J$18),"Potential Outlier","Within Range")</f>
        <v>Within Range</v>
      </c>
    </row>
    <row r="485" hidden="1" spans="1:19">
      <c r="A485" t="s">
        <v>1860</v>
      </c>
      <c r="B485" s="23">
        <v>44944</v>
      </c>
      <c r="C485" s="23" t="str">
        <f t="shared" si="14"/>
        <v>Jan</v>
      </c>
      <c r="D485" s="23" t="str">
        <f t="shared" si="15"/>
        <v>2023</v>
      </c>
      <c r="E485" t="s">
        <v>1861</v>
      </c>
      <c r="F485" s="24" t="s">
        <v>25</v>
      </c>
      <c r="G485" s="17">
        <v>5</v>
      </c>
      <c r="H485" s="19">
        <v>347.92</v>
      </c>
      <c r="I485" t="s">
        <v>1862</v>
      </c>
      <c r="J485" s="24" t="s">
        <v>65</v>
      </c>
      <c r="K485" s="24" t="s">
        <v>89</v>
      </c>
      <c r="L485" t="s">
        <v>1863</v>
      </c>
      <c r="M485" s="17">
        <v>6</v>
      </c>
      <c r="N485" t="s">
        <v>81</v>
      </c>
      <c r="O485" s="24" t="s">
        <v>76</v>
      </c>
      <c r="P485" s="19">
        <v>1739.6</v>
      </c>
      <c r="Q485" s="26" t="str">
        <f>IF(OR(P485&lt;'Descriptive Statistics'!$H$17,P485&gt;'Descriptive Statistics'!$H$18),"Potential Outlier","Within Range")</f>
        <v>Within Range</v>
      </c>
      <c r="R485" s="26" t="str">
        <f>IF(OR(G485&lt;'Descriptive Statistics'!$I$17,G485&gt;'Descriptive Statistics'!$I$18),"Potential Outlier","Within Range")</f>
        <v>Within Range</v>
      </c>
      <c r="S485" s="26" t="str">
        <f>IF(OR(H485&lt;'Descriptive Statistics'!$J$17,H485&gt;'Descriptive Statistics'!$J$18),"Potential Outlier","Within Range")</f>
        <v>Within Range</v>
      </c>
    </row>
    <row r="486" hidden="1" spans="1:19">
      <c r="A486" t="s">
        <v>1864</v>
      </c>
      <c r="B486" s="23">
        <v>45441</v>
      </c>
      <c r="C486" s="23" t="str">
        <f t="shared" si="14"/>
        <v>May</v>
      </c>
      <c r="D486" s="23" t="str">
        <f t="shared" si="15"/>
        <v>2024</v>
      </c>
      <c r="E486" t="s">
        <v>1865</v>
      </c>
      <c r="F486" s="24" t="s">
        <v>41</v>
      </c>
      <c r="G486" s="17">
        <v>4</v>
      </c>
      <c r="H486" s="19">
        <v>15.01</v>
      </c>
      <c r="I486" t="s">
        <v>1594</v>
      </c>
      <c r="J486" s="24" t="s">
        <v>65</v>
      </c>
      <c r="K486" s="24" t="s">
        <v>35</v>
      </c>
      <c r="L486" t="s">
        <v>1866</v>
      </c>
      <c r="M486" s="17">
        <v>6</v>
      </c>
      <c r="N486" t="s">
        <v>4295</v>
      </c>
      <c r="O486" s="24" t="s">
        <v>45</v>
      </c>
      <c r="P486" s="19">
        <v>60.04</v>
      </c>
      <c r="Q486" s="26" t="str">
        <f>IF(OR(P486&lt;'Descriptive Statistics'!$H$17,P486&gt;'Descriptive Statistics'!$H$18),"Potential Outlier","Within Range")</f>
        <v>Within Range</v>
      </c>
      <c r="R486" s="26" t="str">
        <f>IF(OR(G486&lt;'Descriptive Statistics'!$I$17,G486&gt;'Descriptive Statistics'!$I$18),"Potential Outlier","Within Range")</f>
        <v>Within Range</v>
      </c>
      <c r="S486" s="26" t="str">
        <f>IF(OR(H486&lt;'Descriptive Statistics'!$J$17,H486&gt;'Descriptive Statistics'!$J$18),"Potential Outlier","Within Range")</f>
        <v>Within Range</v>
      </c>
    </row>
    <row r="487" hidden="1" spans="1:19">
      <c r="A487" t="s">
        <v>1867</v>
      </c>
      <c r="B487" s="23">
        <v>45139</v>
      </c>
      <c r="C487" s="23" t="str">
        <f t="shared" si="14"/>
        <v>Aug</v>
      </c>
      <c r="D487" s="23" t="str">
        <f t="shared" si="15"/>
        <v>2023</v>
      </c>
      <c r="E487" t="s">
        <v>1868</v>
      </c>
      <c r="F487" s="24" t="s">
        <v>41</v>
      </c>
      <c r="G487" s="17">
        <v>3</v>
      </c>
      <c r="H487" s="19">
        <v>404.79</v>
      </c>
      <c r="I487" t="s">
        <v>1869</v>
      </c>
      <c r="J487" s="24" t="s">
        <v>65</v>
      </c>
      <c r="K487" s="24" t="s">
        <v>19</v>
      </c>
      <c r="L487" t="s">
        <v>1870</v>
      </c>
      <c r="M487" s="17">
        <v>6</v>
      </c>
      <c r="N487" t="s">
        <v>21</v>
      </c>
      <c r="O487" s="24" t="s">
        <v>22</v>
      </c>
      <c r="P487" s="19">
        <v>1214.37</v>
      </c>
      <c r="Q487" s="26" t="str">
        <f>IF(OR(P487&lt;'Descriptive Statistics'!$H$17,P487&gt;'Descriptive Statistics'!$H$18),"Potential Outlier","Within Range")</f>
        <v>Within Range</v>
      </c>
      <c r="R487" s="26" t="str">
        <f>IF(OR(G487&lt;'Descriptive Statistics'!$I$17,G487&gt;'Descriptive Statistics'!$I$18),"Potential Outlier","Within Range")</f>
        <v>Within Range</v>
      </c>
      <c r="S487" s="26" t="str">
        <f>IF(OR(H487&lt;'Descriptive Statistics'!$J$17,H487&gt;'Descriptive Statistics'!$J$18),"Potential Outlier","Within Range")</f>
        <v>Within Range</v>
      </c>
    </row>
    <row r="488" hidden="1" spans="1:19">
      <c r="A488" t="s">
        <v>1871</v>
      </c>
      <c r="B488" s="23">
        <v>44960</v>
      </c>
      <c r="C488" s="23" t="str">
        <f t="shared" si="14"/>
        <v>Feb</v>
      </c>
      <c r="D488" s="23" t="str">
        <f t="shared" si="15"/>
        <v>2023</v>
      </c>
      <c r="E488" t="s">
        <v>1872</v>
      </c>
      <c r="F488" s="24" t="s">
        <v>48</v>
      </c>
      <c r="G488" s="17">
        <v>4</v>
      </c>
      <c r="H488" s="19">
        <v>611.26</v>
      </c>
      <c r="I488" t="s">
        <v>1525</v>
      </c>
      <c r="J488" s="24" t="s">
        <v>65</v>
      </c>
      <c r="K488" s="24" t="s">
        <v>19</v>
      </c>
      <c r="L488" t="s">
        <v>1873</v>
      </c>
      <c r="M488" s="17">
        <v>5</v>
      </c>
      <c r="N488" t="s">
        <v>21</v>
      </c>
      <c r="O488" s="24" t="s">
        <v>29</v>
      </c>
      <c r="P488" s="19">
        <v>2445.04</v>
      </c>
      <c r="Q488" s="26" t="str">
        <f>IF(OR(P488&lt;'Descriptive Statistics'!$H$17,P488&gt;'Descriptive Statistics'!$H$18),"Potential Outlier","Within Range")</f>
        <v>Within Range</v>
      </c>
      <c r="R488" s="26" t="str">
        <f>IF(OR(G488&lt;'Descriptive Statistics'!$I$17,G488&gt;'Descriptive Statistics'!$I$18),"Potential Outlier","Within Range")</f>
        <v>Within Range</v>
      </c>
      <c r="S488" s="26" t="str">
        <f>IF(OR(H488&lt;'Descriptive Statistics'!$J$17,H488&gt;'Descriptive Statistics'!$J$18),"Potential Outlier","Within Range")</f>
        <v>Within Range</v>
      </c>
    </row>
    <row r="489" hidden="1" spans="1:19">
      <c r="A489" t="s">
        <v>1874</v>
      </c>
      <c r="B489" s="23">
        <v>44994</v>
      </c>
      <c r="C489" s="23" t="str">
        <f t="shared" si="14"/>
        <v>Mar</v>
      </c>
      <c r="D489" s="23" t="str">
        <f t="shared" si="15"/>
        <v>2023</v>
      </c>
      <c r="E489" t="s">
        <v>1875</v>
      </c>
      <c r="F489" s="24" t="s">
        <v>48</v>
      </c>
      <c r="G489" s="17">
        <v>3</v>
      </c>
      <c r="H489" s="19">
        <v>346.52</v>
      </c>
      <c r="I489" t="s">
        <v>1876</v>
      </c>
      <c r="J489" s="24" t="s">
        <v>34</v>
      </c>
      <c r="K489" s="24" t="s">
        <v>89</v>
      </c>
      <c r="L489" t="s">
        <v>1877</v>
      </c>
      <c r="M489" s="17">
        <v>3</v>
      </c>
      <c r="N489" t="s">
        <v>21</v>
      </c>
      <c r="O489" s="24" t="s">
        <v>76</v>
      </c>
      <c r="P489" s="19">
        <v>1039.56</v>
      </c>
      <c r="Q489" s="26" t="str">
        <f>IF(OR(P489&lt;'Descriptive Statistics'!$H$17,P489&gt;'Descriptive Statistics'!$H$18),"Potential Outlier","Within Range")</f>
        <v>Within Range</v>
      </c>
      <c r="R489" s="26" t="str">
        <f>IF(OR(G489&lt;'Descriptive Statistics'!$I$17,G489&gt;'Descriptive Statistics'!$I$18),"Potential Outlier","Within Range")</f>
        <v>Within Range</v>
      </c>
      <c r="S489" s="26" t="str">
        <f>IF(OR(H489&lt;'Descriptive Statistics'!$J$17,H489&gt;'Descriptive Statistics'!$J$18),"Potential Outlier","Within Range")</f>
        <v>Within Range</v>
      </c>
    </row>
    <row r="490" hidden="1" spans="1:19">
      <c r="A490" t="s">
        <v>1878</v>
      </c>
      <c r="B490" s="23">
        <v>45631</v>
      </c>
      <c r="C490" s="23" t="str">
        <f t="shared" si="14"/>
        <v>Dec</v>
      </c>
      <c r="D490" s="23" t="str">
        <f t="shared" si="15"/>
        <v>2024</v>
      </c>
      <c r="E490" t="s">
        <v>1879</v>
      </c>
      <c r="F490" s="24" t="s">
        <v>41</v>
      </c>
      <c r="G490" s="17">
        <v>1</v>
      </c>
      <c r="H490" s="19">
        <v>36.65</v>
      </c>
      <c r="I490" t="s">
        <v>1880</v>
      </c>
      <c r="J490" s="24" t="s">
        <v>27</v>
      </c>
      <c r="K490" s="24" t="s">
        <v>35</v>
      </c>
      <c r="L490" t="s">
        <v>1881</v>
      </c>
      <c r="M490" s="17">
        <v>1</v>
      </c>
      <c r="N490" t="s">
        <v>81</v>
      </c>
      <c r="O490" s="24" t="s">
        <v>38</v>
      </c>
      <c r="P490" s="19">
        <v>36.65</v>
      </c>
      <c r="Q490" s="26" t="str">
        <f>IF(OR(P490&lt;'Descriptive Statistics'!$H$17,P490&gt;'Descriptive Statistics'!$H$18),"Potential Outlier","Within Range")</f>
        <v>Within Range</v>
      </c>
      <c r="R490" s="26" t="str">
        <f>IF(OR(G490&lt;'Descriptive Statistics'!$I$17,G490&gt;'Descriptive Statistics'!$I$18),"Potential Outlier","Within Range")</f>
        <v>Within Range</v>
      </c>
      <c r="S490" s="26" t="str">
        <f>IF(OR(H490&lt;'Descriptive Statistics'!$J$17,H490&gt;'Descriptive Statistics'!$J$18),"Potential Outlier","Within Range")</f>
        <v>Within Range</v>
      </c>
    </row>
    <row r="491" hidden="1" spans="1:19">
      <c r="A491" t="s">
        <v>1882</v>
      </c>
      <c r="B491" s="23">
        <v>45174</v>
      </c>
      <c r="C491" s="23" t="str">
        <f t="shared" si="14"/>
        <v>Sep</v>
      </c>
      <c r="D491" s="23" t="str">
        <f t="shared" si="15"/>
        <v>2023</v>
      </c>
      <c r="E491" t="s">
        <v>1883</v>
      </c>
      <c r="F491" s="24" t="s">
        <v>32</v>
      </c>
      <c r="G491" s="17">
        <v>3</v>
      </c>
      <c r="H491" s="19">
        <v>149.34</v>
      </c>
      <c r="I491" t="s">
        <v>1066</v>
      </c>
      <c r="J491" s="24" t="s">
        <v>60</v>
      </c>
      <c r="K491" s="24" t="s">
        <v>35</v>
      </c>
      <c r="L491" t="s">
        <v>1884</v>
      </c>
      <c r="M491" s="17">
        <v>7</v>
      </c>
      <c r="N491" t="s">
        <v>81</v>
      </c>
      <c r="O491" s="24" t="s">
        <v>38</v>
      </c>
      <c r="P491" s="19">
        <v>448.02</v>
      </c>
      <c r="Q491" s="26" t="str">
        <f>IF(OR(P491&lt;'Descriptive Statistics'!$H$17,P491&gt;'Descriptive Statistics'!$H$18),"Potential Outlier","Within Range")</f>
        <v>Within Range</v>
      </c>
      <c r="R491" s="26" t="str">
        <f>IF(OR(G491&lt;'Descriptive Statistics'!$I$17,G491&gt;'Descriptive Statistics'!$I$18),"Potential Outlier","Within Range")</f>
        <v>Within Range</v>
      </c>
      <c r="S491" s="26" t="str">
        <f>IF(OR(H491&lt;'Descriptive Statistics'!$J$17,H491&gt;'Descriptive Statistics'!$J$18),"Potential Outlier","Within Range")</f>
        <v>Within Range</v>
      </c>
    </row>
    <row r="492" hidden="1" spans="1:19">
      <c r="A492" t="s">
        <v>1885</v>
      </c>
      <c r="B492" s="23">
        <v>45495</v>
      </c>
      <c r="C492" s="23" t="str">
        <f t="shared" si="14"/>
        <v>Jul</v>
      </c>
      <c r="D492" s="23" t="str">
        <f t="shared" si="15"/>
        <v>2024</v>
      </c>
      <c r="E492" t="s">
        <v>1886</v>
      </c>
      <c r="F492" s="24" t="s">
        <v>41</v>
      </c>
      <c r="G492" s="17">
        <v>5</v>
      </c>
      <c r="H492" s="19">
        <v>467.81</v>
      </c>
      <c r="I492" t="s">
        <v>1887</v>
      </c>
      <c r="J492" s="24" t="s">
        <v>27</v>
      </c>
      <c r="K492" s="24" t="s">
        <v>35</v>
      </c>
      <c r="L492" t="s">
        <v>1888</v>
      </c>
      <c r="M492" s="17">
        <v>10</v>
      </c>
      <c r="N492" t="s">
        <v>4295</v>
      </c>
      <c r="O492" s="24" t="s">
        <v>45</v>
      </c>
      <c r="P492" s="19">
        <v>2339.05</v>
      </c>
      <c r="Q492" s="26" t="str">
        <f>IF(OR(P492&lt;'Descriptive Statistics'!$H$17,P492&gt;'Descriptive Statistics'!$H$18),"Potential Outlier","Within Range")</f>
        <v>Within Range</v>
      </c>
      <c r="R492" s="26" t="str">
        <f>IF(OR(G492&lt;'Descriptive Statistics'!$I$17,G492&gt;'Descriptive Statistics'!$I$18),"Potential Outlier","Within Range")</f>
        <v>Within Range</v>
      </c>
      <c r="S492" s="26" t="str">
        <f>IF(OR(H492&lt;'Descriptive Statistics'!$J$17,H492&gt;'Descriptive Statistics'!$J$18),"Potential Outlier","Within Range")</f>
        <v>Within Range</v>
      </c>
    </row>
    <row r="493" hidden="1" spans="1:19">
      <c r="A493" t="s">
        <v>1889</v>
      </c>
      <c r="B493" s="23">
        <v>44931</v>
      </c>
      <c r="C493" s="23" t="str">
        <f t="shared" si="14"/>
        <v>Jan</v>
      </c>
      <c r="D493" s="23" t="str">
        <f t="shared" si="15"/>
        <v>2023</v>
      </c>
      <c r="E493" t="s">
        <v>1890</v>
      </c>
      <c r="F493" s="24" t="s">
        <v>25</v>
      </c>
      <c r="G493" s="17">
        <v>5</v>
      </c>
      <c r="H493" s="19">
        <v>420.7</v>
      </c>
      <c r="I493" t="s">
        <v>1842</v>
      </c>
      <c r="J493" s="24" t="s">
        <v>65</v>
      </c>
      <c r="K493" s="24" t="s">
        <v>89</v>
      </c>
      <c r="L493" t="s">
        <v>1891</v>
      </c>
      <c r="M493" s="17">
        <v>5</v>
      </c>
      <c r="N493" t="s">
        <v>81</v>
      </c>
      <c r="O493" s="24" t="s">
        <v>45</v>
      </c>
      <c r="P493" s="19">
        <v>2103.5</v>
      </c>
      <c r="Q493" s="26" t="str">
        <f>IF(OR(P493&lt;'Descriptive Statistics'!$H$17,P493&gt;'Descriptive Statistics'!$H$18),"Potential Outlier","Within Range")</f>
        <v>Within Range</v>
      </c>
      <c r="R493" s="26" t="str">
        <f>IF(OR(G493&lt;'Descriptive Statistics'!$I$17,G493&gt;'Descriptive Statistics'!$I$18),"Potential Outlier","Within Range")</f>
        <v>Within Range</v>
      </c>
      <c r="S493" s="26" t="str">
        <f>IF(OR(H493&lt;'Descriptive Statistics'!$J$17,H493&gt;'Descriptive Statistics'!$J$18),"Potential Outlier","Within Range")</f>
        <v>Within Range</v>
      </c>
    </row>
    <row r="494" hidden="1" spans="1:19">
      <c r="A494" t="s">
        <v>1892</v>
      </c>
      <c r="B494" s="23">
        <v>45224</v>
      </c>
      <c r="C494" s="23" t="str">
        <f t="shared" si="14"/>
        <v>Oct</v>
      </c>
      <c r="D494" s="23" t="str">
        <f t="shared" si="15"/>
        <v>2023</v>
      </c>
      <c r="E494" t="s">
        <v>1893</v>
      </c>
      <c r="F494" s="24" t="s">
        <v>58</v>
      </c>
      <c r="G494" s="17">
        <v>5</v>
      </c>
      <c r="H494" s="19">
        <v>606.52</v>
      </c>
      <c r="I494" t="s">
        <v>351</v>
      </c>
      <c r="J494" s="24" t="s">
        <v>18</v>
      </c>
      <c r="K494" s="24" t="s">
        <v>19</v>
      </c>
      <c r="L494" t="s">
        <v>1894</v>
      </c>
      <c r="M494" s="17">
        <v>6</v>
      </c>
      <c r="N494" t="s">
        <v>21</v>
      </c>
      <c r="O494" s="24" t="s">
        <v>22</v>
      </c>
      <c r="P494" s="19">
        <v>3032.6</v>
      </c>
      <c r="Q494" s="26" t="str">
        <f>IF(OR(P494&lt;'Descriptive Statistics'!$H$17,P494&gt;'Descriptive Statistics'!$H$18),"Potential Outlier","Within Range")</f>
        <v>Within Range</v>
      </c>
      <c r="R494" s="26" t="str">
        <f>IF(OR(G494&lt;'Descriptive Statistics'!$I$17,G494&gt;'Descriptive Statistics'!$I$18),"Potential Outlier","Within Range")</f>
        <v>Within Range</v>
      </c>
      <c r="S494" s="26" t="str">
        <f>IF(OR(H494&lt;'Descriptive Statistics'!$J$17,H494&gt;'Descriptive Statistics'!$J$18),"Potential Outlier","Within Range")</f>
        <v>Within Range</v>
      </c>
    </row>
    <row r="495" hidden="1" spans="1:19">
      <c r="A495" t="s">
        <v>1895</v>
      </c>
      <c r="B495" s="23">
        <v>45685</v>
      </c>
      <c r="C495" s="23" t="str">
        <f t="shared" si="14"/>
        <v>Jan</v>
      </c>
      <c r="D495" s="23" t="str">
        <f t="shared" si="15"/>
        <v>2025</v>
      </c>
      <c r="E495" t="s">
        <v>1896</v>
      </c>
      <c r="F495" s="24" t="s">
        <v>25</v>
      </c>
      <c r="G495" s="17">
        <v>1</v>
      </c>
      <c r="H495" s="19">
        <v>420.26</v>
      </c>
      <c r="I495" t="s">
        <v>1897</v>
      </c>
      <c r="J495" s="24" t="s">
        <v>34</v>
      </c>
      <c r="K495" s="24" t="s">
        <v>89</v>
      </c>
      <c r="L495" t="s">
        <v>1898</v>
      </c>
      <c r="M495" s="17">
        <v>4</v>
      </c>
      <c r="N495" t="s">
        <v>37</v>
      </c>
      <c r="O495" s="24" t="s">
        <v>45</v>
      </c>
      <c r="P495" s="19">
        <v>420.26</v>
      </c>
      <c r="Q495" s="26" t="str">
        <f>IF(OR(P495&lt;'Descriptive Statistics'!$H$17,P495&gt;'Descriptive Statistics'!$H$18),"Potential Outlier","Within Range")</f>
        <v>Within Range</v>
      </c>
      <c r="R495" s="26" t="str">
        <f>IF(OR(G495&lt;'Descriptive Statistics'!$I$17,G495&gt;'Descriptive Statistics'!$I$18),"Potential Outlier","Within Range")</f>
        <v>Within Range</v>
      </c>
      <c r="S495" s="26" t="str">
        <f>IF(OR(H495&lt;'Descriptive Statistics'!$J$17,H495&gt;'Descriptive Statistics'!$J$18),"Potential Outlier","Within Range")</f>
        <v>Within Range</v>
      </c>
    </row>
    <row r="496" hidden="1" spans="1:19">
      <c r="A496" t="s">
        <v>1899</v>
      </c>
      <c r="B496" s="23">
        <v>45126</v>
      </c>
      <c r="C496" s="23" t="str">
        <f t="shared" si="14"/>
        <v>Jul</v>
      </c>
      <c r="D496" s="23" t="str">
        <f t="shared" si="15"/>
        <v>2023</v>
      </c>
      <c r="E496" t="s">
        <v>1900</v>
      </c>
      <c r="F496" s="24" t="s">
        <v>58</v>
      </c>
      <c r="G496" s="17">
        <v>3</v>
      </c>
      <c r="H496" s="19">
        <v>505.79</v>
      </c>
      <c r="I496" t="s">
        <v>1901</v>
      </c>
      <c r="J496" s="24" t="s">
        <v>18</v>
      </c>
      <c r="K496" s="24" t="s">
        <v>89</v>
      </c>
      <c r="L496" t="s">
        <v>1902</v>
      </c>
      <c r="M496" s="17">
        <v>3</v>
      </c>
      <c r="N496" t="s">
        <v>37</v>
      </c>
      <c r="O496" s="24" t="s">
        <v>29</v>
      </c>
      <c r="P496" s="19">
        <v>1517.37</v>
      </c>
      <c r="Q496" s="26" t="str">
        <f>IF(OR(P496&lt;'Descriptive Statistics'!$H$17,P496&gt;'Descriptive Statistics'!$H$18),"Potential Outlier","Within Range")</f>
        <v>Within Range</v>
      </c>
      <c r="R496" s="26" t="str">
        <f>IF(OR(G496&lt;'Descriptive Statistics'!$I$17,G496&gt;'Descriptive Statistics'!$I$18),"Potential Outlier","Within Range")</f>
        <v>Within Range</v>
      </c>
      <c r="S496" s="26" t="str">
        <f>IF(OR(H496&lt;'Descriptive Statistics'!$J$17,H496&gt;'Descriptive Statistics'!$J$18),"Potential Outlier","Within Range")</f>
        <v>Within Range</v>
      </c>
    </row>
    <row r="497" hidden="1" spans="1:19">
      <c r="A497" t="s">
        <v>1903</v>
      </c>
      <c r="B497" s="23">
        <v>45813</v>
      </c>
      <c r="C497" s="23" t="str">
        <f t="shared" si="14"/>
        <v>Jun</v>
      </c>
      <c r="D497" s="23" t="str">
        <f t="shared" si="15"/>
        <v>2025</v>
      </c>
      <c r="E497" t="s">
        <v>1904</v>
      </c>
      <c r="F497" s="24" t="s">
        <v>25</v>
      </c>
      <c r="G497" s="17">
        <v>4</v>
      </c>
      <c r="H497" s="19">
        <v>493.73</v>
      </c>
      <c r="I497" t="s">
        <v>634</v>
      </c>
      <c r="J497" s="24" t="s">
        <v>18</v>
      </c>
      <c r="K497" s="24" t="s">
        <v>89</v>
      </c>
      <c r="L497" t="s">
        <v>1905</v>
      </c>
      <c r="M497" s="17">
        <v>6</v>
      </c>
      <c r="N497" t="s">
        <v>21</v>
      </c>
      <c r="O497" s="24" t="s">
        <v>45</v>
      </c>
      <c r="P497" s="19">
        <v>1974.92</v>
      </c>
      <c r="Q497" s="26" t="str">
        <f>IF(OR(P497&lt;'Descriptive Statistics'!$H$17,P497&gt;'Descriptive Statistics'!$H$18),"Potential Outlier","Within Range")</f>
        <v>Within Range</v>
      </c>
      <c r="R497" s="26" t="str">
        <f>IF(OR(G497&lt;'Descriptive Statistics'!$I$17,G497&gt;'Descriptive Statistics'!$I$18),"Potential Outlier","Within Range")</f>
        <v>Within Range</v>
      </c>
      <c r="S497" s="26" t="str">
        <f>IF(OR(H497&lt;'Descriptive Statistics'!$J$17,H497&gt;'Descriptive Statistics'!$J$18),"Potential Outlier","Within Range")</f>
        <v>Within Range</v>
      </c>
    </row>
    <row r="498" hidden="1" spans="1:19">
      <c r="A498" t="s">
        <v>1906</v>
      </c>
      <c r="B498" s="23">
        <v>45730</v>
      </c>
      <c r="C498" s="23" t="str">
        <f t="shared" si="14"/>
        <v>Mar</v>
      </c>
      <c r="D498" s="23" t="str">
        <f t="shared" si="15"/>
        <v>2025</v>
      </c>
      <c r="E498" t="s">
        <v>1907</v>
      </c>
      <c r="F498" s="24" t="s">
        <v>48</v>
      </c>
      <c r="G498" s="17">
        <v>3</v>
      </c>
      <c r="H498" s="19">
        <v>201.21</v>
      </c>
      <c r="I498" t="s">
        <v>1908</v>
      </c>
      <c r="J498" s="24" t="s">
        <v>27</v>
      </c>
      <c r="K498" s="24" t="s">
        <v>35</v>
      </c>
      <c r="L498" t="s">
        <v>1909</v>
      </c>
      <c r="M498" s="17">
        <v>3</v>
      </c>
      <c r="N498" t="s">
        <v>21</v>
      </c>
      <c r="O498" s="24" t="s">
        <v>76</v>
      </c>
      <c r="P498" s="19">
        <v>603.63</v>
      </c>
      <c r="Q498" s="26" t="str">
        <f>IF(OR(P498&lt;'Descriptive Statistics'!$H$17,P498&gt;'Descriptive Statistics'!$H$18),"Potential Outlier","Within Range")</f>
        <v>Within Range</v>
      </c>
      <c r="R498" s="26" t="str">
        <f>IF(OR(G498&lt;'Descriptive Statistics'!$I$17,G498&gt;'Descriptive Statistics'!$I$18),"Potential Outlier","Within Range")</f>
        <v>Within Range</v>
      </c>
      <c r="S498" s="26" t="str">
        <f>IF(OR(H498&lt;'Descriptive Statistics'!$J$17,H498&gt;'Descriptive Statistics'!$J$18),"Potential Outlier","Within Range")</f>
        <v>Within Range</v>
      </c>
    </row>
    <row r="499" hidden="1" spans="1:19">
      <c r="A499" t="s">
        <v>1910</v>
      </c>
      <c r="B499" s="23">
        <v>45589</v>
      </c>
      <c r="C499" s="23" t="str">
        <f t="shared" si="14"/>
        <v>Oct</v>
      </c>
      <c r="D499" s="23" t="str">
        <f t="shared" si="15"/>
        <v>2024</v>
      </c>
      <c r="E499" t="s">
        <v>1911</v>
      </c>
      <c r="F499" s="24" t="s">
        <v>48</v>
      </c>
      <c r="G499" s="17">
        <v>3</v>
      </c>
      <c r="H499" s="19">
        <v>112.29</v>
      </c>
      <c r="I499" t="s">
        <v>1912</v>
      </c>
      <c r="J499" s="24" t="s">
        <v>60</v>
      </c>
      <c r="K499" s="24" t="s">
        <v>19</v>
      </c>
      <c r="L499" t="s">
        <v>1913</v>
      </c>
      <c r="M499" s="17">
        <v>6</v>
      </c>
      <c r="N499" t="s">
        <v>4295</v>
      </c>
      <c r="O499" s="24" t="s">
        <v>76</v>
      </c>
      <c r="P499" s="19">
        <v>336.87</v>
      </c>
      <c r="Q499" s="26" t="str">
        <f>IF(OR(P499&lt;'Descriptive Statistics'!$H$17,P499&gt;'Descriptive Statistics'!$H$18),"Potential Outlier","Within Range")</f>
        <v>Within Range</v>
      </c>
      <c r="R499" s="26" t="str">
        <f>IF(OR(G499&lt;'Descriptive Statistics'!$I$17,G499&gt;'Descriptive Statistics'!$I$18),"Potential Outlier","Within Range")</f>
        <v>Within Range</v>
      </c>
      <c r="S499" s="26" t="str">
        <f>IF(OR(H499&lt;'Descriptive Statistics'!$J$17,H499&gt;'Descriptive Statistics'!$J$18),"Potential Outlier","Within Range")</f>
        <v>Within Range</v>
      </c>
    </row>
    <row r="500" hidden="1" spans="1:19">
      <c r="A500" t="s">
        <v>1914</v>
      </c>
      <c r="B500" s="23">
        <v>45119</v>
      </c>
      <c r="C500" s="23" t="str">
        <f t="shared" si="14"/>
        <v>Jul</v>
      </c>
      <c r="D500" s="23" t="str">
        <f t="shared" si="15"/>
        <v>2023</v>
      </c>
      <c r="E500" t="s">
        <v>1915</v>
      </c>
      <c r="F500" s="24" t="s">
        <v>32</v>
      </c>
      <c r="G500" s="17">
        <v>4</v>
      </c>
      <c r="H500" s="19">
        <v>132.56</v>
      </c>
      <c r="I500" t="s">
        <v>988</v>
      </c>
      <c r="J500" s="24" t="s">
        <v>65</v>
      </c>
      <c r="K500" s="24" t="s">
        <v>43</v>
      </c>
      <c r="L500" t="s">
        <v>1916</v>
      </c>
      <c r="M500" s="17">
        <v>8</v>
      </c>
      <c r="N500" t="s">
        <v>81</v>
      </c>
      <c r="O500" s="24" t="s">
        <v>22</v>
      </c>
      <c r="P500" s="19">
        <v>530.24</v>
      </c>
      <c r="Q500" s="26" t="str">
        <f>IF(OR(P500&lt;'Descriptive Statistics'!$H$17,P500&gt;'Descriptive Statistics'!$H$18),"Potential Outlier","Within Range")</f>
        <v>Within Range</v>
      </c>
      <c r="R500" s="26" t="str">
        <f>IF(OR(G500&lt;'Descriptive Statistics'!$I$17,G500&gt;'Descriptive Statistics'!$I$18),"Potential Outlier","Within Range")</f>
        <v>Within Range</v>
      </c>
      <c r="S500" s="26" t="str">
        <f>IF(OR(H500&lt;'Descriptive Statistics'!$J$17,H500&gt;'Descriptive Statistics'!$J$18),"Potential Outlier","Within Range")</f>
        <v>Within Range</v>
      </c>
    </row>
    <row r="501" hidden="1" spans="1:19">
      <c r="A501" t="s">
        <v>1917</v>
      </c>
      <c r="B501" s="23">
        <v>45022</v>
      </c>
      <c r="C501" s="23" t="str">
        <f t="shared" si="14"/>
        <v>Apr</v>
      </c>
      <c r="D501" s="23" t="str">
        <f t="shared" si="15"/>
        <v>2023</v>
      </c>
      <c r="E501" t="s">
        <v>1918</v>
      </c>
      <c r="F501" s="24" t="s">
        <v>48</v>
      </c>
      <c r="G501" s="17">
        <v>3</v>
      </c>
      <c r="H501" s="19">
        <v>539.46</v>
      </c>
      <c r="I501" t="s">
        <v>1919</v>
      </c>
      <c r="J501" s="24" t="s">
        <v>34</v>
      </c>
      <c r="K501" s="24" t="s">
        <v>19</v>
      </c>
      <c r="L501" t="s">
        <v>1920</v>
      </c>
      <c r="M501" s="17">
        <v>4</v>
      </c>
      <c r="N501" t="s">
        <v>21</v>
      </c>
      <c r="O501" s="24" t="s">
        <v>45</v>
      </c>
      <c r="P501" s="19">
        <v>1618.38</v>
      </c>
      <c r="Q501" s="26" t="str">
        <f>IF(OR(P501&lt;'Descriptive Statistics'!$H$17,P501&gt;'Descriptive Statistics'!$H$18),"Potential Outlier","Within Range")</f>
        <v>Within Range</v>
      </c>
      <c r="R501" s="26" t="str">
        <f>IF(OR(G501&lt;'Descriptive Statistics'!$I$17,G501&gt;'Descriptive Statistics'!$I$18),"Potential Outlier","Within Range")</f>
        <v>Within Range</v>
      </c>
      <c r="S501" s="26" t="str">
        <f>IF(OR(H501&lt;'Descriptive Statistics'!$J$17,H501&gt;'Descriptive Statistics'!$J$18),"Potential Outlier","Within Range")</f>
        <v>Within Range</v>
      </c>
    </row>
    <row r="502" hidden="1" spans="1:19">
      <c r="A502" t="s">
        <v>1921</v>
      </c>
      <c r="B502" s="23">
        <v>45389</v>
      </c>
      <c r="C502" s="23" t="str">
        <f t="shared" si="14"/>
        <v>Apr</v>
      </c>
      <c r="D502" s="23" t="str">
        <f t="shared" si="15"/>
        <v>2024</v>
      </c>
      <c r="E502" t="s">
        <v>1922</v>
      </c>
      <c r="F502" s="24" t="s">
        <v>58</v>
      </c>
      <c r="G502" s="17">
        <v>5</v>
      </c>
      <c r="H502" s="19">
        <v>508.59</v>
      </c>
      <c r="I502" t="s">
        <v>1923</v>
      </c>
      <c r="J502" s="24" t="s">
        <v>65</v>
      </c>
      <c r="K502" s="24" t="s">
        <v>43</v>
      </c>
      <c r="L502" t="s">
        <v>1924</v>
      </c>
      <c r="M502" s="17">
        <v>8</v>
      </c>
      <c r="N502" t="s">
        <v>81</v>
      </c>
      <c r="O502" s="24" t="s">
        <v>45</v>
      </c>
      <c r="P502" s="19">
        <v>2542.95</v>
      </c>
      <c r="Q502" s="26" t="str">
        <f>IF(OR(P502&lt;'Descriptive Statistics'!$H$17,P502&gt;'Descriptive Statistics'!$H$18),"Potential Outlier","Within Range")</f>
        <v>Within Range</v>
      </c>
      <c r="R502" s="26" t="str">
        <f>IF(OR(G502&lt;'Descriptive Statistics'!$I$17,G502&gt;'Descriptive Statistics'!$I$18),"Potential Outlier","Within Range")</f>
        <v>Within Range</v>
      </c>
      <c r="S502" s="26" t="str">
        <f>IF(OR(H502&lt;'Descriptive Statistics'!$J$17,H502&gt;'Descriptive Statistics'!$J$18),"Potential Outlier","Within Range")</f>
        <v>Within Range</v>
      </c>
    </row>
    <row r="503" hidden="1" spans="1:19">
      <c r="A503" t="s">
        <v>1925</v>
      </c>
      <c r="B503" s="23">
        <v>45326</v>
      </c>
      <c r="C503" s="23" t="str">
        <f t="shared" si="14"/>
        <v>Feb</v>
      </c>
      <c r="D503" s="23" t="str">
        <f t="shared" si="15"/>
        <v>2024</v>
      </c>
      <c r="E503" t="s">
        <v>1926</v>
      </c>
      <c r="F503" s="24" t="s">
        <v>73</v>
      </c>
      <c r="G503" s="17">
        <v>4</v>
      </c>
      <c r="H503" s="19">
        <v>203.46</v>
      </c>
      <c r="I503" t="s">
        <v>685</v>
      </c>
      <c r="J503" s="24" t="s">
        <v>34</v>
      </c>
      <c r="K503" s="24" t="s">
        <v>89</v>
      </c>
      <c r="L503" t="s">
        <v>1927</v>
      </c>
      <c r="M503" s="17">
        <v>7</v>
      </c>
      <c r="N503" t="s">
        <v>21</v>
      </c>
      <c r="O503" s="24" t="s">
        <v>29</v>
      </c>
      <c r="P503" s="19">
        <v>813.84</v>
      </c>
      <c r="Q503" s="26" t="str">
        <f>IF(OR(P503&lt;'Descriptive Statistics'!$H$17,P503&gt;'Descriptive Statistics'!$H$18),"Potential Outlier","Within Range")</f>
        <v>Within Range</v>
      </c>
      <c r="R503" s="26" t="str">
        <f>IF(OR(G503&lt;'Descriptive Statistics'!$I$17,G503&gt;'Descriptive Statistics'!$I$18),"Potential Outlier","Within Range")</f>
        <v>Within Range</v>
      </c>
      <c r="S503" s="26" t="str">
        <f>IF(OR(H503&lt;'Descriptive Statistics'!$J$17,H503&gt;'Descriptive Statistics'!$J$18),"Potential Outlier","Within Range")</f>
        <v>Within Range</v>
      </c>
    </row>
    <row r="504" hidden="1" spans="1:19">
      <c r="A504" t="s">
        <v>1928</v>
      </c>
      <c r="B504" s="23">
        <v>45066</v>
      </c>
      <c r="C504" s="23" t="str">
        <f t="shared" si="14"/>
        <v>May</v>
      </c>
      <c r="D504" s="23" t="str">
        <f t="shared" si="15"/>
        <v>2023</v>
      </c>
      <c r="E504" t="s">
        <v>1929</v>
      </c>
      <c r="F504" s="24" t="s">
        <v>16</v>
      </c>
      <c r="G504" s="17">
        <v>3</v>
      </c>
      <c r="H504" s="19">
        <v>565.25</v>
      </c>
      <c r="I504" t="s">
        <v>1930</v>
      </c>
      <c r="J504" s="24" t="s">
        <v>18</v>
      </c>
      <c r="K504" s="24" t="s">
        <v>43</v>
      </c>
      <c r="L504" t="s">
        <v>1931</v>
      </c>
      <c r="M504" s="17">
        <v>7</v>
      </c>
      <c r="N504" t="s">
        <v>21</v>
      </c>
      <c r="O504" s="24" t="s">
        <v>38</v>
      </c>
      <c r="P504" s="19">
        <v>1695.75</v>
      </c>
      <c r="Q504" s="26" t="str">
        <f>IF(OR(P504&lt;'Descriptive Statistics'!$H$17,P504&gt;'Descriptive Statistics'!$H$18),"Potential Outlier","Within Range")</f>
        <v>Within Range</v>
      </c>
      <c r="R504" s="26" t="str">
        <f>IF(OR(G504&lt;'Descriptive Statistics'!$I$17,G504&gt;'Descriptive Statistics'!$I$18),"Potential Outlier","Within Range")</f>
        <v>Within Range</v>
      </c>
      <c r="S504" s="26" t="str">
        <f>IF(OR(H504&lt;'Descriptive Statistics'!$J$17,H504&gt;'Descriptive Statistics'!$J$18),"Potential Outlier","Within Range")</f>
        <v>Within Range</v>
      </c>
    </row>
    <row r="505" hidden="1" spans="1:19">
      <c r="A505" t="s">
        <v>1932</v>
      </c>
      <c r="B505" s="23">
        <v>45169</v>
      </c>
      <c r="C505" s="23" t="str">
        <f t="shared" si="14"/>
        <v>Aug</v>
      </c>
      <c r="D505" s="23" t="str">
        <f t="shared" si="15"/>
        <v>2023</v>
      </c>
      <c r="E505" t="s">
        <v>1933</v>
      </c>
      <c r="F505" s="24" t="s">
        <v>32</v>
      </c>
      <c r="G505" s="17">
        <v>3</v>
      </c>
      <c r="H505" s="19">
        <v>136.84</v>
      </c>
      <c r="I505" t="s">
        <v>1934</v>
      </c>
      <c r="J505" s="24" t="s">
        <v>27</v>
      </c>
      <c r="K505" s="24" t="s">
        <v>89</v>
      </c>
      <c r="L505" t="s">
        <v>1935</v>
      </c>
      <c r="M505" s="17">
        <v>4</v>
      </c>
      <c r="N505" t="s">
        <v>37</v>
      </c>
      <c r="O505" s="24" t="s">
        <v>45</v>
      </c>
      <c r="P505" s="19">
        <v>410.52</v>
      </c>
      <c r="Q505" s="26" t="str">
        <f>IF(OR(P505&lt;'Descriptive Statistics'!$H$17,P505&gt;'Descriptive Statistics'!$H$18),"Potential Outlier","Within Range")</f>
        <v>Within Range</v>
      </c>
      <c r="R505" s="26" t="str">
        <f>IF(OR(G505&lt;'Descriptive Statistics'!$I$17,G505&gt;'Descriptive Statistics'!$I$18),"Potential Outlier","Within Range")</f>
        <v>Within Range</v>
      </c>
      <c r="S505" s="26" t="str">
        <f>IF(OR(H505&lt;'Descriptive Statistics'!$J$17,H505&gt;'Descriptive Statistics'!$J$18),"Potential Outlier","Within Range")</f>
        <v>Within Range</v>
      </c>
    </row>
    <row r="506" hidden="1" spans="1:19">
      <c r="A506" t="s">
        <v>1936</v>
      </c>
      <c r="B506" s="23">
        <v>45819</v>
      </c>
      <c r="C506" s="23" t="str">
        <f t="shared" si="14"/>
        <v>Jun</v>
      </c>
      <c r="D506" s="23" t="str">
        <f t="shared" si="15"/>
        <v>2025</v>
      </c>
      <c r="E506" t="s">
        <v>1937</v>
      </c>
      <c r="F506" s="24" t="s">
        <v>16</v>
      </c>
      <c r="G506" s="17">
        <v>2</v>
      </c>
      <c r="H506" s="19">
        <v>464.5</v>
      </c>
      <c r="I506" t="s">
        <v>1938</v>
      </c>
      <c r="J506" s="24" t="s">
        <v>27</v>
      </c>
      <c r="K506" s="24" t="s">
        <v>35</v>
      </c>
      <c r="L506" t="s">
        <v>1939</v>
      </c>
      <c r="M506" s="17">
        <v>2</v>
      </c>
      <c r="N506" t="s">
        <v>81</v>
      </c>
      <c r="O506" s="24" t="s">
        <v>22</v>
      </c>
      <c r="P506" s="19">
        <v>929</v>
      </c>
      <c r="Q506" s="26" t="str">
        <f>IF(OR(P506&lt;'Descriptive Statistics'!$H$17,P506&gt;'Descriptive Statistics'!$H$18),"Potential Outlier","Within Range")</f>
        <v>Within Range</v>
      </c>
      <c r="R506" s="26" t="str">
        <f>IF(OR(G506&lt;'Descriptive Statistics'!$I$17,G506&gt;'Descriptive Statistics'!$I$18),"Potential Outlier","Within Range")</f>
        <v>Within Range</v>
      </c>
      <c r="S506" s="26" t="str">
        <f>IF(OR(H506&lt;'Descriptive Statistics'!$J$17,H506&gt;'Descriptive Statistics'!$J$18),"Potential Outlier","Within Range")</f>
        <v>Within Range</v>
      </c>
    </row>
    <row r="507" hidden="1" spans="1:19">
      <c r="A507" t="s">
        <v>1940</v>
      </c>
      <c r="B507" s="23">
        <v>45088</v>
      </c>
      <c r="C507" s="23" t="str">
        <f t="shared" si="14"/>
        <v>Jun</v>
      </c>
      <c r="D507" s="23" t="str">
        <f t="shared" si="15"/>
        <v>2023</v>
      </c>
      <c r="E507" t="s">
        <v>1941</v>
      </c>
      <c r="F507" s="24" t="s">
        <v>48</v>
      </c>
      <c r="G507" s="17">
        <v>2</v>
      </c>
      <c r="H507" s="19">
        <v>434.97</v>
      </c>
      <c r="I507" t="s">
        <v>1525</v>
      </c>
      <c r="J507" s="24" t="s">
        <v>27</v>
      </c>
      <c r="K507" s="24" t="s">
        <v>19</v>
      </c>
      <c r="L507" t="s">
        <v>1942</v>
      </c>
      <c r="M507" s="17">
        <v>7</v>
      </c>
      <c r="N507" t="s">
        <v>4295</v>
      </c>
      <c r="O507" s="24" t="s">
        <v>38</v>
      </c>
      <c r="P507" s="19">
        <v>869.94</v>
      </c>
      <c r="Q507" s="26" t="str">
        <f>IF(OR(P507&lt;'Descriptive Statistics'!$H$17,P507&gt;'Descriptive Statistics'!$H$18),"Potential Outlier","Within Range")</f>
        <v>Within Range</v>
      </c>
      <c r="R507" s="26" t="str">
        <f>IF(OR(G507&lt;'Descriptive Statistics'!$I$17,G507&gt;'Descriptive Statistics'!$I$18),"Potential Outlier","Within Range")</f>
        <v>Within Range</v>
      </c>
      <c r="S507" s="26" t="str">
        <f>IF(OR(H507&lt;'Descriptive Statistics'!$J$17,H507&gt;'Descriptive Statistics'!$J$18),"Potential Outlier","Within Range")</f>
        <v>Within Range</v>
      </c>
    </row>
    <row r="508" hidden="1" spans="1:19">
      <c r="A508" t="s">
        <v>1943</v>
      </c>
      <c r="B508" s="23">
        <v>45132</v>
      </c>
      <c r="C508" s="23" t="str">
        <f t="shared" si="14"/>
        <v>Jul</v>
      </c>
      <c r="D508" s="23" t="str">
        <f t="shared" si="15"/>
        <v>2023</v>
      </c>
      <c r="E508" t="s">
        <v>1944</v>
      </c>
      <c r="F508" s="24" t="s">
        <v>16</v>
      </c>
      <c r="G508" s="17">
        <v>2</v>
      </c>
      <c r="H508" s="19">
        <v>43.67</v>
      </c>
      <c r="I508" t="s">
        <v>1945</v>
      </c>
      <c r="J508" s="24" t="s">
        <v>65</v>
      </c>
      <c r="K508" s="24" t="s">
        <v>43</v>
      </c>
      <c r="L508" t="s">
        <v>1946</v>
      </c>
      <c r="M508" s="17">
        <v>4</v>
      </c>
      <c r="N508" t="s">
        <v>81</v>
      </c>
      <c r="O508" s="24" t="s">
        <v>22</v>
      </c>
      <c r="P508" s="19">
        <v>87.34</v>
      </c>
      <c r="Q508" s="26" t="str">
        <f>IF(OR(P508&lt;'Descriptive Statistics'!$H$17,P508&gt;'Descriptive Statistics'!$H$18),"Potential Outlier","Within Range")</f>
        <v>Within Range</v>
      </c>
      <c r="R508" s="26" t="str">
        <f>IF(OR(G508&lt;'Descriptive Statistics'!$I$17,G508&gt;'Descriptive Statistics'!$I$18),"Potential Outlier","Within Range")</f>
        <v>Within Range</v>
      </c>
      <c r="S508" s="26" t="str">
        <f>IF(OR(H508&lt;'Descriptive Statistics'!$J$17,H508&gt;'Descriptive Statistics'!$J$18),"Potential Outlier","Within Range")</f>
        <v>Within Range</v>
      </c>
    </row>
    <row r="509" hidden="1" spans="1:19">
      <c r="A509" t="s">
        <v>1947</v>
      </c>
      <c r="B509" s="23">
        <v>45112</v>
      </c>
      <c r="C509" s="23" t="str">
        <f t="shared" si="14"/>
        <v>Jul</v>
      </c>
      <c r="D509" s="23" t="str">
        <f t="shared" si="15"/>
        <v>2023</v>
      </c>
      <c r="E509" t="s">
        <v>1948</v>
      </c>
      <c r="F509" s="24" t="s">
        <v>25</v>
      </c>
      <c r="G509" s="17">
        <v>1</v>
      </c>
      <c r="H509" s="19">
        <v>171.59</v>
      </c>
      <c r="I509" t="s">
        <v>1299</v>
      </c>
      <c r="J509" s="24" t="s">
        <v>34</v>
      </c>
      <c r="K509" s="24" t="s">
        <v>89</v>
      </c>
      <c r="L509" t="s">
        <v>1949</v>
      </c>
      <c r="M509" s="17">
        <v>5</v>
      </c>
      <c r="N509" t="s">
        <v>81</v>
      </c>
      <c r="O509" s="24" t="s">
        <v>38</v>
      </c>
      <c r="P509" s="19">
        <v>171.59</v>
      </c>
      <c r="Q509" s="26" t="str">
        <f>IF(OR(P509&lt;'Descriptive Statistics'!$H$17,P509&gt;'Descriptive Statistics'!$H$18),"Potential Outlier","Within Range")</f>
        <v>Within Range</v>
      </c>
      <c r="R509" s="26" t="str">
        <f>IF(OR(G509&lt;'Descriptive Statistics'!$I$17,G509&gt;'Descriptive Statistics'!$I$18),"Potential Outlier","Within Range")</f>
        <v>Within Range</v>
      </c>
      <c r="S509" s="26" t="str">
        <f>IF(OR(H509&lt;'Descriptive Statistics'!$J$17,H509&gt;'Descriptive Statistics'!$J$18),"Potential Outlier","Within Range")</f>
        <v>Within Range</v>
      </c>
    </row>
    <row r="510" hidden="1" spans="1:19">
      <c r="A510" t="s">
        <v>1950</v>
      </c>
      <c r="B510" s="23">
        <v>45791</v>
      </c>
      <c r="C510" s="23" t="str">
        <f t="shared" si="14"/>
        <v>May</v>
      </c>
      <c r="D510" s="23" t="str">
        <f t="shared" si="15"/>
        <v>2025</v>
      </c>
      <c r="E510" t="s">
        <v>1951</v>
      </c>
      <c r="F510" s="24" t="s">
        <v>25</v>
      </c>
      <c r="G510" s="17">
        <v>1</v>
      </c>
      <c r="H510" s="19">
        <v>558.27</v>
      </c>
      <c r="I510" t="s">
        <v>1952</v>
      </c>
      <c r="J510" s="24" t="s">
        <v>27</v>
      </c>
      <c r="K510" s="24" t="s">
        <v>50</v>
      </c>
      <c r="L510" t="s">
        <v>1953</v>
      </c>
      <c r="M510" s="17">
        <v>1</v>
      </c>
      <c r="N510" t="s">
        <v>4295</v>
      </c>
      <c r="O510" s="24" t="s">
        <v>29</v>
      </c>
      <c r="P510" s="19">
        <v>558.27</v>
      </c>
      <c r="Q510" s="26" t="str">
        <f>IF(OR(P510&lt;'Descriptive Statistics'!$H$17,P510&gt;'Descriptive Statistics'!$H$18),"Potential Outlier","Within Range")</f>
        <v>Within Range</v>
      </c>
      <c r="R510" s="26" t="str">
        <f>IF(OR(G510&lt;'Descriptive Statistics'!$I$17,G510&gt;'Descriptive Statistics'!$I$18),"Potential Outlier","Within Range")</f>
        <v>Within Range</v>
      </c>
      <c r="S510" s="26" t="str">
        <f>IF(OR(H510&lt;'Descriptive Statistics'!$J$17,H510&gt;'Descriptive Statistics'!$J$18),"Potential Outlier","Within Range")</f>
        <v>Within Range</v>
      </c>
    </row>
    <row r="511" hidden="1" spans="1:19">
      <c r="A511" t="s">
        <v>1954</v>
      </c>
      <c r="B511" s="23">
        <v>44972</v>
      </c>
      <c r="C511" s="23" t="str">
        <f t="shared" si="14"/>
        <v>Feb</v>
      </c>
      <c r="D511" s="23" t="str">
        <f t="shared" si="15"/>
        <v>2023</v>
      </c>
      <c r="E511" t="s">
        <v>1955</v>
      </c>
      <c r="F511" s="24" t="s">
        <v>58</v>
      </c>
      <c r="G511" s="17">
        <v>2</v>
      </c>
      <c r="H511" s="19">
        <v>425.03</v>
      </c>
      <c r="I511" t="s">
        <v>1956</v>
      </c>
      <c r="J511" s="24" t="s">
        <v>65</v>
      </c>
      <c r="K511" s="24" t="s">
        <v>43</v>
      </c>
      <c r="L511" t="s">
        <v>1957</v>
      </c>
      <c r="M511" s="17">
        <v>2</v>
      </c>
      <c r="N511" t="s">
        <v>81</v>
      </c>
      <c r="O511" s="24" t="s">
        <v>76</v>
      </c>
      <c r="P511" s="19">
        <v>850.06</v>
      </c>
      <c r="Q511" s="26" t="str">
        <f>IF(OR(P511&lt;'Descriptive Statistics'!$H$17,P511&gt;'Descriptive Statistics'!$H$18),"Potential Outlier","Within Range")</f>
        <v>Within Range</v>
      </c>
      <c r="R511" s="26" t="str">
        <f>IF(OR(G511&lt;'Descriptive Statistics'!$I$17,G511&gt;'Descriptive Statistics'!$I$18),"Potential Outlier","Within Range")</f>
        <v>Within Range</v>
      </c>
      <c r="S511" s="26" t="str">
        <f>IF(OR(H511&lt;'Descriptive Statistics'!$J$17,H511&gt;'Descriptive Statistics'!$J$18),"Potential Outlier","Within Range")</f>
        <v>Within Range</v>
      </c>
    </row>
    <row r="512" hidden="1" spans="1:19">
      <c r="A512" t="s">
        <v>1958</v>
      </c>
      <c r="B512" s="23">
        <v>45642</v>
      </c>
      <c r="C512" s="23" t="str">
        <f t="shared" si="14"/>
        <v>Dec</v>
      </c>
      <c r="D512" s="23" t="str">
        <f t="shared" si="15"/>
        <v>2024</v>
      </c>
      <c r="E512" t="s">
        <v>1959</v>
      </c>
      <c r="F512" s="24" t="s">
        <v>48</v>
      </c>
      <c r="G512" s="17">
        <v>1</v>
      </c>
      <c r="H512" s="19">
        <v>376.76</v>
      </c>
      <c r="I512" t="s">
        <v>1960</v>
      </c>
      <c r="J512" s="24" t="s">
        <v>18</v>
      </c>
      <c r="K512" s="24" t="s">
        <v>50</v>
      </c>
      <c r="L512" t="s">
        <v>1961</v>
      </c>
      <c r="M512" s="17">
        <v>5</v>
      </c>
      <c r="N512" t="s">
        <v>21</v>
      </c>
      <c r="O512" s="24" t="s">
        <v>38</v>
      </c>
      <c r="P512" s="19">
        <v>376.76</v>
      </c>
      <c r="Q512" s="26" t="str">
        <f>IF(OR(P512&lt;'Descriptive Statistics'!$H$17,P512&gt;'Descriptive Statistics'!$H$18),"Potential Outlier","Within Range")</f>
        <v>Within Range</v>
      </c>
      <c r="R512" s="26" t="str">
        <f>IF(OR(G512&lt;'Descriptive Statistics'!$I$17,G512&gt;'Descriptive Statistics'!$I$18),"Potential Outlier","Within Range")</f>
        <v>Within Range</v>
      </c>
      <c r="S512" s="26" t="str">
        <f>IF(OR(H512&lt;'Descriptive Statistics'!$J$17,H512&gt;'Descriptive Statistics'!$J$18),"Potential Outlier","Within Range")</f>
        <v>Within Range</v>
      </c>
    </row>
    <row r="513" hidden="1" spans="1:19">
      <c r="A513" t="s">
        <v>1962</v>
      </c>
      <c r="B513" s="23">
        <v>45366</v>
      </c>
      <c r="C513" s="23" t="str">
        <f t="shared" si="14"/>
        <v>Mar</v>
      </c>
      <c r="D513" s="23" t="str">
        <f t="shared" si="15"/>
        <v>2024</v>
      </c>
      <c r="E513" t="s">
        <v>1963</v>
      </c>
      <c r="F513" s="24" t="s">
        <v>16</v>
      </c>
      <c r="G513" s="17">
        <v>5</v>
      </c>
      <c r="H513" s="19">
        <v>575.24</v>
      </c>
      <c r="I513" t="s">
        <v>201</v>
      </c>
      <c r="J513" s="24" t="s">
        <v>65</v>
      </c>
      <c r="K513" s="24" t="s">
        <v>50</v>
      </c>
      <c r="L513" t="s">
        <v>1964</v>
      </c>
      <c r="M513" s="17">
        <v>7</v>
      </c>
      <c r="N513" t="s">
        <v>81</v>
      </c>
      <c r="O513" s="24" t="s">
        <v>38</v>
      </c>
      <c r="P513" s="19">
        <v>2876.2</v>
      </c>
      <c r="Q513" s="26" t="str">
        <f>IF(OR(P513&lt;'Descriptive Statistics'!$H$17,P513&gt;'Descriptive Statistics'!$H$18),"Potential Outlier","Within Range")</f>
        <v>Within Range</v>
      </c>
      <c r="R513" s="26" t="str">
        <f>IF(OR(G513&lt;'Descriptive Statistics'!$I$17,G513&gt;'Descriptive Statistics'!$I$18),"Potential Outlier","Within Range")</f>
        <v>Within Range</v>
      </c>
      <c r="S513" s="26" t="str">
        <f>IF(OR(H513&lt;'Descriptive Statistics'!$J$17,H513&gt;'Descriptive Statistics'!$J$18),"Potential Outlier","Within Range")</f>
        <v>Within Range</v>
      </c>
    </row>
    <row r="514" hidden="1" spans="1:19">
      <c r="A514" t="s">
        <v>1965</v>
      </c>
      <c r="B514" s="23">
        <v>45562</v>
      </c>
      <c r="C514" s="23" t="str">
        <f t="shared" ref="C514:C577" si="16">TEXT(B514,"MMM")</f>
        <v>Sep</v>
      </c>
      <c r="D514" s="23" t="str">
        <f t="shared" ref="D514:D577" si="17">TEXT(B514,"YYYY")</f>
        <v>2024</v>
      </c>
      <c r="E514" t="s">
        <v>1966</v>
      </c>
      <c r="F514" s="24" t="s">
        <v>73</v>
      </c>
      <c r="G514" s="17">
        <v>3</v>
      </c>
      <c r="H514" s="19">
        <v>568.02</v>
      </c>
      <c r="I514" t="s">
        <v>1190</v>
      </c>
      <c r="J514" s="24" t="s">
        <v>27</v>
      </c>
      <c r="K514" s="24" t="s">
        <v>89</v>
      </c>
      <c r="L514" t="s">
        <v>1967</v>
      </c>
      <c r="M514" s="17">
        <v>3</v>
      </c>
      <c r="N514" t="s">
        <v>37</v>
      </c>
      <c r="O514" s="24" t="s">
        <v>22</v>
      </c>
      <c r="P514" s="19">
        <v>1704.06</v>
      </c>
      <c r="Q514" s="26" t="str">
        <f>IF(OR(P514&lt;'Descriptive Statistics'!$H$17,P514&gt;'Descriptive Statistics'!$H$18),"Potential Outlier","Within Range")</f>
        <v>Within Range</v>
      </c>
      <c r="R514" s="26" t="str">
        <f>IF(OR(G514&lt;'Descriptive Statistics'!$I$17,G514&gt;'Descriptive Statistics'!$I$18),"Potential Outlier","Within Range")</f>
        <v>Within Range</v>
      </c>
      <c r="S514" s="26" t="str">
        <f>IF(OR(H514&lt;'Descriptive Statistics'!$J$17,H514&gt;'Descriptive Statistics'!$J$18),"Potential Outlier","Within Range")</f>
        <v>Within Range</v>
      </c>
    </row>
    <row r="515" hidden="1" spans="1:19">
      <c r="A515" t="s">
        <v>1968</v>
      </c>
      <c r="B515" s="23">
        <v>45697</v>
      </c>
      <c r="C515" s="23" t="str">
        <f t="shared" si="16"/>
        <v>Feb</v>
      </c>
      <c r="D515" s="23" t="str">
        <f t="shared" si="17"/>
        <v>2025</v>
      </c>
      <c r="E515" t="s">
        <v>1969</v>
      </c>
      <c r="F515" s="24" t="s">
        <v>32</v>
      </c>
      <c r="G515" s="17">
        <v>3</v>
      </c>
      <c r="H515" s="19">
        <v>94.88</v>
      </c>
      <c r="I515" t="s">
        <v>426</v>
      </c>
      <c r="J515" s="24" t="s">
        <v>60</v>
      </c>
      <c r="K515" s="24" t="s">
        <v>19</v>
      </c>
      <c r="L515" t="s">
        <v>1970</v>
      </c>
      <c r="M515" s="17">
        <v>8</v>
      </c>
      <c r="N515" t="s">
        <v>4295</v>
      </c>
      <c r="O515" s="24" t="s">
        <v>29</v>
      </c>
      <c r="P515" s="19">
        <v>284.64</v>
      </c>
      <c r="Q515" s="26" t="str">
        <f>IF(OR(P515&lt;'Descriptive Statistics'!$H$17,P515&gt;'Descriptive Statistics'!$H$18),"Potential Outlier","Within Range")</f>
        <v>Within Range</v>
      </c>
      <c r="R515" s="26" t="str">
        <f>IF(OR(G515&lt;'Descriptive Statistics'!$I$17,G515&gt;'Descriptive Statistics'!$I$18),"Potential Outlier","Within Range")</f>
        <v>Within Range</v>
      </c>
      <c r="S515" s="26" t="str">
        <f>IF(OR(H515&lt;'Descriptive Statistics'!$J$17,H515&gt;'Descriptive Statistics'!$J$18),"Potential Outlier","Within Range")</f>
        <v>Within Range</v>
      </c>
    </row>
    <row r="516" hidden="1" spans="1:19">
      <c r="A516" t="s">
        <v>1971</v>
      </c>
      <c r="B516" s="23">
        <v>45032</v>
      </c>
      <c r="C516" s="23" t="str">
        <f t="shared" si="16"/>
        <v>Apr</v>
      </c>
      <c r="D516" s="23" t="str">
        <f t="shared" si="17"/>
        <v>2023</v>
      </c>
      <c r="E516" t="s">
        <v>1972</v>
      </c>
      <c r="F516" s="24" t="s">
        <v>48</v>
      </c>
      <c r="G516" s="17">
        <v>3</v>
      </c>
      <c r="H516" s="19">
        <v>304.15</v>
      </c>
      <c r="I516" t="s">
        <v>1754</v>
      </c>
      <c r="J516" s="24" t="s">
        <v>60</v>
      </c>
      <c r="K516" s="24" t="s">
        <v>19</v>
      </c>
      <c r="L516" t="s">
        <v>1973</v>
      </c>
      <c r="M516" s="17">
        <v>3</v>
      </c>
      <c r="N516" t="s">
        <v>81</v>
      </c>
      <c r="O516" s="24" t="s">
        <v>22</v>
      </c>
      <c r="P516" s="19">
        <v>912.45</v>
      </c>
      <c r="Q516" s="26" t="str">
        <f>IF(OR(P516&lt;'Descriptive Statistics'!$H$17,P516&gt;'Descriptive Statistics'!$H$18),"Potential Outlier","Within Range")</f>
        <v>Within Range</v>
      </c>
      <c r="R516" s="26" t="str">
        <f>IF(OR(G516&lt;'Descriptive Statistics'!$I$17,G516&gt;'Descriptive Statistics'!$I$18),"Potential Outlier","Within Range")</f>
        <v>Within Range</v>
      </c>
      <c r="S516" s="26" t="str">
        <f>IF(OR(H516&lt;'Descriptive Statistics'!$J$17,H516&gt;'Descriptive Statistics'!$J$18),"Potential Outlier","Within Range")</f>
        <v>Within Range</v>
      </c>
    </row>
    <row r="517" hidden="1" spans="1:19">
      <c r="A517" t="s">
        <v>1974</v>
      </c>
      <c r="B517" s="23">
        <v>44999</v>
      </c>
      <c r="C517" s="23" t="str">
        <f t="shared" si="16"/>
        <v>Mar</v>
      </c>
      <c r="D517" s="23" t="str">
        <f t="shared" si="17"/>
        <v>2023</v>
      </c>
      <c r="E517" t="s">
        <v>1975</v>
      </c>
      <c r="F517" s="24" t="s">
        <v>25</v>
      </c>
      <c r="G517" s="17">
        <v>3</v>
      </c>
      <c r="H517" s="19">
        <v>553.52</v>
      </c>
      <c r="I517" t="s">
        <v>1743</v>
      </c>
      <c r="J517" s="24" t="s">
        <v>60</v>
      </c>
      <c r="K517" s="24" t="s">
        <v>19</v>
      </c>
      <c r="L517" t="s">
        <v>1976</v>
      </c>
      <c r="M517" s="17">
        <v>4</v>
      </c>
      <c r="N517" t="s">
        <v>37</v>
      </c>
      <c r="O517" s="24" t="s">
        <v>45</v>
      </c>
      <c r="P517" s="19">
        <v>1660.56</v>
      </c>
      <c r="Q517" s="26" t="str">
        <f>IF(OR(P517&lt;'Descriptive Statistics'!$H$17,P517&gt;'Descriptive Statistics'!$H$18),"Potential Outlier","Within Range")</f>
        <v>Within Range</v>
      </c>
      <c r="R517" s="26" t="str">
        <f>IF(OR(G517&lt;'Descriptive Statistics'!$I$17,G517&gt;'Descriptive Statistics'!$I$18),"Potential Outlier","Within Range")</f>
        <v>Within Range</v>
      </c>
      <c r="S517" s="26" t="str">
        <f>IF(OR(H517&lt;'Descriptive Statistics'!$J$17,H517&gt;'Descriptive Statistics'!$J$18),"Potential Outlier","Within Range")</f>
        <v>Within Range</v>
      </c>
    </row>
    <row r="518" hidden="1" spans="1:19">
      <c r="A518" t="s">
        <v>1977</v>
      </c>
      <c r="B518" s="23">
        <v>45389</v>
      </c>
      <c r="C518" s="23" t="str">
        <f t="shared" si="16"/>
        <v>Apr</v>
      </c>
      <c r="D518" s="23" t="str">
        <f t="shared" si="17"/>
        <v>2024</v>
      </c>
      <c r="E518" t="s">
        <v>1978</v>
      </c>
      <c r="F518" s="24" t="s">
        <v>16</v>
      </c>
      <c r="G518" s="17">
        <v>3</v>
      </c>
      <c r="H518" s="19">
        <v>166.99</v>
      </c>
      <c r="I518" t="s">
        <v>1172</v>
      </c>
      <c r="J518" s="24" t="s">
        <v>65</v>
      </c>
      <c r="K518" s="24" t="s">
        <v>43</v>
      </c>
      <c r="L518" t="s">
        <v>1979</v>
      </c>
      <c r="M518" s="17">
        <v>8</v>
      </c>
      <c r="N518" t="s">
        <v>4295</v>
      </c>
      <c r="O518" s="24" t="s">
        <v>45</v>
      </c>
      <c r="P518" s="19">
        <v>500.97</v>
      </c>
      <c r="Q518" s="26" t="str">
        <f>IF(OR(P518&lt;'Descriptive Statistics'!$H$17,P518&gt;'Descriptive Statistics'!$H$18),"Potential Outlier","Within Range")</f>
        <v>Within Range</v>
      </c>
      <c r="R518" s="26" t="str">
        <f>IF(OR(G518&lt;'Descriptive Statistics'!$I$17,G518&gt;'Descriptive Statistics'!$I$18),"Potential Outlier","Within Range")</f>
        <v>Within Range</v>
      </c>
      <c r="S518" s="26" t="str">
        <f>IF(OR(H518&lt;'Descriptive Statistics'!$J$17,H518&gt;'Descriptive Statistics'!$J$18),"Potential Outlier","Within Range")</f>
        <v>Within Range</v>
      </c>
    </row>
    <row r="519" hidden="1" spans="1:19">
      <c r="A519" t="s">
        <v>1980</v>
      </c>
      <c r="B519" s="23">
        <v>45391</v>
      </c>
      <c r="C519" s="23" t="str">
        <f t="shared" si="16"/>
        <v>Apr</v>
      </c>
      <c r="D519" s="23" t="str">
        <f t="shared" si="17"/>
        <v>2024</v>
      </c>
      <c r="E519" t="s">
        <v>1981</v>
      </c>
      <c r="F519" s="24" t="s">
        <v>32</v>
      </c>
      <c r="G519" s="17">
        <v>4</v>
      </c>
      <c r="H519" s="19">
        <v>198.35</v>
      </c>
      <c r="I519" t="s">
        <v>1849</v>
      </c>
      <c r="J519" s="24" t="s">
        <v>65</v>
      </c>
      <c r="K519" s="24" t="s">
        <v>35</v>
      </c>
      <c r="L519" t="s">
        <v>1982</v>
      </c>
      <c r="M519" s="17">
        <v>7</v>
      </c>
      <c r="N519" t="s">
        <v>37</v>
      </c>
      <c r="O519" s="24" t="s">
        <v>76</v>
      </c>
      <c r="P519" s="19">
        <v>793.4</v>
      </c>
      <c r="Q519" s="26" t="str">
        <f>IF(OR(P519&lt;'Descriptive Statistics'!$H$17,P519&gt;'Descriptive Statistics'!$H$18),"Potential Outlier","Within Range")</f>
        <v>Within Range</v>
      </c>
      <c r="R519" s="26" t="str">
        <f>IF(OR(G519&lt;'Descriptive Statistics'!$I$17,G519&gt;'Descriptive Statistics'!$I$18),"Potential Outlier","Within Range")</f>
        <v>Within Range</v>
      </c>
      <c r="S519" s="26" t="str">
        <f>IF(OR(H519&lt;'Descriptive Statistics'!$J$17,H519&gt;'Descriptive Statistics'!$J$18),"Potential Outlier","Within Range")</f>
        <v>Within Range</v>
      </c>
    </row>
    <row r="520" hidden="1" spans="1:19">
      <c r="A520" t="s">
        <v>1983</v>
      </c>
      <c r="B520" s="23">
        <v>45821</v>
      </c>
      <c r="C520" s="23" t="str">
        <f t="shared" si="16"/>
        <v>Jun</v>
      </c>
      <c r="D520" s="23" t="str">
        <f t="shared" si="17"/>
        <v>2025</v>
      </c>
      <c r="E520" t="s">
        <v>1984</v>
      </c>
      <c r="F520" s="24" t="s">
        <v>48</v>
      </c>
      <c r="G520" s="17">
        <v>4</v>
      </c>
      <c r="H520" s="19">
        <v>403.58</v>
      </c>
      <c r="I520" t="s">
        <v>1560</v>
      </c>
      <c r="J520" s="24" t="s">
        <v>27</v>
      </c>
      <c r="K520" s="24" t="s">
        <v>89</v>
      </c>
      <c r="L520" t="s">
        <v>1985</v>
      </c>
      <c r="M520" s="17">
        <v>9</v>
      </c>
      <c r="N520" t="s">
        <v>21</v>
      </c>
      <c r="O520" s="24" t="s">
        <v>29</v>
      </c>
      <c r="P520" s="19">
        <v>1614.32</v>
      </c>
      <c r="Q520" s="26" t="str">
        <f>IF(OR(P520&lt;'Descriptive Statistics'!$H$17,P520&gt;'Descriptive Statistics'!$H$18),"Potential Outlier","Within Range")</f>
        <v>Within Range</v>
      </c>
      <c r="R520" s="26" t="str">
        <f>IF(OR(G520&lt;'Descriptive Statistics'!$I$17,G520&gt;'Descriptive Statistics'!$I$18),"Potential Outlier","Within Range")</f>
        <v>Within Range</v>
      </c>
      <c r="S520" s="26" t="str">
        <f>IF(OR(H520&lt;'Descriptive Statistics'!$J$17,H520&gt;'Descriptive Statistics'!$J$18),"Potential Outlier","Within Range")</f>
        <v>Within Range</v>
      </c>
    </row>
    <row r="521" hidden="1" spans="1:19">
      <c r="A521" t="s">
        <v>1986</v>
      </c>
      <c r="B521" s="23">
        <v>45787</v>
      </c>
      <c r="C521" s="23" t="str">
        <f t="shared" si="16"/>
        <v>May</v>
      </c>
      <c r="D521" s="23" t="str">
        <f t="shared" si="17"/>
        <v>2025</v>
      </c>
      <c r="E521" t="s">
        <v>1987</v>
      </c>
      <c r="F521" s="24" t="s">
        <v>58</v>
      </c>
      <c r="G521" s="17">
        <v>4</v>
      </c>
      <c r="H521" s="19">
        <v>464.29</v>
      </c>
      <c r="I521" t="s">
        <v>1988</v>
      </c>
      <c r="J521" s="24" t="s">
        <v>18</v>
      </c>
      <c r="K521" s="24" t="s">
        <v>43</v>
      </c>
      <c r="L521" t="s">
        <v>1989</v>
      </c>
      <c r="M521" s="17">
        <v>5</v>
      </c>
      <c r="N521" t="s">
        <v>21</v>
      </c>
      <c r="O521" s="24" t="s">
        <v>38</v>
      </c>
      <c r="P521" s="19">
        <v>1857.16</v>
      </c>
      <c r="Q521" s="26" t="str">
        <f>IF(OR(P521&lt;'Descriptive Statistics'!$H$17,P521&gt;'Descriptive Statistics'!$H$18),"Potential Outlier","Within Range")</f>
        <v>Within Range</v>
      </c>
      <c r="R521" s="26" t="str">
        <f>IF(OR(G521&lt;'Descriptive Statistics'!$I$17,G521&gt;'Descriptive Statistics'!$I$18),"Potential Outlier","Within Range")</f>
        <v>Within Range</v>
      </c>
      <c r="S521" s="26" t="str">
        <f>IF(OR(H521&lt;'Descriptive Statistics'!$J$17,H521&gt;'Descriptive Statistics'!$J$18),"Potential Outlier","Within Range")</f>
        <v>Within Range</v>
      </c>
    </row>
    <row r="522" hidden="1" spans="1:19">
      <c r="A522" t="s">
        <v>1990</v>
      </c>
      <c r="B522" s="23">
        <v>44995</v>
      </c>
      <c r="C522" s="23" t="str">
        <f t="shared" si="16"/>
        <v>Mar</v>
      </c>
      <c r="D522" s="23" t="str">
        <f t="shared" si="17"/>
        <v>2023</v>
      </c>
      <c r="E522" t="s">
        <v>1991</v>
      </c>
      <c r="F522" s="24" t="s">
        <v>16</v>
      </c>
      <c r="G522" s="17">
        <v>3</v>
      </c>
      <c r="H522" s="19">
        <v>635.98</v>
      </c>
      <c r="I522" t="s">
        <v>1992</v>
      </c>
      <c r="J522" s="24" t="s">
        <v>65</v>
      </c>
      <c r="K522" s="24" t="s">
        <v>43</v>
      </c>
      <c r="L522" t="s">
        <v>1993</v>
      </c>
      <c r="M522" s="17">
        <v>5</v>
      </c>
      <c r="N522" t="s">
        <v>4295</v>
      </c>
      <c r="O522" s="24" t="s">
        <v>29</v>
      </c>
      <c r="P522" s="19">
        <v>1907.94</v>
      </c>
      <c r="Q522" s="26" t="str">
        <f>IF(OR(P522&lt;'Descriptive Statistics'!$H$17,P522&gt;'Descriptive Statistics'!$H$18),"Potential Outlier","Within Range")</f>
        <v>Within Range</v>
      </c>
      <c r="R522" s="26" t="str">
        <f>IF(OR(G522&lt;'Descriptive Statistics'!$I$17,G522&gt;'Descriptive Statistics'!$I$18),"Potential Outlier","Within Range")</f>
        <v>Within Range</v>
      </c>
      <c r="S522" s="26" t="str">
        <f>IF(OR(H522&lt;'Descriptive Statistics'!$J$17,H522&gt;'Descriptive Statistics'!$J$18),"Potential Outlier","Within Range")</f>
        <v>Within Range</v>
      </c>
    </row>
    <row r="523" hidden="1" spans="1:19">
      <c r="A523" t="s">
        <v>1994</v>
      </c>
      <c r="B523" s="23">
        <v>45347</v>
      </c>
      <c r="C523" s="23" t="str">
        <f t="shared" si="16"/>
        <v>Feb</v>
      </c>
      <c r="D523" s="23" t="str">
        <f t="shared" si="17"/>
        <v>2024</v>
      </c>
      <c r="E523" t="s">
        <v>1995</v>
      </c>
      <c r="F523" s="24" t="s">
        <v>25</v>
      </c>
      <c r="G523" s="17">
        <v>1</v>
      </c>
      <c r="H523" s="19">
        <v>528.06</v>
      </c>
      <c r="I523" t="s">
        <v>1996</v>
      </c>
      <c r="J523" s="24" t="s">
        <v>34</v>
      </c>
      <c r="K523" s="24" t="s">
        <v>19</v>
      </c>
      <c r="L523" t="s">
        <v>1997</v>
      </c>
      <c r="M523" s="17">
        <v>2</v>
      </c>
      <c r="N523" t="s">
        <v>4295</v>
      </c>
      <c r="O523" s="24" t="s">
        <v>45</v>
      </c>
      <c r="P523" s="19">
        <v>528.06</v>
      </c>
      <c r="Q523" s="26" t="str">
        <f>IF(OR(P523&lt;'Descriptive Statistics'!$H$17,P523&gt;'Descriptive Statistics'!$H$18),"Potential Outlier","Within Range")</f>
        <v>Within Range</v>
      </c>
      <c r="R523" s="26" t="str">
        <f>IF(OR(G523&lt;'Descriptive Statistics'!$I$17,G523&gt;'Descriptive Statistics'!$I$18),"Potential Outlier","Within Range")</f>
        <v>Within Range</v>
      </c>
      <c r="S523" s="26" t="str">
        <f>IF(OR(H523&lt;'Descriptive Statistics'!$J$17,H523&gt;'Descriptive Statistics'!$J$18),"Potential Outlier","Within Range")</f>
        <v>Within Range</v>
      </c>
    </row>
    <row r="524" hidden="1" spans="1:19">
      <c r="A524" t="s">
        <v>1998</v>
      </c>
      <c r="B524" s="23">
        <v>45402</v>
      </c>
      <c r="C524" s="23" t="str">
        <f t="shared" si="16"/>
        <v>Apr</v>
      </c>
      <c r="D524" s="23" t="str">
        <f t="shared" si="17"/>
        <v>2024</v>
      </c>
      <c r="E524" t="s">
        <v>1999</v>
      </c>
      <c r="F524" s="24" t="s">
        <v>41</v>
      </c>
      <c r="G524" s="17">
        <v>1</v>
      </c>
      <c r="H524" s="19">
        <v>515.32</v>
      </c>
      <c r="I524" t="s">
        <v>1121</v>
      </c>
      <c r="J524" s="24" t="s">
        <v>60</v>
      </c>
      <c r="K524" s="24" t="s">
        <v>35</v>
      </c>
      <c r="L524" t="s">
        <v>2000</v>
      </c>
      <c r="M524" s="17">
        <v>1</v>
      </c>
      <c r="N524" t="s">
        <v>37</v>
      </c>
      <c r="O524" s="24" t="s">
        <v>38</v>
      </c>
      <c r="P524" s="19">
        <v>515.32</v>
      </c>
      <c r="Q524" s="26" t="str">
        <f>IF(OR(P524&lt;'Descriptive Statistics'!$H$17,P524&gt;'Descriptive Statistics'!$H$18),"Potential Outlier","Within Range")</f>
        <v>Within Range</v>
      </c>
      <c r="R524" s="26" t="str">
        <f>IF(OR(G524&lt;'Descriptive Statistics'!$I$17,G524&gt;'Descriptive Statistics'!$I$18),"Potential Outlier","Within Range")</f>
        <v>Within Range</v>
      </c>
      <c r="S524" s="26" t="str">
        <f>IF(OR(H524&lt;'Descriptive Statistics'!$J$17,H524&gt;'Descriptive Statistics'!$J$18),"Potential Outlier","Within Range")</f>
        <v>Within Range</v>
      </c>
    </row>
    <row r="525" hidden="1" spans="1:19">
      <c r="A525" t="s">
        <v>2001</v>
      </c>
      <c r="B525" s="23">
        <v>45706</v>
      </c>
      <c r="C525" s="23" t="str">
        <f t="shared" si="16"/>
        <v>Feb</v>
      </c>
      <c r="D525" s="23" t="str">
        <f t="shared" si="17"/>
        <v>2025</v>
      </c>
      <c r="E525" t="s">
        <v>2002</v>
      </c>
      <c r="F525" s="24" t="s">
        <v>73</v>
      </c>
      <c r="G525" s="17">
        <v>4</v>
      </c>
      <c r="H525" s="19">
        <v>657.79</v>
      </c>
      <c r="I525" t="s">
        <v>1620</v>
      </c>
      <c r="J525" s="24" t="s">
        <v>34</v>
      </c>
      <c r="K525" s="24" t="s">
        <v>43</v>
      </c>
      <c r="L525" t="s">
        <v>2003</v>
      </c>
      <c r="M525" s="17">
        <v>6</v>
      </c>
      <c r="N525" t="s">
        <v>81</v>
      </c>
      <c r="O525" s="24" t="s">
        <v>76</v>
      </c>
      <c r="P525" s="19">
        <v>2631.16</v>
      </c>
      <c r="Q525" s="26" t="str">
        <f>IF(OR(P525&lt;'Descriptive Statistics'!$H$17,P525&gt;'Descriptive Statistics'!$H$18),"Potential Outlier","Within Range")</f>
        <v>Within Range</v>
      </c>
      <c r="R525" s="26" t="str">
        <f>IF(OR(G525&lt;'Descriptive Statistics'!$I$17,G525&gt;'Descriptive Statistics'!$I$18),"Potential Outlier","Within Range")</f>
        <v>Within Range</v>
      </c>
      <c r="S525" s="26" t="str">
        <f>IF(OR(H525&lt;'Descriptive Statistics'!$J$17,H525&gt;'Descriptive Statistics'!$J$18),"Potential Outlier","Within Range")</f>
        <v>Within Range</v>
      </c>
    </row>
    <row r="526" hidden="1" spans="1:19">
      <c r="A526" t="s">
        <v>2004</v>
      </c>
      <c r="B526" s="23">
        <v>45224</v>
      </c>
      <c r="C526" s="23" t="str">
        <f t="shared" si="16"/>
        <v>Oct</v>
      </c>
      <c r="D526" s="23" t="str">
        <f t="shared" si="17"/>
        <v>2023</v>
      </c>
      <c r="E526" t="s">
        <v>2005</v>
      </c>
      <c r="F526" s="24" t="s">
        <v>25</v>
      </c>
      <c r="G526" s="17">
        <v>1</v>
      </c>
      <c r="H526" s="19">
        <v>153</v>
      </c>
      <c r="I526" t="s">
        <v>351</v>
      </c>
      <c r="J526" s="24" t="s">
        <v>34</v>
      </c>
      <c r="K526" s="24" t="s">
        <v>43</v>
      </c>
      <c r="L526" t="s">
        <v>2006</v>
      </c>
      <c r="M526" s="17">
        <v>4</v>
      </c>
      <c r="N526" t="s">
        <v>4295</v>
      </c>
      <c r="O526" s="24" t="s">
        <v>29</v>
      </c>
      <c r="P526" s="19">
        <v>153</v>
      </c>
      <c r="Q526" s="26" t="str">
        <f>IF(OR(P526&lt;'Descriptive Statistics'!$H$17,P526&gt;'Descriptive Statistics'!$H$18),"Potential Outlier","Within Range")</f>
        <v>Within Range</v>
      </c>
      <c r="R526" s="26" t="str">
        <f>IF(OR(G526&lt;'Descriptive Statistics'!$I$17,G526&gt;'Descriptive Statistics'!$I$18),"Potential Outlier","Within Range")</f>
        <v>Within Range</v>
      </c>
      <c r="S526" s="26" t="str">
        <f>IF(OR(H526&lt;'Descriptive Statistics'!$J$17,H526&gt;'Descriptive Statistics'!$J$18),"Potential Outlier","Within Range")</f>
        <v>Within Range</v>
      </c>
    </row>
    <row r="527" hidden="1" spans="1:19">
      <c r="A527" t="s">
        <v>2007</v>
      </c>
      <c r="B527" s="23">
        <v>45263</v>
      </c>
      <c r="C527" s="23" t="str">
        <f t="shared" si="16"/>
        <v>Dec</v>
      </c>
      <c r="D527" s="23" t="str">
        <f t="shared" si="17"/>
        <v>2023</v>
      </c>
      <c r="E527" t="s">
        <v>2008</v>
      </c>
      <c r="F527" s="24" t="s">
        <v>16</v>
      </c>
      <c r="G527" s="17">
        <v>1</v>
      </c>
      <c r="H527" s="19">
        <v>668.48</v>
      </c>
      <c r="I527" t="s">
        <v>1743</v>
      </c>
      <c r="J527" s="24" t="s">
        <v>18</v>
      </c>
      <c r="K527" s="24" t="s">
        <v>19</v>
      </c>
      <c r="L527" t="s">
        <v>2009</v>
      </c>
      <c r="M527" s="17">
        <v>1</v>
      </c>
      <c r="N527" t="s">
        <v>21</v>
      </c>
      <c r="O527" s="24" t="s">
        <v>38</v>
      </c>
      <c r="P527" s="19">
        <v>668.48</v>
      </c>
      <c r="Q527" s="26" t="str">
        <f>IF(OR(P527&lt;'Descriptive Statistics'!$H$17,P527&gt;'Descriptive Statistics'!$H$18),"Potential Outlier","Within Range")</f>
        <v>Within Range</v>
      </c>
      <c r="R527" s="26" t="str">
        <f>IF(OR(G527&lt;'Descriptive Statistics'!$I$17,G527&gt;'Descriptive Statistics'!$I$18),"Potential Outlier","Within Range")</f>
        <v>Within Range</v>
      </c>
      <c r="S527" s="26" t="str">
        <f>IF(OR(H527&lt;'Descriptive Statistics'!$J$17,H527&gt;'Descriptive Statistics'!$J$18),"Potential Outlier","Within Range")</f>
        <v>Within Range</v>
      </c>
    </row>
    <row r="528" hidden="1" spans="1:19">
      <c r="A528" t="s">
        <v>2010</v>
      </c>
      <c r="B528" s="23">
        <v>45351</v>
      </c>
      <c r="C528" s="23" t="str">
        <f t="shared" si="16"/>
        <v>Feb</v>
      </c>
      <c r="D528" s="23" t="str">
        <f t="shared" si="17"/>
        <v>2024</v>
      </c>
      <c r="E528" t="s">
        <v>2011</v>
      </c>
      <c r="F528" s="24" t="s">
        <v>73</v>
      </c>
      <c r="G528" s="17">
        <v>2</v>
      </c>
      <c r="H528" s="19">
        <v>46.5</v>
      </c>
      <c r="I528" t="s">
        <v>407</v>
      </c>
      <c r="J528" s="24" t="s">
        <v>65</v>
      </c>
      <c r="K528" s="24" t="s">
        <v>43</v>
      </c>
      <c r="L528" t="s">
        <v>2012</v>
      </c>
      <c r="M528" s="17">
        <v>7</v>
      </c>
      <c r="N528" t="s">
        <v>81</v>
      </c>
      <c r="O528" s="24" t="s">
        <v>76</v>
      </c>
      <c r="P528" s="19">
        <v>93</v>
      </c>
      <c r="Q528" s="26" t="str">
        <f>IF(OR(P528&lt;'Descriptive Statistics'!$H$17,P528&gt;'Descriptive Statistics'!$H$18),"Potential Outlier","Within Range")</f>
        <v>Within Range</v>
      </c>
      <c r="R528" s="26" t="str">
        <f>IF(OR(G528&lt;'Descriptive Statistics'!$I$17,G528&gt;'Descriptive Statistics'!$I$18),"Potential Outlier","Within Range")</f>
        <v>Within Range</v>
      </c>
      <c r="S528" s="26" t="str">
        <f>IF(OR(H528&lt;'Descriptive Statistics'!$J$17,H528&gt;'Descriptive Statistics'!$J$18),"Potential Outlier","Within Range")</f>
        <v>Within Range</v>
      </c>
    </row>
    <row r="529" hidden="1" spans="1:19">
      <c r="A529" t="s">
        <v>2013</v>
      </c>
      <c r="B529" s="23">
        <v>45523</v>
      </c>
      <c r="C529" s="23" t="str">
        <f t="shared" si="16"/>
        <v>Aug</v>
      </c>
      <c r="D529" s="23" t="str">
        <f t="shared" si="17"/>
        <v>2024</v>
      </c>
      <c r="E529" t="s">
        <v>2014</v>
      </c>
      <c r="F529" s="24" t="s">
        <v>41</v>
      </c>
      <c r="G529" s="17">
        <v>5</v>
      </c>
      <c r="H529" s="19">
        <v>653.47</v>
      </c>
      <c r="I529" t="s">
        <v>371</v>
      </c>
      <c r="J529" s="24" t="s">
        <v>34</v>
      </c>
      <c r="K529" s="24" t="s">
        <v>35</v>
      </c>
      <c r="L529" t="s">
        <v>2015</v>
      </c>
      <c r="M529" s="17">
        <v>10</v>
      </c>
      <c r="N529" t="s">
        <v>21</v>
      </c>
      <c r="O529" s="24" t="s">
        <v>29</v>
      </c>
      <c r="P529" s="19">
        <v>3267.35</v>
      </c>
      <c r="Q529" s="26" t="str">
        <f>IF(OR(P529&lt;'Descriptive Statistics'!$H$17,P529&gt;'Descriptive Statistics'!$H$18),"Potential Outlier","Within Range")</f>
        <v>Within Range</v>
      </c>
      <c r="R529" s="26" t="str">
        <f>IF(OR(G529&lt;'Descriptive Statistics'!$I$17,G529&gt;'Descriptive Statistics'!$I$18),"Potential Outlier","Within Range")</f>
        <v>Within Range</v>
      </c>
      <c r="S529" s="26" t="str">
        <f>IF(OR(H529&lt;'Descriptive Statistics'!$J$17,H529&gt;'Descriptive Statistics'!$J$18),"Potential Outlier","Within Range")</f>
        <v>Within Range</v>
      </c>
    </row>
    <row r="530" hidden="1" spans="1:19">
      <c r="A530" t="s">
        <v>2016</v>
      </c>
      <c r="B530" s="23">
        <v>45714</v>
      </c>
      <c r="C530" s="23" t="str">
        <f t="shared" si="16"/>
        <v>Feb</v>
      </c>
      <c r="D530" s="23" t="str">
        <f t="shared" si="17"/>
        <v>2025</v>
      </c>
      <c r="E530" t="s">
        <v>2017</v>
      </c>
      <c r="F530" s="24" t="s">
        <v>41</v>
      </c>
      <c r="G530" s="17">
        <v>1</v>
      </c>
      <c r="H530" s="19">
        <v>628.89</v>
      </c>
      <c r="I530" t="s">
        <v>1758</v>
      </c>
      <c r="J530" s="24" t="s">
        <v>34</v>
      </c>
      <c r="K530" s="24" t="s">
        <v>43</v>
      </c>
      <c r="L530" t="s">
        <v>2018</v>
      </c>
      <c r="M530" s="17">
        <v>2</v>
      </c>
      <c r="N530" t="s">
        <v>21</v>
      </c>
      <c r="O530" s="24" t="s">
        <v>29</v>
      </c>
      <c r="P530" s="19">
        <v>628.89</v>
      </c>
      <c r="Q530" s="26" t="str">
        <f>IF(OR(P530&lt;'Descriptive Statistics'!$H$17,P530&gt;'Descriptive Statistics'!$H$18),"Potential Outlier","Within Range")</f>
        <v>Within Range</v>
      </c>
      <c r="R530" s="26" t="str">
        <f>IF(OR(G530&lt;'Descriptive Statistics'!$I$17,G530&gt;'Descriptive Statistics'!$I$18),"Potential Outlier","Within Range")</f>
        <v>Within Range</v>
      </c>
      <c r="S530" s="26" t="str">
        <f>IF(OR(H530&lt;'Descriptive Statistics'!$J$17,H530&gt;'Descriptive Statistics'!$J$18),"Potential Outlier","Within Range")</f>
        <v>Within Range</v>
      </c>
    </row>
    <row r="531" hidden="1" spans="1:19">
      <c r="A531" t="s">
        <v>2019</v>
      </c>
      <c r="B531" s="23">
        <v>45389</v>
      </c>
      <c r="C531" s="23" t="str">
        <f t="shared" si="16"/>
        <v>Apr</v>
      </c>
      <c r="D531" s="23" t="str">
        <f t="shared" si="17"/>
        <v>2024</v>
      </c>
      <c r="E531" t="s">
        <v>2020</v>
      </c>
      <c r="F531" s="24" t="s">
        <v>32</v>
      </c>
      <c r="G531" s="17">
        <v>2</v>
      </c>
      <c r="H531" s="19">
        <v>675.1</v>
      </c>
      <c r="I531" t="s">
        <v>2021</v>
      </c>
      <c r="J531" s="24" t="s">
        <v>65</v>
      </c>
      <c r="K531" s="24" t="s">
        <v>89</v>
      </c>
      <c r="L531" t="s">
        <v>2022</v>
      </c>
      <c r="M531" s="17">
        <v>4</v>
      </c>
      <c r="N531" t="s">
        <v>37</v>
      </c>
      <c r="O531" s="24" t="s">
        <v>76</v>
      </c>
      <c r="P531" s="19">
        <v>1350.2</v>
      </c>
      <c r="Q531" s="26" t="str">
        <f>IF(OR(P531&lt;'Descriptive Statistics'!$H$17,P531&gt;'Descriptive Statistics'!$H$18),"Potential Outlier","Within Range")</f>
        <v>Within Range</v>
      </c>
      <c r="R531" s="26" t="str">
        <f>IF(OR(G531&lt;'Descriptive Statistics'!$I$17,G531&gt;'Descriptive Statistics'!$I$18),"Potential Outlier","Within Range")</f>
        <v>Within Range</v>
      </c>
      <c r="S531" s="26" t="str">
        <f>IF(OR(H531&lt;'Descriptive Statistics'!$J$17,H531&gt;'Descriptive Statistics'!$J$18),"Potential Outlier","Within Range")</f>
        <v>Within Range</v>
      </c>
    </row>
    <row r="532" hidden="1" spans="1:19">
      <c r="A532" t="s">
        <v>2023</v>
      </c>
      <c r="B532" s="23">
        <v>45491</v>
      </c>
      <c r="C532" s="23" t="str">
        <f t="shared" si="16"/>
        <v>Jul</v>
      </c>
      <c r="D532" s="23" t="str">
        <f t="shared" si="17"/>
        <v>2024</v>
      </c>
      <c r="E532" t="s">
        <v>2024</v>
      </c>
      <c r="F532" s="24" t="s">
        <v>41</v>
      </c>
      <c r="G532" s="17">
        <v>4</v>
      </c>
      <c r="H532" s="19">
        <v>89.41</v>
      </c>
      <c r="I532" t="s">
        <v>2025</v>
      </c>
      <c r="J532" s="24" t="s">
        <v>27</v>
      </c>
      <c r="K532" s="24" t="s">
        <v>89</v>
      </c>
      <c r="L532" t="s">
        <v>2026</v>
      </c>
      <c r="M532" s="17">
        <v>9</v>
      </c>
      <c r="N532" t="s">
        <v>4295</v>
      </c>
      <c r="O532" s="24" t="s">
        <v>76</v>
      </c>
      <c r="P532" s="19">
        <v>357.64</v>
      </c>
      <c r="Q532" s="26" t="str">
        <f>IF(OR(P532&lt;'Descriptive Statistics'!$H$17,P532&gt;'Descriptive Statistics'!$H$18),"Potential Outlier","Within Range")</f>
        <v>Within Range</v>
      </c>
      <c r="R532" s="26" t="str">
        <f>IF(OR(G532&lt;'Descriptive Statistics'!$I$17,G532&gt;'Descriptive Statistics'!$I$18),"Potential Outlier","Within Range")</f>
        <v>Within Range</v>
      </c>
      <c r="S532" s="26" t="str">
        <f>IF(OR(H532&lt;'Descriptive Statistics'!$J$17,H532&gt;'Descriptive Statistics'!$J$18),"Potential Outlier","Within Range")</f>
        <v>Within Range</v>
      </c>
    </row>
    <row r="533" hidden="1" spans="1:19">
      <c r="A533" t="s">
        <v>2027</v>
      </c>
      <c r="B533" s="23">
        <v>45475</v>
      </c>
      <c r="C533" s="23" t="str">
        <f t="shared" si="16"/>
        <v>Jul</v>
      </c>
      <c r="D533" s="23" t="str">
        <f t="shared" si="17"/>
        <v>2024</v>
      </c>
      <c r="E533" t="s">
        <v>2028</v>
      </c>
      <c r="F533" s="24" t="s">
        <v>73</v>
      </c>
      <c r="G533" s="17">
        <v>5</v>
      </c>
      <c r="H533" s="19">
        <v>320.01</v>
      </c>
      <c r="I533" t="s">
        <v>2029</v>
      </c>
      <c r="J533" s="24" t="s">
        <v>60</v>
      </c>
      <c r="K533" s="24" t="s">
        <v>50</v>
      </c>
      <c r="L533" t="s">
        <v>2030</v>
      </c>
      <c r="M533" s="17">
        <v>6</v>
      </c>
      <c r="N533" t="s">
        <v>4295</v>
      </c>
      <c r="O533" s="24" t="s">
        <v>29</v>
      </c>
      <c r="P533" s="19">
        <v>1600.05</v>
      </c>
      <c r="Q533" s="26" t="str">
        <f>IF(OR(P533&lt;'Descriptive Statistics'!$H$17,P533&gt;'Descriptive Statistics'!$H$18),"Potential Outlier","Within Range")</f>
        <v>Within Range</v>
      </c>
      <c r="R533" s="26" t="str">
        <f>IF(OR(G533&lt;'Descriptive Statistics'!$I$17,G533&gt;'Descriptive Statistics'!$I$18),"Potential Outlier","Within Range")</f>
        <v>Within Range</v>
      </c>
      <c r="S533" s="26" t="str">
        <f>IF(OR(H533&lt;'Descriptive Statistics'!$J$17,H533&gt;'Descriptive Statistics'!$J$18),"Potential Outlier","Within Range")</f>
        <v>Within Range</v>
      </c>
    </row>
    <row r="534" hidden="1" spans="1:19">
      <c r="A534" t="s">
        <v>2031</v>
      </c>
      <c r="B534" s="23">
        <v>45780</v>
      </c>
      <c r="C534" s="23" t="str">
        <f t="shared" si="16"/>
        <v>May</v>
      </c>
      <c r="D534" s="23" t="str">
        <f t="shared" si="17"/>
        <v>2025</v>
      </c>
      <c r="E534" t="s">
        <v>2032</v>
      </c>
      <c r="F534" s="24" t="s">
        <v>58</v>
      </c>
      <c r="G534" s="17">
        <v>2</v>
      </c>
      <c r="H534" s="19">
        <v>41</v>
      </c>
      <c r="I534" t="s">
        <v>2033</v>
      </c>
      <c r="J534" s="24" t="s">
        <v>27</v>
      </c>
      <c r="K534" s="24" t="s">
        <v>50</v>
      </c>
      <c r="L534" t="s">
        <v>2034</v>
      </c>
      <c r="M534" s="17">
        <v>7</v>
      </c>
      <c r="N534" t="s">
        <v>4295</v>
      </c>
      <c r="O534" s="24" t="s">
        <v>38</v>
      </c>
      <c r="P534" s="19">
        <v>82</v>
      </c>
      <c r="Q534" s="26" t="str">
        <f>IF(OR(P534&lt;'Descriptive Statistics'!$H$17,P534&gt;'Descriptive Statistics'!$H$18),"Potential Outlier","Within Range")</f>
        <v>Within Range</v>
      </c>
      <c r="R534" s="26" t="str">
        <f>IF(OR(G534&lt;'Descriptive Statistics'!$I$17,G534&gt;'Descriptive Statistics'!$I$18),"Potential Outlier","Within Range")</f>
        <v>Within Range</v>
      </c>
      <c r="S534" s="26" t="str">
        <f>IF(OR(H534&lt;'Descriptive Statistics'!$J$17,H534&gt;'Descriptive Statistics'!$J$18),"Potential Outlier","Within Range")</f>
        <v>Within Range</v>
      </c>
    </row>
    <row r="535" hidden="1" spans="1:19">
      <c r="A535" t="s">
        <v>2035</v>
      </c>
      <c r="B535" s="23">
        <v>44990</v>
      </c>
      <c r="C535" s="23" t="str">
        <f t="shared" si="16"/>
        <v>Mar</v>
      </c>
      <c r="D535" s="23" t="str">
        <f t="shared" si="17"/>
        <v>2023</v>
      </c>
      <c r="E535" t="s">
        <v>2036</v>
      </c>
      <c r="F535" s="24" t="s">
        <v>73</v>
      </c>
      <c r="G535" s="17">
        <v>1</v>
      </c>
      <c r="H535" s="19">
        <v>565.85</v>
      </c>
      <c r="I535" t="s">
        <v>301</v>
      </c>
      <c r="J535" s="24" t="s">
        <v>60</v>
      </c>
      <c r="K535" s="24" t="s">
        <v>43</v>
      </c>
      <c r="L535" t="s">
        <v>2037</v>
      </c>
      <c r="M535" s="17">
        <v>1</v>
      </c>
      <c r="N535" t="s">
        <v>37</v>
      </c>
      <c r="O535" s="24" t="s">
        <v>45</v>
      </c>
      <c r="P535" s="19">
        <v>565.85</v>
      </c>
      <c r="Q535" s="26" t="str">
        <f>IF(OR(P535&lt;'Descriptive Statistics'!$H$17,P535&gt;'Descriptive Statistics'!$H$18),"Potential Outlier","Within Range")</f>
        <v>Within Range</v>
      </c>
      <c r="R535" s="26" t="str">
        <f>IF(OR(G535&lt;'Descriptive Statistics'!$I$17,G535&gt;'Descriptive Statistics'!$I$18),"Potential Outlier","Within Range")</f>
        <v>Within Range</v>
      </c>
      <c r="S535" s="26" t="str">
        <f>IF(OR(H535&lt;'Descriptive Statistics'!$J$17,H535&gt;'Descriptive Statistics'!$J$18),"Potential Outlier","Within Range")</f>
        <v>Within Range</v>
      </c>
    </row>
    <row r="536" hidden="1" spans="1:19">
      <c r="A536" t="s">
        <v>2038</v>
      </c>
      <c r="B536" s="23">
        <v>45449</v>
      </c>
      <c r="C536" s="23" t="str">
        <f t="shared" si="16"/>
        <v>Jun</v>
      </c>
      <c r="D536" s="23" t="str">
        <f t="shared" si="17"/>
        <v>2024</v>
      </c>
      <c r="E536" t="s">
        <v>2039</v>
      </c>
      <c r="F536" s="24" t="s">
        <v>41</v>
      </c>
      <c r="G536" s="17">
        <v>3</v>
      </c>
      <c r="H536" s="19">
        <v>648.59</v>
      </c>
      <c r="I536" t="s">
        <v>2040</v>
      </c>
      <c r="J536" s="24" t="s">
        <v>18</v>
      </c>
      <c r="K536" s="24" t="s">
        <v>35</v>
      </c>
      <c r="L536" t="s">
        <v>2041</v>
      </c>
      <c r="M536" s="17">
        <v>4</v>
      </c>
      <c r="N536" t="s">
        <v>21</v>
      </c>
      <c r="O536" s="24" t="s">
        <v>38</v>
      </c>
      <c r="P536" s="19">
        <v>1945.77</v>
      </c>
      <c r="Q536" s="26" t="str">
        <f>IF(OR(P536&lt;'Descriptive Statistics'!$H$17,P536&gt;'Descriptive Statistics'!$H$18),"Potential Outlier","Within Range")</f>
        <v>Within Range</v>
      </c>
      <c r="R536" s="26" t="str">
        <f>IF(OR(G536&lt;'Descriptive Statistics'!$I$17,G536&gt;'Descriptive Statistics'!$I$18),"Potential Outlier","Within Range")</f>
        <v>Within Range</v>
      </c>
      <c r="S536" s="26" t="str">
        <f>IF(OR(H536&lt;'Descriptive Statistics'!$J$17,H536&gt;'Descriptive Statistics'!$J$18),"Potential Outlier","Within Range")</f>
        <v>Within Range</v>
      </c>
    </row>
    <row r="537" hidden="1" spans="1:19">
      <c r="A537" t="s">
        <v>2042</v>
      </c>
      <c r="B537" s="23">
        <v>45497</v>
      </c>
      <c r="C537" s="23" t="str">
        <f t="shared" si="16"/>
        <v>Jul</v>
      </c>
      <c r="D537" s="23" t="str">
        <f t="shared" si="17"/>
        <v>2024</v>
      </c>
      <c r="E537" t="s">
        <v>2043</v>
      </c>
      <c r="F537" s="24" t="s">
        <v>16</v>
      </c>
      <c r="G537" s="17">
        <v>3</v>
      </c>
      <c r="H537" s="19">
        <v>68.12</v>
      </c>
      <c r="I537" t="s">
        <v>723</v>
      </c>
      <c r="J537" s="24" t="s">
        <v>27</v>
      </c>
      <c r="K537" s="24" t="s">
        <v>35</v>
      </c>
      <c r="L537" t="s">
        <v>2044</v>
      </c>
      <c r="M537" s="17">
        <v>3</v>
      </c>
      <c r="N537" t="s">
        <v>37</v>
      </c>
      <c r="O537" s="24" t="s">
        <v>38</v>
      </c>
      <c r="P537" s="19">
        <v>204.36</v>
      </c>
      <c r="Q537" s="26" t="str">
        <f>IF(OR(P537&lt;'Descriptive Statistics'!$H$17,P537&gt;'Descriptive Statistics'!$H$18),"Potential Outlier","Within Range")</f>
        <v>Within Range</v>
      </c>
      <c r="R537" s="26" t="str">
        <f>IF(OR(G537&lt;'Descriptive Statistics'!$I$17,G537&gt;'Descriptive Statistics'!$I$18),"Potential Outlier","Within Range")</f>
        <v>Within Range</v>
      </c>
      <c r="S537" s="26" t="str">
        <f>IF(OR(H537&lt;'Descriptive Statistics'!$J$17,H537&gt;'Descriptive Statistics'!$J$18),"Potential Outlier","Within Range")</f>
        <v>Within Range</v>
      </c>
    </row>
    <row r="538" hidden="1" spans="1:19">
      <c r="A538" t="s">
        <v>2045</v>
      </c>
      <c r="B538" s="23">
        <v>45452</v>
      </c>
      <c r="C538" s="23" t="str">
        <f t="shared" si="16"/>
        <v>Jun</v>
      </c>
      <c r="D538" s="23" t="str">
        <f t="shared" si="17"/>
        <v>2024</v>
      </c>
      <c r="E538" t="s">
        <v>2046</v>
      </c>
      <c r="F538" s="24" t="s">
        <v>41</v>
      </c>
      <c r="G538" s="17">
        <v>1</v>
      </c>
      <c r="H538" s="19">
        <v>616.1</v>
      </c>
      <c r="I538" t="s">
        <v>2047</v>
      </c>
      <c r="J538" s="24" t="s">
        <v>65</v>
      </c>
      <c r="K538" s="24" t="s">
        <v>43</v>
      </c>
      <c r="L538" t="s">
        <v>2048</v>
      </c>
      <c r="M538" s="17">
        <v>6</v>
      </c>
      <c r="N538" t="s">
        <v>4295</v>
      </c>
      <c r="O538" s="24" t="s">
        <v>38</v>
      </c>
      <c r="P538" s="19">
        <v>616.1</v>
      </c>
      <c r="Q538" s="26" t="str">
        <f>IF(OR(P538&lt;'Descriptive Statistics'!$H$17,P538&gt;'Descriptive Statistics'!$H$18),"Potential Outlier","Within Range")</f>
        <v>Within Range</v>
      </c>
      <c r="R538" s="26" t="str">
        <f>IF(OR(G538&lt;'Descriptive Statistics'!$I$17,G538&gt;'Descriptive Statistics'!$I$18),"Potential Outlier","Within Range")</f>
        <v>Within Range</v>
      </c>
      <c r="S538" s="26" t="str">
        <f>IF(OR(H538&lt;'Descriptive Statistics'!$J$17,H538&gt;'Descriptive Statistics'!$J$18),"Potential Outlier","Within Range")</f>
        <v>Within Range</v>
      </c>
    </row>
    <row r="539" hidden="1" spans="1:19">
      <c r="A539" t="s">
        <v>2049</v>
      </c>
      <c r="B539" s="23">
        <v>45739</v>
      </c>
      <c r="C539" s="23" t="str">
        <f t="shared" si="16"/>
        <v>Mar</v>
      </c>
      <c r="D539" s="23" t="str">
        <f t="shared" si="17"/>
        <v>2025</v>
      </c>
      <c r="E539" t="s">
        <v>2050</v>
      </c>
      <c r="F539" s="24" t="s">
        <v>32</v>
      </c>
      <c r="G539" s="17">
        <v>3</v>
      </c>
      <c r="H539" s="19">
        <v>247.47</v>
      </c>
      <c r="I539" t="s">
        <v>297</v>
      </c>
      <c r="J539" s="24" t="s">
        <v>27</v>
      </c>
      <c r="K539" s="24" t="s">
        <v>50</v>
      </c>
      <c r="L539" t="s">
        <v>2051</v>
      </c>
      <c r="M539" s="17">
        <v>4</v>
      </c>
      <c r="N539" t="s">
        <v>21</v>
      </c>
      <c r="O539" s="24" t="s">
        <v>45</v>
      </c>
      <c r="P539" s="19">
        <v>742.41</v>
      </c>
      <c r="Q539" s="26" t="str">
        <f>IF(OR(P539&lt;'Descriptive Statistics'!$H$17,P539&gt;'Descriptive Statistics'!$H$18),"Potential Outlier","Within Range")</f>
        <v>Within Range</v>
      </c>
      <c r="R539" s="26" t="str">
        <f>IF(OR(G539&lt;'Descriptive Statistics'!$I$17,G539&gt;'Descriptive Statistics'!$I$18),"Potential Outlier","Within Range")</f>
        <v>Within Range</v>
      </c>
      <c r="S539" s="26" t="str">
        <f>IF(OR(H539&lt;'Descriptive Statistics'!$J$17,H539&gt;'Descriptive Statistics'!$J$18),"Potential Outlier","Within Range")</f>
        <v>Within Range</v>
      </c>
    </row>
    <row r="540" hidden="1" spans="1:19">
      <c r="A540" t="s">
        <v>2052</v>
      </c>
      <c r="B540" s="23">
        <v>45436</v>
      </c>
      <c r="C540" s="23" t="str">
        <f t="shared" si="16"/>
        <v>May</v>
      </c>
      <c r="D540" s="23" t="str">
        <f t="shared" si="17"/>
        <v>2024</v>
      </c>
      <c r="E540" t="s">
        <v>2053</v>
      </c>
      <c r="F540" s="24" t="s">
        <v>25</v>
      </c>
      <c r="G540" s="17">
        <v>3</v>
      </c>
      <c r="H540" s="19">
        <v>490.74</v>
      </c>
      <c r="I540" t="s">
        <v>2054</v>
      </c>
      <c r="J540" s="24" t="s">
        <v>65</v>
      </c>
      <c r="K540" s="24" t="s">
        <v>19</v>
      </c>
      <c r="L540" t="s">
        <v>2055</v>
      </c>
      <c r="M540" s="17">
        <v>3</v>
      </c>
      <c r="N540" t="s">
        <v>81</v>
      </c>
      <c r="O540" s="24" t="s">
        <v>38</v>
      </c>
      <c r="P540" s="19">
        <v>1472.22</v>
      </c>
      <c r="Q540" s="26" t="str">
        <f>IF(OR(P540&lt;'Descriptive Statistics'!$H$17,P540&gt;'Descriptive Statistics'!$H$18),"Potential Outlier","Within Range")</f>
        <v>Within Range</v>
      </c>
      <c r="R540" s="26" t="str">
        <f>IF(OR(G540&lt;'Descriptive Statistics'!$I$17,G540&gt;'Descriptive Statistics'!$I$18),"Potential Outlier","Within Range")</f>
        <v>Within Range</v>
      </c>
      <c r="S540" s="26" t="str">
        <f>IF(OR(H540&lt;'Descriptive Statistics'!$J$17,H540&gt;'Descriptive Statistics'!$J$18),"Potential Outlier","Within Range")</f>
        <v>Within Range</v>
      </c>
    </row>
    <row r="541" hidden="1" spans="1:19">
      <c r="A541" t="s">
        <v>2056</v>
      </c>
      <c r="B541" s="23">
        <v>45706</v>
      </c>
      <c r="C541" s="23" t="str">
        <f t="shared" si="16"/>
        <v>Feb</v>
      </c>
      <c r="D541" s="23" t="str">
        <f t="shared" si="17"/>
        <v>2025</v>
      </c>
      <c r="E541" t="s">
        <v>2057</v>
      </c>
      <c r="F541" s="24" t="s">
        <v>73</v>
      </c>
      <c r="G541" s="17">
        <v>3</v>
      </c>
      <c r="H541" s="19">
        <v>531.72</v>
      </c>
      <c r="I541" t="s">
        <v>2058</v>
      </c>
      <c r="J541" s="24" t="s">
        <v>60</v>
      </c>
      <c r="K541" s="24" t="s">
        <v>50</v>
      </c>
      <c r="L541" t="s">
        <v>2059</v>
      </c>
      <c r="M541" s="17">
        <v>7</v>
      </c>
      <c r="N541" t="s">
        <v>21</v>
      </c>
      <c r="O541" s="24" t="s">
        <v>76</v>
      </c>
      <c r="P541" s="19">
        <v>1595.16</v>
      </c>
      <c r="Q541" s="26" t="str">
        <f>IF(OR(P541&lt;'Descriptive Statistics'!$H$17,P541&gt;'Descriptive Statistics'!$H$18),"Potential Outlier","Within Range")</f>
        <v>Within Range</v>
      </c>
      <c r="R541" s="26" t="str">
        <f>IF(OR(G541&lt;'Descriptive Statistics'!$I$17,G541&gt;'Descriptive Statistics'!$I$18),"Potential Outlier","Within Range")</f>
        <v>Within Range</v>
      </c>
      <c r="S541" s="26" t="str">
        <f>IF(OR(H541&lt;'Descriptive Statistics'!$J$17,H541&gt;'Descriptive Statistics'!$J$18),"Potential Outlier","Within Range")</f>
        <v>Within Range</v>
      </c>
    </row>
    <row r="542" hidden="1" spans="1:19">
      <c r="A542" t="s">
        <v>2060</v>
      </c>
      <c r="B542" s="23">
        <v>45320</v>
      </c>
      <c r="C542" s="23" t="str">
        <f t="shared" si="16"/>
        <v>Jan</v>
      </c>
      <c r="D542" s="23" t="str">
        <f t="shared" si="17"/>
        <v>2024</v>
      </c>
      <c r="E542" t="s">
        <v>2061</v>
      </c>
      <c r="F542" s="24" t="s">
        <v>58</v>
      </c>
      <c r="G542" s="17">
        <v>5</v>
      </c>
      <c r="H542" s="19">
        <v>648.65</v>
      </c>
      <c r="I542" t="s">
        <v>2062</v>
      </c>
      <c r="J542" s="24" t="s">
        <v>27</v>
      </c>
      <c r="K542" s="24" t="s">
        <v>89</v>
      </c>
      <c r="L542" t="s">
        <v>2063</v>
      </c>
      <c r="M542" s="17">
        <v>7</v>
      </c>
      <c r="N542" t="s">
        <v>4295</v>
      </c>
      <c r="O542" s="24" t="s">
        <v>29</v>
      </c>
      <c r="P542" s="19">
        <v>3243.25</v>
      </c>
      <c r="Q542" s="26" t="str">
        <f>IF(OR(P542&lt;'Descriptive Statistics'!$H$17,P542&gt;'Descriptive Statistics'!$H$18),"Potential Outlier","Within Range")</f>
        <v>Within Range</v>
      </c>
      <c r="R542" s="26" t="str">
        <f>IF(OR(G542&lt;'Descriptive Statistics'!$I$17,G542&gt;'Descriptive Statistics'!$I$18),"Potential Outlier","Within Range")</f>
        <v>Within Range</v>
      </c>
      <c r="S542" s="26" t="str">
        <f>IF(OR(H542&lt;'Descriptive Statistics'!$J$17,H542&gt;'Descriptive Statistics'!$J$18),"Potential Outlier","Within Range")</f>
        <v>Within Range</v>
      </c>
    </row>
    <row r="543" hidden="1" spans="1:19">
      <c r="A543" t="s">
        <v>2064</v>
      </c>
      <c r="B543" s="23">
        <v>45145</v>
      </c>
      <c r="C543" s="23" t="str">
        <f t="shared" si="16"/>
        <v>Aug</v>
      </c>
      <c r="D543" s="23" t="str">
        <f t="shared" si="17"/>
        <v>2023</v>
      </c>
      <c r="E543" t="s">
        <v>2065</v>
      </c>
      <c r="F543" s="24" t="s">
        <v>48</v>
      </c>
      <c r="G543" s="17">
        <v>5</v>
      </c>
      <c r="H543" s="19">
        <v>456.06</v>
      </c>
      <c r="I543" t="s">
        <v>2066</v>
      </c>
      <c r="J543" s="24" t="s">
        <v>65</v>
      </c>
      <c r="K543" s="24" t="s">
        <v>89</v>
      </c>
      <c r="L543" t="s">
        <v>2067</v>
      </c>
      <c r="M543" s="17">
        <v>10</v>
      </c>
      <c r="N543" t="s">
        <v>4295</v>
      </c>
      <c r="O543" s="24" t="s">
        <v>22</v>
      </c>
      <c r="P543" s="19">
        <v>2280.3</v>
      </c>
      <c r="Q543" s="26" t="str">
        <f>IF(OR(P543&lt;'Descriptive Statistics'!$H$17,P543&gt;'Descriptive Statistics'!$H$18),"Potential Outlier","Within Range")</f>
        <v>Within Range</v>
      </c>
      <c r="R543" s="26" t="str">
        <f>IF(OR(G543&lt;'Descriptive Statistics'!$I$17,G543&gt;'Descriptive Statistics'!$I$18),"Potential Outlier","Within Range")</f>
        <v>Within Range</v>
      </c>
      <c r="S543" s="26" t="str">
        <f>IF(OR(H543&lt;'Descriptive Statistics'!$J$17,H543&gt;'Descriptive Statistics'!$J$18),"Potential Outlier","Within Range")</f>
        <v>Within Range</v>
      </c>
    </row>
    <row r="544" hidden="1" spans="1:19">
      <c r="A544" t="s">
        <v>2068</v>
      </c>
      <c r="B544" s="23">
        <v>45244</v>
      </c>
      <c r="C544" s="23" t="str">
        <f t="shared" si="16"/>
        <v>Nov</v>
      </c>
      <c r="D544" s="23" t="str">
        <f t="shared" si="17"/>
        <v>2023</v>
      </c>
      <c r="E544" t="s">
        <v>2069</v>
      </c>
      <c r="F544" s="24" t="s">
        <v>32</v>
      </c>
      <c r="G544" s="17">
        <v>1</v>
      </c>
      <c r="H544" s="19">
        <v>17.98</v>
      </c>
      <c r="I544" t="s">
        <v>54</v>
      </c>
      <c r="J544" s="24" t="s">
        <v>65</v>
      </c>
      <c r="K544" s="24" t="s">
        <v>35</v>
      </c>
      <c r="L544" t="s">
        <v>2070</v>
      </c>
      <c r="M544" s="17">
        <v>6</v>
      </c>
      <c r="N544" t="s">
        <v>37</v>
      </c>
      <c r="O544" s="24" t="s">
        <v>38</v>
      </c>
      <c r="P544" s="19">
        <v>17.98</v>
      </c>
      <c r="Q544" s="26" t="str">
        <f>IF(OR(P544&lt;'Descriptive Statistics'!$H$17,P544&gt;'Descriptive Statistics'!$H$18),"Potential Outlier","Within Range")</f>
        <v>Within Range</v>
      </c>
      <c r="R544" s="26" t="str">
        <f>IF(OR(G544&lt;'Descriptive Statistics'!$I$17,G544&gt;'Descriptive Statistics'!$I$18),"Potential Outlier","Within Range")</f>
        <v>Within Range</v>
      </c>
      <c r="S544" s="26" t="str">
        <f>IF(OR(H544&lt;'Descriptive Statistics'!$J$17,H544&gt;'Descriptive Statistics'!$J$18),"Potential Outlier","Within Range")</f>
        <v>Within Range</v>
      </c>
    </row>
    <row r="545" hidden="1" spans="1:19">
      <c r="A545" t="s">
        <v>2071</v>
      </c>
      <c r="B545" s="23">
        <v>45360</v>
      </c>
      <c r="C545" s="23" t="str">
        <f t="shared" si="16"/>
        <v>Mar</v>
      </c>
      <c r="D545" s="23" t="str">
        <f t="shared" si="17"/>
        <v>2024</v>
      </c>
      <c r="E545" t="s">
        <v>2072</v>
      </c>
      <c r="F545" s="24" t="s">
        <v>73</v>
      </c>
      <c r="G545" s="17">
        <v>5</v>
      </c>
      <c r="H545" s="19">
        <v>269.86</v>
      </c>
      <c r="I545" t="s">
        <v>731</v>
      </c>
      <c r="J545" s="24" t="s">
        <v>65</v>
      </c>
      <c r="K545" s="24" t="s">
        <v>19</v>
      </c>
      <c r="L545" t="s">
        <v>2073</v>
      </c>
      <c r="M545" s="17">
        <v>6</v>
      </c>
      <c r="N545" t="s">
        <v>81</v>
      </c>
      <c r="O545" s="24" t="s">
        <v>45</v>
      </c>
      <c r="P545" s="19">
        <v>1349.3</v>
      </c>
      <c r="Q545" s="26" t="str">
        <f>IF(OR(P545&lt;'Descriptive Statistics'!$H$17,P545&gt;'Descriptive Statistics'!$H$18),"Potential Outlier","Within Range")</f>
        <v>Within Range</v>
      </c>
      <c r="R545" s="26" t="str">
        <f>IF(OR(G545&lt;'Descriptive Statistics'!$I$17,G545&gt;'Descriptive Statistics'!$I$18),"Potential Outlier","Within Range")</f>
        <v>Within Range</v>
      </c>
      <c r="S545" s="26" t="str">
        <f>IF(OR(H545&lt;'Descriptive Statistics'!$J$17,H545&gt;'Descriptive Statistics'!$J$18),"Potential Outlier","Within Range")</f>
        <v>Within Range</v>
      </c>
    </row>
    <row r="546" hidden="1" spans="1:19">
      <c r="A546" t="s">
        <v>2074</v>
      </c>
      <c r="B546" s="23">
        <v>45361</v>
      </c>
      <c r="C546" s="23" t="str">
        <f t="shared" si="16"/>
        <v>Mar</v>
      </c>
      <c r="D546" s="23" t="str">
        <f t="shared" si="17"/>
        <v>2024</v>
      </c>
      <c r="E546" t="s">
        <v>2075</v>
      </c>
      <c r="F546" s="24" t="s">
        <v>48</v>
      </c>
      <c r="G546" s="17">
        <v>5</v>
      </c>
      <c r="H546" s="19">
        <v>31.96</v>
      </c>
      <c r="I546" t="s">
        <v>1515</v>
      </c>
      <c r="J546" s="24" t="s">
        <v>34</v>
      </c>
      <c r="K546" s="24" t="s">
        <v>43</v>
      </c>
      <c r="L546" t="s">
        <v>2076</v>
      </c>
      <c r="M546" s="17">
        <v>5</v>
      </c>
      <c r="N546" t="s">
        <v>37</v>
      </c>
      <c r="O546" s="24" t="s">
        <v>29</v>
      </c>
      <c r="P546" s="19">
        <v>159.8</v>
      </c>
      <c r="Q546" s="26" t="str">
        <f>IF(OR(P546&lt;'Descriptive Statistics'!$H$17,P546&gt;'Descriptive Statistics'!$H$18),"Potential Outlier","Within Range")</f>
        <v>Within Range</v>
      </c>
      <c r="R546" s="26" t="str">
        <f>IF(OR(G546&lt;'Descriptive Statistics'!$I$17,G546&gt;'Descriptive Statistics'!$I$18),"Potential Outlier","Within Range")</f>
        <v>Within Range</v>
      </c>
      <c r="S546" s="26" t="str">
        <f>IF(OR(H546&lt;'Descriptive Statistics'!$J$17,H546&gt;'Descriptive Statistics'!$J$18),"Potential Outlier","Within Range")</f>
        <v>Within Range</v>
      </c>
    </row>
    <row r="547" hidden="1" spans="1:19">
      <c r="A547" t="s">
        <v>2077</v>
      </c>
      <c r="B547" s="23">
        <v>45279</v>
      </c>
      <c r="C547" s="23" t="str">
        <f t="shared" si="16"/>
        <v>Dec</v>
      </c>
      <c r="D547" s="23" t="str">
        <f t="shared" si="17"/>
        <v>2023</v>
      </c>
      <c r="E547" t="s">
        <v>2078</v>
      </c>
      <c r="F547" s="24" t="s">
        <v>16</v>
      </c>
      <c r="G547" s="17">
        <v>2</v>
      </c>
      <c r="H547" s="19">
        <v>98.47</v>
      </c>
      <c r="I547" t="s">
        <v>2079</v>
      </c>
      <c r="J547" s="24" t="s">
        <v>65</v>
      </c>
      <c r="K547" s="24" t="s">
        <v>43</v>
      </c>
      <c r="L547" t="s">
        <v>2080</v>
      </c>
      <c r="M547" s="17">
        <v>3</v>
      </c>
      <c r="N547" t="s">
        <v>4295</v>
      </c>
      <c r="O547" s="24" t="s">
        <v>22</v>
      </c>
      <c r="P547" s="19">
        <v>196.94</v>
      </c>
      <c r="Q547" s="26" t="str">
        <f>IF(OR(P547&lt;'Descriptive Statistics'!$H$17,P547&gt;'Descriptive Statistics'!$H$18),"Potential Outlier","Within Range")</f>
        <v>Within Range</v>
      </c>
      <c r="R547" s="26" t="str">
        <f>IF(OR(G547&lt;'Descriptive Statistics'!$I$17,G547&gt;'Descriptive Statistics'!$I$18),"Potential Outlier","Within Range")</f>
        <v>Within Range</v>
      </c>
      <c r="S547" s="26" t="str">
        <f>IF(OR(H547&lt;'Descriptive Statistics'!$J$17,H547&gt;'Descriptive Statistics'!$J$18),"Potential Outlier","Within Range")</f>
        <v>Within Range</v>
      </c>
    </row>
    <row r="548" hidden="1" spans="1:19">
      <c r="A548" t="s">
        <v>2081</v>
      </c>
      <c r="B548" s="23">
        <v>45352</v>
      </c>
      <c r="C548" s="23" t="str">
        <f t="shared" si="16"/>
        <v>Mar</v>
      </c>
      <c r="D548" s="23" t="str">
        <f t="shared" si="17"/>
        <v>2024</v>
      </c>
      <c r="E548" t="s">
        <v>2082</v>
      </c>
      <c r="F548" s="24" t="s">
        <v>16</v>
      </c>
      <c r="G548" s="17">
        <v>1</v>
      </c>
      <c r="H548" s="19">
        <v>158.68</v>
      </c>
      <c r="I548" t="s">
        <v>17</v>
      </c>
      <c r="J548" s="24" t="s">
        <v>34</v>
      </c>
      <c r="K548" s="24" t="s">
        <v>43</v>
      </c>
      <c r="L548" t="s">
        <v>2083</v>
      </c>
      <c r="M548" s="17">
        <v>6</v>
      </c>
      <c r="N548" t="s">
        <v>81</v>
      </c>
      <c r="O548" s="24" t="s">
        <v>22</v>
      </c>
      <c r="P548" s="19">
        <v>158.68</v>
      </c>
      <c r="Q548" s="26" t="str">
        <f>IF(OR(P548&lt;'Descriptive Statistics'!$H$17,P548&gt;'Descriptive Statistics'!$H$18),"Potential Outlier","Within Range")</f>
        <v>Within Range</v>
      </c>
      <c r="R548" s="26" t="str">
        <f>IF(OR(G548&lt;'Descriptive Statistics'!$I$17,G548&gt;'Descriptive Statistics'!$I$18),"Potential Outlier","Within Range")</f>
        <v>Within Range</v>
      </c>
      <c r="S548" s="26" t="str">
        <f>IF(OR(H548&lt;'Descriptive Statistics'!$J$17,H548&gt;'Descriptive Statistics'!$J$18),"Potential Outlier","Within Range")</f>
        <v>Within Range</v>
      </c>
    </row>
    <row r="549" hidden="1" spans="1:19">
      <c r="A549" t="s">
        <v>2084</v>
      </c>
      <c r="B549" s="23">
        <v>45158</v>
      </c>
      <c r="C549" s="23" t="str">
        <f t="shared" si="16"/>
        <v>Aug</v>
      </c>
      <c r="D549" s="23" t="str">
        <f t="shared" si="17"/>
        <v>2023</v>
      </c>
      <c r="E549" t="s">
        <v>2085</v>
      </c>
      <c r="F549" s="24" t="s">
        <v>25</v>
      </c>
      <c r="G549" s="17">
        <v>1</v>
      </c>
      <c r="H549" s="19">
        <v>613.98</v>
      </c>
      <c r="I549" t="s">
        <v>2086</v>
      </c>
      <c r="J549" s="24" t="s">
        <v>27</v>
      </c>
      <c r="K549" s="24" t="s">
        <v>50</v>
      </c>
      <c r="L549" t="s">
        <v>2087</v>
      </c>
      <c r="M549" s="17">
        <v>4</v>
      </c>
      <c r="N549" t="s">
        <v>37</v>
      </c>
      <c r="O549" s="24" t="s">
        <v>45</v>
      </c>
      <c r="P549" s="19">
        <v>613.98</v>
      </c>
      <c r="Q549" s="26" t="str">
        <f>IF(OR(P549&lt;'Descriptive Statistics'!$H$17,P549&gt;'Descriptive Statistics'!$H$18),"Potential Outlier","Within Range")</f>
        <v>Within Range</v>
      </c>
      <c r="R549" s="26" t="str">
        <f>IF(OR(G549&lt;'Descriptive Statistics'!$I$17,G549&gt;'Descriptive Statistics'!$I$18),"Potential Outlier","Within Range")</f>
        <v>Within Range</v>
      </c>
      <c r="S549" s="26" t="str">
        <f>IF(OR(H549&lt;'Descriptive Statistics'!$J$17,H549&gt;'Descriptive Statistics'!$J$18),"Potential Outlier","Within Range")</f>
        <v>Within Range</v>
      </c>
    </row>
    <row r="550" hidden="1" spans="1:19">
      <c r="A550" t="s">
        <v>2088</v>
      </c>
      <c r="B550" s="23">
        <v>45296</v>
      </c>
      <c r="C550" s="23" t="str">
        <f t="shared" si="16"/>
        <v>Jan</v>
      </c>
      <c r="D550" s="23" t="str">
        <f t="shared" si="17"/>
        <v>2024</v>
      </c>
      <c r="E550" t="s">
        <v>2089</v>
      </c>
      <c r="F550" s="24" t="s">
        <v>48</v>
      </c>
      <c r="G550" s="17">
        <v>3</v>
      </c>
      <c r="H550" s="19">
        <v>426.12</v>
      </c>
      <c r="I550" t="s">
        <v>422</v>
      </c>
      <c r="J550" s="24" t="s">
        <v>27</v>
      </c>
      <c r="K550" s="24" t="s">
        <v>50</v>
      </c>
      <c r="L550" t="s">
        <v>2090</v>
      </c>
      <c r="M550" s="17">
        <v>5</v>
      </c>
      <c r="N550" t="s">
        <v>81</v>
      </c>
      <c r="O550" s="24" t="s">
        <v>22</v>
      </c>
      <c r="P550" s="19">
        <v>1278.36</v>
      </c>
      <c r="Q550" s="26" t="str">
        <f>IF(OR(P550&lt;'Descriptive Statistics'!$H$17,P550&gt;'Descriptive Statistics'!$H$18),"Potential Outlier","Within Range")</f>
        <v>Within Range</v>
      </c>
      <c r="R550" s="26" t="str">
        <f>IF(OR(G550&lt;'Descriptive Statistics'!$I$17,G550&gt;'Descriptive Statistics'!$I$18),"Potential Outlier","Within Range")</f>
        <v>Within Range</v>
      </c>
      <c r="S550" s="26" t="str">
        <f>IF(OR(H550&lt;'Descriptive Statistics'!$J$17,H550&gt;'Descriptive Statistics'!$J$18),"Potential Outlier","Within Range")</f>
        <v>Within Range</v>
      </c>
    </row>
    <row r="551" hidden="1" spans="1:19">
      <c r="A551" t="s">
        <v>2091</v>
      </c>
      <c r="B551" s="23">
        <v>45713</v>
      </c>
      <c r="C551" s="23" t="str">
        <f t="shared" si="16"/>
        <v>Feb</v>
      </c>
      <c r="D551" s="23" t="str">
        <f t="shared" si="17"/>
        <v>2025</v>
      </c>
      <c r="E551" t="s">
        <v>2092</v>
      </c>
      <c r="F551" s="24" t="s">
        <v>16</v>
      </c>
      <c r="G551" s="17">
        <v>4</v>
      </c>
      <c r="H551" s="19">
        <v>629.88</v>
      </c>
      <c r="I551" t="s">
        <v>2093</v>
      </c>
      <c r="J551" s="24" t="s">
        <v>18</v>
      </c>
      <c r="K551" s="24" t="s">
        <v>35</v>
      </c>
      <c r="L551" t="s">
        <v>2094</v>
      </c>
      <c r="M551" s="17">
        <v>8</v>
      </c>
      <c r="N551" t="s">
        <v>81</v>
      </c>
      <c r="O551" s="24" t="s">
        <v>22</v>
      </c>
      <c r="P551" s="19">
        <v>2519.52</v>
      </c>
      <c r="Q551" s="26" t="str">
        <f>IF(OR(P551&lt;'Descriptive Statistics'!$H$17,P551&gt;'Descriptive Statistics'!$H$18),"Potential Outlier","Within Range")</f>
        <v>Within Range</v>
      </c>
      <c r="R551" s="26" t="str">
        <f>IF(OR(G551&lt;'Descriptive Statistics'!$I$17,G551&gt;'Descriptive Statistics'!$I$18),"Potential Outlier","Within Range")</f>
        <v>Within Range</v>
      </c>
      <c r="S551" s="26" t="str">
        <f>IF(OR(H551&lt;'Descriptive Statistics'!$J$17,H551&gt;'Descriptive Statistics'!$J$18),"Potential Outlier","Within Range")</f>
        <v>Within Range</v>
      </c>
    </row>
    <row r="552" hidden="1" spans="1:19">
      <c r="A552" t="s">
        <v>2095</v>
      </c>
      <c r="B552" s="23">
        <v>45228</v>
      </c>
      <c r="C552" s="23" t="str">
        <f t="shared" si="16"/>
        <v>Oct</v>
      </c>
      <c r="D552" s="23" t="str">
        <f t="shared" si="17"/>
        <v>2023</v>
      </c>
      <c r="E552" t="s">
        <v>2096</v>
      </c>
      <c r="F552" s="24" t="s">
        <v>58</v>
      </c>
      <c r="G552" s="17">
        <v>4</v>
      </c>
      <c r="H552" s="19">
        <v>228.91</v>
      </c>
      <c r="I552" t="s">
        <v>599</v>
      </c>
      <c r="J552" s="24" t="s">
        <v>65</v>
      </c>
      <c r="K552" s="24" t="s">
        <v>19</v>
      </c>
      <c r="L552" t="s">
        <v>2097</v>
      </c>
      <c r="M552" s="17">
        <v>4</v>
      </c>
      <c r="N552" t="s">
        <v>37</v>
      </c>
      <c r="O552" s="24" t="s">
        <v>76</v>
      </c>
      <c r="P552" s="19">
        <v>915.64</v>
      </c>
      <c r="Q552" s="26" t="str">
        <f>IF(OR(P552&lt;'Descriptive Statistics'!$H$17,P552&gt;'Descriptive Statistics'!$H$18),"Potential Outlier","Within Range")</f>
        <v>Within Range</v>
      </c>
      <c r="R552" s="26" t="str">
        <f>IF(OR(G552&lt;'Descriptive Statistics'!$I$17,G552&gt;'Descriptive Statistics'!$I$18),"Potential Outlier","Within Range")</f>
        <v>Within Range</v>
      </c>
      <c r="S552" s="26" t="str">
        <f>IF(OR(H552&lt;'Descriptive Statistics'!$J$17,H552&gt;'Descriptive Statistics'!$J$18),"Potential Outlier","Within Range")</f>
        <v>Within Range</v>
      </c>
    </row>
    <row r="553" hidden="1" spans="1:19">
      <c r="A553" t="s">
        <v>2098</v>
      </c>
      <c r="B553" s="23">
        <v>45064</v>
      </c>
      <c r="C553" s="23" t="str">
        <f t="shared" si="16"/>
        <v>May</v>
      </c>
      <c r="D553" s="23" t="str">
        <f t="shared" si="17"/>
        <v>2023</v>
      </c>
      <c r="E553" t="s">
        <v>2099</v>
      </c>
      <c r="F553" s="24" t="s">
        <v>58</v>
      </c>
      <c r="G553" s="17">
        <v>1</v>
      </c>
      <c r="H553" s="19">
        <v>120.98</v>
      </c>
      <c r="I553" t="s">
        <v>537</v>
      </c>
      <c r="J553" s="24" t="s">
        <v>18</v>
      </c>
      <c r="K553" s="24" t="s">
        <v>50</v>
      </c>
      <c r="L553" t="s">
        <v>2100</v>
      </c>
      <c r="M553" s="17">
        <v>6</v>
      </c>
      <c r="N553" t="s">
        <v>81</v>
      </c>
      <c r="O553" s="24" t="s">
        <v>38</v>
      </c>
      <c r="P553" s="19">
        <v>120.98</v>
      </c>
      <c r="Q553" s="26" t="str">
        <f>IF(OR(P553&lt;'Descriptive Statistics'!$H$17,P553&gt;'Descriptive Statistics'!$H$18),"Potential Outlier","Within Range")</f>
        <v>Within Range</v>
      </c>
      <c r="R553" s="26" t="str">
        <f>IF(OR(G553&lt;'Descriptive Statistics'!$I$17,G553&gt;'Descriptive Statistics'!$I$18),"Potential Outlier","Within Range")</f>
        <v>Within Range</v>
      </c>
      <c r="S553" s="26" t="str">
        <f>IF(OR(H553&lt;'Descriptive Statistics'!$J$17,H553&gt;'Descriptive Statistics'!$J$18),"Potential Outlier","Within Range")</f>
        <v>Within Range</v>
      </c>
    </row>
    <row r="554" hidden="1" spans="1:19">
      <c r="A554" t="s">
        <v>2101</v>
      </c>
      <c r="B554" s="23">
        <v>45199</v>
      </c>
      <c r="C554" s="23" t="str">
        <f t="shared" si="16"/>
        <v>Sep</v>
      </c>
      <c r="D554" s="23" t="str">
        <f t="shared" si="17"/>
        <v>2023</v>
      </c>
      <c r="E554" t="s">
        <v>2102</v>
      </c>
      <c r="F554" s="24" t="s">
        <v>41</v>
      </c>
      <c r="G554" s="17">
        <v>4</v>
      </c>
      <c r="H554" s="19">
        <v>425.18</v>
      </c>
      <c r="I554" t="s">
        <v>1956</v>
      </c>
      <c r="J554" s="24" t="s">
        <v>27</v>
      </c>
      <c r="K554" s="24" t="s">
        <v>43</v>
      </c>
      <c r="L554" t="s">
        <v>2103</v>
      </c>
      <c r="M554" s="17">
        <v>8</v>
      </c>
      <c r="N554" t="s">
        <v>81</v>
      </c>
      <c r="O554" s="24" t="s">
        <v>45</v>
      </c>
      <c r="P554" s="19">
        <v>1700.72</v>
      </c>
      <c r="Q554" s="26" t="str">
        <f>IF(OR(P554&lt;'Descriptive Statistics'!$H$17,P554&gt;'Descriptive Statistics'!$H$18),"Potential Outlier","Within Range")</f>
        <v>Within Range</v>
      </c>
      <c r="R554" s="26" t="str">
        <f>IF(OR(G554&lt;'Descriptive Statistics'!$I$17,G554&gt;'Descriptive Statistics'!$I$18),"Potential Outlier","Within Range")</f>
        <v>Within Range</v>
      </c>
      <c r="S554" s="26" t="str">
        <f>IF(OR(H554&lt;'Descriptive Statistics'!$J$17,H554&gt;'Descriptive Statistics'!$J$18),"Potential Outlier","Within Range")</f>
        <v>Within Range</v>
      </c>
    </row>
    <row r="555" hidden="1" spans="1:19">
      <c r="A555" t="s">
        <v>2104</v>
      </c>
      <c r="B555" s="23">
        <v>45161</v>
      </c>
      <c r="C555" s="23" t="str">
        <f t="shared" si="16"/>
        <v>Aug</v>
      </c>
      <c r="D555" s="23" t="str">
        <f t="shared" si="17"/>
        <v>2023</v>
      </c>
      <c r="E555" t="s">
        <v>2105</v>
      </c>
      <c r="F555" s="24" t="s">
        <v>25</v>
      </c>
      <c r="G555" s="17">
        <v>2</v>
      </c>
      <c r="H555" s="19">
        <v>333.83</v>
      </c>
      <c r="I555" t="s">
        <v>2106</v>
      </c>
      <c r="J555" s="24" t="s">
        <v>60</v>
      </c>
      <c r="K555" s="24" t="s">
        <v>35</v>
      </c>
      <c r="L555" t="s">
        <v>2107</v>
      </c>
      <c r="M555" s="17">
        <v>4</v>
      </c>
      <c r="N555" t="s">
        <v>37</v>
      </c>
      <c r="O555" s="24" t="s">
        <v>29</v>
      </c>
      <c r="P555" s="19">
        <v>667.66</v>
      </c>
      <c r="Q555" s="26" t="str">
        <f>IF(OR(P555&lt;'Descriptive Statistics'!$H$17,P555&gt;'Descriptive Statistics'!$H$18),"Potential Outlier","Within Range")</f>
        <v>Within Range</v>
      </c>
      <c r="R555" s="26" t="str">
        <f>IF(OR(G555&lt;'Descriptive Statistics'!$I$17,G555&gt;'Descriptive Statistics'!$I$18),"Potential Outlier","Within Range")</f>
        <v>Within Range</v>
      </c>
      <c r="S555" s="26" t="str">
        <f>IF(OR(H555&lt;'Descriptive Statistics'!$J$17,H555&gt;'Descriptive Statistics'!$J$18),"Potential Outlier","Within Range")</f>
        <v>Within Range</v>
      </c>
    </row>
    <row r="556" hidden="1" spans="1:19">
      <c r="A556" t="s">
        <v>2108</v>
      </c>
      <c r="B556" s="23">
        <v>45807</v>
      </c>
      <c r="C556" s="23" t="str">
        <f t="shared" si="16"/>
        <v>May</v>
      </c>
      <c r="D556" s="23" t="str">
        <f t="shared" si="17"/>
        <v>2025</v>
      </c>
      <c r="E556" t="s">
        <v>2109</v>
      </c>
      <c r="F556" s="24" t="s">
        <v>58</v>
      </c>
      <c r="G556" s="17">
        <v>2</v>
      </c>
      <c r="H556" s="19">
        <v>492.9</v>
      </c>
      <c r="I556" t="s">
        <v>937</v>
      </c>
      <c r="J556" s="24" t="s">
        <v>65</v>
      </c>
      <c r="K556" s="24" t="s">
        <v>43</v>
      </c>
      <c r="L556" t="s">
        <v>2110</v>
      </c>
      <c r="M556" s="17">
        <v>5</v>
      </c>
      <c r="N556" t="s">
        <v>37</v>
      </c>
      <c r="O556" s="24" t="s">
        <v>22</v>
      </c>
      <c r="P556" s="19">
        <v>985.8</v>
      </c>
      <c r="Q556" s="26" t="str">
        <f>IF(OR(P556&lt;'Descriptive Statistics'!$H$17,P556&gt;'Descriptive Statistics'!$H$18),"Potential Outlier","Within Range")</f>
        <v>Within Range</v>
      </c>
      <c r="R556" s="26" t="str">
        <f>IF(OR(G556&lt;'Descriptive Statistics'!$I$17,G556&gt;'Descriptive Statistics'!$I$18),"Potential Outlier","Within Range")</f>
        <v>Within Range</v>
      </c>
      <c r="S556" s="26" t="str">
        <f>IF(OR(H556&lt;'Descriptive Statistics'!$J$17,H556&gt;'Descriptive Statistics'!$J$18),"Potential Outlier","Within Range")</f>
        <v>Within Range</v>
      </c>
    </row>
    <row r="557" hidden="1" spans="1:19">
      <c r="A557" t="s">
        <v>2111</v>
      </c>
      <c r="B557" s="23">
        <v>44933</v>
      </c>
      <c r="C557" s="23" t="str">
        <f t="shared" si="16"/>
        <v>Jan</v>
      </c>
      <c r="D557" s="23" t="str">
        <f t="shared" si="17"/>
        <v>2023</v>
      </c>
      <c r="E557" t="s">
        <v>2112</v>
      </c>
      <c r="F557" s="24" t="s">
        <v>32</v>
      </c>
      <c r="G557" s="17">
        <v>1</v>
      </c>
      <c r="H557" s="19">
        <v>92.04</v>
      </c>
      <c r="I557" t="s">
        <v>79</v>
      </c>
      <c r="J557" s="24" t="s">
        <v>65</v>
      </c>
      <c r="K557" s="24" t="s">
        <v>19</v>
      </c>
      <c r="L557" t="s">
        <v>2113</v>
      </c>
      <c r="M557" s="17">
        <v>2</v>
      </c>
      <c r="N557" t="s">
        <v>4295</v>
      </c>
      <c r="O557" s="24" t="s">
        <v>45</v>
      </c>
      <c r="P557" s="19">
        <v>92.04</v>
      </c>
      <c r="Q557" s="26" t="str">
        <f>IF(OR(P557&lt;'Descriptive Statistics'!$H$17,P557&gt;'Descriptive Statistics'!$H$18),"Potential Outlier","Within Range")</f>
        <v>Within Range</v>
      </c>
      <c r="R557" s="26" t="str">
        <f>IF(OR(G557&lt;'Descriptive Statistics'!$I$17,G557&gt;'Descriptive Statistics'!$I$18),"Potential Outlier","Within Range")</f>
        <v>Within Range</v>
      </c>
      <c r="S557" s="26" t="str">
        <f>IF(OR(H557&lt;'Descriptive Statistics'!$J$17,H557&gt;'Descriptive Statistics'!$J$18),"Potential Outlier","Within Range")</f>
        <v>Within Range</v>
      </c>
    </row>
    <row r="558" hidden="1" spans="1:19">
      <c r="A558" t="s">
        <v>2114</v>
      </c>
      <c r="B558" s="23">
        <v>44954</v>
      </c>
      <c r="C558" s="23" t="str">
        <f t="shared" si="16"/>
        <v>Jan</v>
      </c>
      <c r="D558" s="23" t="str">
        <f t="shared" si="17"/>
        <v>2023</v>
      </c>
      <c r="E558" t="s">
        <v>2115</v>
      </c>
      <c r="F558" s="24" t="s">
        <v>58</v>
      </c>
      <c r="G558" s="17">
        <v>1</v>
      </c>
      <c r="H558" s="19">
        <v>654.27</v>
      </c>
      <c r="I558" t="s">
        <v>2116</v>
      </c>
      <c r="J558" s="24" t="s">
        <v>60</v>
      </c>
      <c r="K558" s="24" t="s">
        <v>89</v>
      </c>
      <c r="L558" t="s">
        <v>2117</v>
      </c>
      <c r="M558" s="17">
        <v>2</v>
      </c>
      <c r="N558" t="s">
        <v>21</v>
      </c>
      <c r="O558" s="24" t="s">
        <v>45</v>
      </c>
      <c r="P558" s="19">
        <v>654.27</v>
      </c>
      <c r="Q558" s="26" t="str">
        <f>IF(OR(P558&lt;'Descriptive Statistics'!$H$17,P558&gt;'Descriptive Statistics'!$H$18),"Potential Outlier","Within Range")</f>
        <v>Within Range</v>
      </c>
      <c r="R558" s="26" t="str">
        <f>IF(OR(G558&lt;'Descriptive Statistics'!$I$17,G558&gt;'Descriptive Statistics'!$I$18),"Potential Outlier","Within Range")</f>
        <v>Within Range</v>
      </c>
      <c r="S558" s="26" t="str">
        <f>IF(OR(H558&lt;'Descriptive Statistics'!$J$17,H558&gt;'Descriptive Statistics'!$J$18),"Potential Outlier","Within Range")</f>
        <v>Within Range</v>
      </c>
    </row>
    <row r="559" hidden="1" spans="1:19">
      <c r="A559" t="s">
        <v>2118</v>
      </c>
      <c r="B559" s="23">
        <v>45106</v>
      </c>
      <c r="C559" s="23" t="str">
        <f t="shared" si="16"/>
        <v>Jun</v>
      </c>
      <c r="D559" s="23" t="str">
        <f t="shared" si="17"/>
        <v>2023</v>
      </c>
      <c r="E559" t="s">
        <v>2119</v>
      </c>
      <c r="F559" s="24" t="s">
        <v>32</v>
      </c>
      <c r="G559" s="17">
        <v>1</v>
      </c>
      <c r="H559" s="19">
        <v>56.2</v>
      </c>
      <c r="I559" t="s">
        <v>2120</v>
      </c>
      <c r="J559" s="24" t="s">
        <v>18</v>
      </c>
      <c r="K559" s="24" t="s">
        <v>89</v>
      </c>
      <c r="L559" t="s">
        <v>2121</v>
      </c>
      <c r="M559" s="17">
        <v>1</v>
      </c>
      <c r="N559" t="s">
        <v>81</v>
      </c>
      <c r="O559" s="24" t="s">
        <v>45</v>
      </c>
      <c r="P559" s="19">
        <v>56.2</v>
      </c>
      <c r="Q559" s="26" t="str">
        <f>IF(OR(P559&lt;'Descriptive Statistics'!$H$17,P559&gt;'Descriptive Statistics'!$H$18),"Potential Outlier","Within Range")</f>
        <v>Within Range</v>
      </c>
      <c r="R559" s="26" t="str">
        <f>IF(OR(G559&lt;'Descriptive Statistics'!$I$17,G559&gt;'Descriptive Statistics'!$I$18),"Potential Outlier","Within Range")</f>
        <v>Within Range</v>
      </c>
      <c r="S559" s="26" t="str">
        <f>IF(OR(H559&lt;'Descriptive Statistics'!$J$17,H559&gt;'Descriptive Statistics'!$J$18),"Potential Outlier","Within Range")</f>
        <v>Within Range</v>
      </c>
    </row>
    <row r="560" hidden="1" spans="1:19">
      <c r="A560" t="s">
        <v>2122</v>
      </c>
      <c r="B560" s="23">
        <v>45489</v>
      </c>
      <c r="C560" s="23" t="str">
        <f t="shared" si="16"/>
        <v>Jul</v>
      </c>
      <c r="D560" s="23" t="str">
        <f t="shared" si="17"/>
        <v>2024</v>
      </c>
      <c r="E560" t="s">
        <v>2123</v>
      </c>
      <c r="F560" s="24" t="s">
        <v>25</v>
      </c>
      <c r="G560" s="17">
        <v>4</v>
      </c>
      <c r="H560" s="19">
        <v>628.12</v>
      </c>
      <c r="I560" t="s">
        <v>2124</v>
      </c>
      <c r="J560" s="24" t="s">
        <v>27</v>
      </c>
      <c r="K560" s="24" t="s">
        <v>50</v>
      </c>
      <c r="L560" t="s">
        <v>2125</v>
      </c>
      <c r="M560" s="17">
        <v>6</v>
      </c>
      <c r="N560" t="s">
        <v>81</v>
      </c>
      <c r="O560" s="24" t="s">
        <v>22</v>
      </c>
      <c r="P560" s="19">
        <v>2512.48</v>
      </c>
      <c r="Q560" s="26" t="str">
        <f>IF(OR(P560&lt;'Descriptive Statistics'!$H$17,P560&gt;'Descriptive Statistics'!$H$18),"Potential Outlier","Within Range")</f>
        <v>Within Range</v>
      </c>
      <c r="R560" s="26" t="str">
        <f>IF(OR(G560&lt;'Descriptive Statistics'!$I$17,G560&gt;'Descriptive Statistics'!$I$18),"Potential Outlier","Within Range")</f>
        <v>Within Range</v>
      </c>
      <c r="S560" s="26" t="str">
        <f>IF(OR(H560&lt;'Descriptive Statistics'!$J$17,H560&gt;'Descriptive Statistics'!$J$18),"Potential Outlier","Within Range")</f>
        <v>Within Range</v>
      </c>
    </row>
    <row r="561" hidden="1" spans="1:19">
      <c r="A561" t="s">
        <v>2126</v>
      </c>
      <c r="B561" s="23">
        <v>45397</v>
      </c>
      <c r="C561" s="23" t="str">
        <f t="shared" si="16"/>
        <v>Apr</v>
      </c>
      <c r="D561" s="23" t="str">
        <f t="shared" si="17"/>
        <v>2024</v>
      </c>
      <c r="E561" t="s">
        <v>2127</v>
      </c>
      <c r="F561" s="24" t="s">
        <v>73</v>
      </c>
      <c r="G561" s="17">
        <v>3</v>
      </c>
      <c r="H561" s="19">
        <v>157.4</v>
      </c>
      <c r="I561" t="s">
        <v>1912</v>
      </c>
      <c r="J561" s="24" t="s">
        <v>18</v>
      </c>
      <c r="K561" s="24" t="s">
        <v>35</v>
      </c>
      <c r="L561" t="s">
        <v>2128</v>
      </c>
      <c r="M561" s="17">
        <v>7</v>
      </c>
      <c r="N561" t="s">
        <v>81</v>
      </c>
      <c r="O561" s="24" t="s">
        <v>38</v>
      </c>
      <c r="P561" s="19">
        <v>472.2</v>
      </c>
      <c r="Q561" s="26" t="str">
        <f>IF(OR(P561&lt;'Descriptive Statistics'!$H$17,P561&gt;'Descriptive Statistics'!$H$18),"Potential Outlier","Within Range")</f>
        <v>Within Range</v>
      </c>
      <c r="R561" s="26" t="str">
        <f>IF(OR(G561&lt;'Descriptive Statistics'!$I$17,G561&gt;'Descriptive Statistics'!$I$18),"Potential Outlier","Within Range")</f>
        <v>Within Range</v>
      </c>
      <c r="S561" s="26" t="str">
        <f>IF(OR(H561&lt;'Descriptive Statistics'!$J$17,H561&gt;'Descriptive Statistics'!$J$18),"Potential Outlier","Within Range")</f>
        <v>Within Range</v>
      </c>
    </row>
    <row r="562" hidden="1" spans="1:19">
      <c r="A562" t="s">
        <v>2129</v>
      </c>
      <c r="B562" s="23">
        <v>44957</v>
      </c>
      <c r="C562" s="23" t="str">
        <f t="shared" si="16"/>
        <v>Jan</v>
      </c>
      <c r="D562" s="23" t="str">
        <f t="shared" si="17"/>
        <v>2023</v>
      </c>
      <c r="E562" t="s">
        <v>2130</v>
      </c>
      <c r="F562" s="24" t="s">
        <v>16</v>
      </c>
      <c r="G562" s="17">
        <v>4</v>
      </c>
      <c r="H562" s="19">
        <v>588.85</v>
      </c>
      <c r="I562" t="s">
        <v>2131</v>
      </c>
      <c r="J562" s="24" t="s">
        <v>60</v>
      </c>
      <c r="K562" s="24" t="s">
        <v>89</v>
      </c>
      <c r="L562" t="s">
        <v>2132</v>
      </c>
      <c r="M562" s="17">
        <v>7</v>
      </c>
      <c r="N562" t="s">
        <v>4295</v>
      </c>
      <c r="O562" s="24" t="s">
        <v>38</v>
      </c>
      <c r="P562" s="19">
        <v>2355.4</v>
      </c>
      <c r="Q562" s="26" t="str">
        <f>IF(OR(P562&lt;'Descriptive Statistics'!$H$17,P562&gt;'Descriptive Statistics'!$H$18),"Potential Outlier","Within Range")</f>
        <v>Within Range</v>
      </c>
      <c r="R562" s="26" t="str">
        <f>IF(OR(G562&lt;'Descriptive Statistics'!$I$17,G562&gt;'Descriptive Statistics'!$I$18),"Potential Outlier","Within Range")</f>
        <v>Within Range</v>
      </c>
      <c r="S562" s="26" t="str">
        <f>IF(OR(H562&lt;'Descriptive Statistics'!$J$17,H562&gt;'Descriptive Statistics'!$J$18),"Potential Outlier","Within Range")</f>
        <v>Within Range</v>
      </c>
    </row>
    <row r="563" hidden="1" spans="1:19">
      <c r="A563" t="s">
        <v>2133</v>
      </c>
      <c r="B563" s="23">
        <v>44957</v>
      </c>
      <c r="C563" s="23" t="str">
        <f t="shared" si="16"/>
        <v>Jan</v>
      </c>
      <c r="D563" s="23" t="str">
        <f t="shared" si="17"/>
        <v>2023</v>
      </c>
      <c r="E563" t="s">
        <v>2134</v>
      </c>
      <c r="F563" s="24" t="s">
        <v>48</v>
      </c>
      <c r="G563" s="17">
        <v>2</v>
      </c>
      <c r="H563" s="19">
        <v>494.78</v>
      </c>
      <c r="I563" t="s">
        <v>2135</v>
      </c>
      <c r="J563" s="24" t="s">
        <v>27</v>
      </c>
      <c r="K563" s="24" t="s">
        <v>19</v>
      </c>
      <c r="L563" t="s">
        <v>2136</v>
      </c>
      <c r="M563" s="17">
        <v>2</v>
      </c>
      <c r="N563" t="s">
        <v>4295</v>
      </c>
      <c r="O563" s="24" t="s">
        <v>76</v>
      </c>
      <c r="P563" s="19">
        <v>989.56</v>
      </c>
      <c r="Q563" s="26" t="str">
        <f>IF(OR(P563&lt;'Descriptive Statistics'!$H$17,P563&gt;'Descriptive Statistics'!$H$18),"Potential Outlier","Within Range")</f>
        <v>Within Range</v>
      </c>
      <c r="R563" s="26" t="str">
        <f>IF(OR(G563&lt;'Descriptive Statistics'!$I$17,G563&gt;'Descriptive Statistics'!$I$18),"Potential Outlier","Within Range")</f>
        <v>Within Range</v>
      </c>
      <c r="S563" s="26" t="str">
        <f>IF(OR(H563&lt;'Descriptive Statistics'!$J$17,H563&gt;'Descriptive Statistics'!$J$18),"Potential Outlier","Within Range")</f>
        <v>Within Range</v>
      </c>
    </row>
    <row r="564" hidden="1" spans="1:19">
      <c r="A564" t="s">
        <v>2137</v>
      </c>
      <c r="B564" s="23">
        <v>45205</v>
      </c>
      <c r="C564" s="23" t="str">
        <f t="shared" si="16"/>
        <v>Oct</v>
      </c>
      <c r="D564" s="23" t="str">
        <f t="shared" si="17"/>
        <v>2023</v>
      </c>
      <c r="E564" t="s">
        <v>2138</v>
      </c>
      <c r="F564" s="24" t="s">
        <v>58</v>
      </c>
      <c r="G564" s="17">
        <v>3</v>
      </c>
      <c r="H564" s="19">
        <v>663.93</v>
      </c>
      <c r="I564" t="s">
        <v>422</v>
      </c>
      <c r="J564" s="24" t="s">
        <v>60</v>
      </c>
      <c r="K564" s="24" t="s">
        <v>43</v>
      </c>
      <c r="L564" t="s">
        <v>2139</v>
      </c>
      <c r="M564" s="17">
        <v>6</v>
      </c>
      <c r="N564" t="s">
        <v>37</v>
      </c>
      <c r="O564" s="24" t="s">
        <v>38</v>
      </c>
      <c r="P564" s="19">
        <v>1991.79</v>
      </c>
      <c r="Q564" s="26" t="str">
        <f>IF(OR(P564&lt;'Descriptive Statistics'!$H$17,P564&gt;'Descriptive Statistics'!$H$18),"Potential Outlier","Within Range")</f>
        <v>Within Range</v>
      </c>
      <c r="R564" s="26" t="str">
        <f>IF(OR(G564&lt;'Descriptive Statistics'!$I$17,G564&gt;'Descriptive Statistics'!$I$18),"Potential Outlier","Within Range")</f>
        <v>Within Range</v>
      </c>
      <c r="S564" s="26" t="str">
        <f>IF(OR(H564&lt;'Descriptive Statistics'!$J$17,H564&gt;'Descriptive Statistics'!$J$18),"Potential Outlier","Within Range")</f>
        <v>Within Range</v>
      </c>
    </row>
    <row r="565" hidden="1" spans="1:19">
      <c r="A565" t="s">
        <v>2140</v>
      </c>
      <c r="B565" s="23">
        <v>45272</v>
      </c>
      <c r="C565" s="23" t="str">
        <f t="shared" si="16"/>
        <v>Dec</v>
      </c>
      <c r="D565" s="23" t="str">
        <f t="shared" si="17"/>
        <v>2023</v>
      </c>
      <c r="E565" t="s">
        <v>2141</v>
      </c>
      <c r="F565" s="24" t="s">
        <v>58</v>
      </c>
      <c r="G565" s="17">
        <v>1</v>
      </c>
      <c r="H565" s="19">
        <v>132.68</v>
      </c>
      <c r="I565" t="s">
        <v>2142</v>
      </c>
      <c r="J565" s="24" t="s">
        <v>18</v>
      </c>
      <c r="K565" s="24" t="s">
        <v>43</v>
      </c>
      <c r="L565" t="s">
        <v>2143</v>
      </c>
      <c r="M565" s="17">
        <v>1</v>
      </c>
      <c r="N565" t="s">
        <v>21</v>
      </c>
      <c r="O565" s="24" t="s">
        <v>29</v>
      </c>
      <c r="P565" s="19">
        <v>132.68</v>
      </c>
      <c r="Q565" s="26" t="str">
        <f>IF(OR(P565&lt;'Descriptive Statistics'!$H$17,P565&gt;'Descriptive Statistics'!$H$18),"Potential Outlier","Within Range")</f>
        <v>Within Range</v>
      </c>
      <c r="R565" s="26" t="str">
        <f>IF(OR(G565&lt;'Descriptive Statistics'!$I$17,G565&gt;'Descriptive Statistics'!$I$18),"Potential Outlier","Within Range")</f>
        <v>Within Range</v>
      </c>
      <c r="S565" s="26" t="str">
        <f>IF(OR(H565&lt;'Descriptive Statistics'!$J$17,H565&gt;'Descriptive Statistics'!$J$18),"Potential Outlier","Within Range")</f>
        <v>Within Range</v>
      </c>
    </row>
    <row r="566" hidden="1" spans="1:19">
      <c r="A566" t="s">
        <v>2144</v>
      </c>
      <c r="B566" s="23">
        <v>45755</v>
      </c>
      <c r="C566" s="23" t="str">
        <f t="shared" si="16"/>
        <v>Apr</v>
      </c>
      <c r="D566" s="23" t="str">
        <f t="shared" si="17"/>
        <v>2025</v>
      </c>
      <c r="E566" t="s">
        <v>2145</v>
      </c>
      <c r="F566" s="24" t="s">
        <v>73</v>
      </c>
      <c r="G566" s="17">
        <v>5</v>
      </c>
      <c r="H566" s="19">
        <v>364.28</v>
      </c>
      <c r="I566" t="s">
        <v>2146</v>
      </c>
      <c r="J566" s="24" t="s">
        <v>34</v>
      </c>
      <c r="K566" s="24" t="s">
        <v>35</v>
      </c>
      <c r="L566" t="s">
        <v>2147</v>
      </c>
      <c r="M566" s="17">
        <v>5</v>
      </c>
      <c r="N566" t="s">
        <v>81</v>
      </c>
      <c r="O566" s="24" t="s">
        <v>76</v>
      </c>
      <c r="P566" s="19">
        <v>1821.4</v>
      </c>
      <c r="Q566" s="26" t="str">
        <f>IF(OR(P566&lt;'Descriptive Statistics'!$H$17,P566&gt;'Descriptive Statistics'!$H$18),"Potential Outlier","Within Range")</f>
        <v>Within Range</v>
      </c>
      <c r="R566" s="26" t="str">
        <f>IF(OR(G566&lt;'Descriptive Statistics'!$I$17,G566&gt;'Descriptive Statistics'!$I$18),"Potential Outlier","Within Range")</f>
        <v>Within Range</v>
      </c>
      <c r="S566" s="26" t="str">
        <f>IF(OR(H566&lt;'Descriptive Statistics'!$J$17,H566&gt;'Descriptive Statistics'!$J$18),"Potential Outlier","Within Range")</f>
        <v>Within Range</v>
      </c>
    </row>
    <row r="567" hidden="1" spans="1:19">
      <c r="A567" t="s">
        <v>2148</v>
      </c>
      <c r="B567" s="23">
        <v>45060</v>
      </c>
      <c r="C567" s="23" t="str">
        <f t="shared" si="16"/>
        <v>May</v>
      </c>
      <c r="D567" s="23" t="str">
        <f t="shared" si="17"/>
        <v>2023</v>
      </c>
      <c r="E567" t="s">
        <v>2149</v>
      </c>
      <c r="F567" s="24" t="s">
        <v>32</v>
      </c>
      <c r="G567" s="17">
        <v>5</v>
      </c>
      <c r="H567" s="19">
        <v>307.98</v>
      </c>
      <c r="I567" t="s">
        <v>1790</v>
      </c>
      <c r="J567" s="24" t="s">
        <v>27</v>
      </c>
      <c r="K567" s="24" t="s">
        <v>89</v>
      </c>
      <c r="L567" t="s">
        <v>2150</v>
      </c>
      <c r="M567" s="17">
        <v>10</v>
      </c>
      <c r="N567" t="s">
        <v>4295</v>
      </c>
      <c r="O567" s="24" t="s">
        <v>45</v>
      </c>
      <c r="P567" s="19">
        <v>1539.9</v>
      </c>
      <c r="Q567" s="26" t="str">
        <f>IF(OR(P567&lt;'Descriptive Statistics'!$H$17,P567&gt;'Descriptive Statistics'!$H$18),"Potential Outlier","Within Range")</f>
        <v>Within Range</v>
      </c>
      <c r="R567" s="26" t="str">
        <f>IF(OR(G567&lt;'Descriptive Statistics'!$I$17,G567&gt;'Descriptive Statistics'!$I$18),"Potential Outlier","Within Range")</f>
        <v>Within Range</v>
      </c>
      <c r="S567" s="26" t="str">
        <f>IF(OR(H567&lt;'Descriptive Statistics'!$J$17,H567&gt;'Descriptive Statistics'!$J$18),"Potential Outlier","Within Range")</f>
        <v>Within Range</v>
      </c>
    </row>
    <row r="568" hidden="1" spans="1:19">
      <c r="A568" t="s">
        <v>2151</v>
      </c>
      <c r="B568" s="23">
        <v>45400</v>
      </c>
      <c r="C568" s="23" t="str">
        <f t="shared" si="16"/>
        <v>Apr</v>
      </c>
      <c r="D568" s="23" t="str">
        <f t="shared" si="17"/>
        <v>2024</v>
      </c>
      <c r="E568" t="s">
        <v>2152</v>
      </c>
      <c r="F568" s="24" t="s">
        <v>25</v>
      </c>
      <c r="G568" s="17">
        <v>4</v>
      </c>
      <c r="H568" s="19">
        <v>162.71</v>
      </c>
      <c r="I568" t="s">
        <v>2153</v>
      </c>
      <c r="J568" s="24" t="s">
        <v>65</v>
      </c>
      <c r="K568" s="24" t="s">
        <v>35</v>
      </c>
      <c r="L568" t="s">
        <v>2154</v>
      </c>
      <c r="M568" s="17">
        <v>7</v>
      </c>
      <c r="N568" t="s">
        <v>37</v>
      </c>
      <c r="O568" s="24" t="s">
        <v>38</v>
      </c>
      <c r="P568" s="19">
        <v>650.84</v>
      </c>
      <c r="Q568" s="26" t="str">
        <f>IF(OR(P568&lt;'Descriptive Statistics'!$H$17,P568&gt;'Descriptive Statistics'!$H$18),"Potential Outlier","Within Range")</f>
        <v>Within Range</v>
      </c>
      <c r="R568" s="26" t="str">
        <f>IF(OR(G568&lt;'Descriptive Statistics'!$I$17,G568&gt;'Descriptive Statistics'!$I$18),"Potential Outlier","Within Range")</f>
        <v>Within Range</v>
      </c>
      <c r="S568" s="26" t="str">
        <f>IF(OR(H568&lt;'Descriptive Statistics'!$J$17,H568&gt;'Descriptive Statistics'!$J$18),"Potential Outlier","Within Range")</f>
        <v>Within Range</v>
      </c>
    </row>
    <row r="569" hidden="1" spans="1:19">
      <c r="A569" t="s">
        <v>2155</v>
      </c>
      <c r="B569" s="23">
        <v>45565</v>
      </c>
      <c r="C569" s="23" t="str">
        <f t="shared" si="16"/>
        <v>Sep</v>
      </c>
      <c r="D569" s="23" t="str">
        <f t="shared" si="17"/>
        <v>2024</v>
      </c>
      <c r="E569" t="s">
        <v>2156</v>
      </c>
      <c r="F569" s="24" t="s">
        <v>41</v>
      </c>
      <c r="G569" s="17">
        <v>5</v>
      </c>
      <c r="H569" s="19">
        <v>492.94</v>
      </c>
      <c r="I569" t="s">
        <v>1043</v>
      </c>
      <c r="J569" s="24" t="s">
        <v>65</v>
      </c>
      <c r="K569" s="24" t="s">
        <v>19</v>
      </c>
      <c r="L569" t="s">
        <v>2157</v>
      </c>
      <c r="M569" s="17">
        <v>10</v>
      </c>
      <c r="N569" t="s">
        <v>37</v>
      </c>
      <c r="O569" s="24" t="s">
        <v>38</v>
      </c>
      <c r="P569" s="19">
        <v>2464.7</v>
      </c>
      <c r="Q569" s="26" t="str">
        <f>IF(OR(P569&lt;'Descriptive Statistics'!$H$17,P569&gt;'Descriptive Statistics'!$H$18),"Potential Outlier","Within Range")</f>
        <v>Within Range</v>
      </c>
      <c r="R569" s="26" t="str">
        <f>IF(OR(G569&lt;'Descriptive Statistics'!$I$17,G569&gt;'Descriptive Statistics'!$I$18),"Potential Outlier","Within Range")</f>
        <v>Within Range</v>
      </c>
      <c r="S569" s="26" t="str">
        <f>IF(OR(H569&lt;'Descriptive Statistics'!$J$17,H569&gt;'Descriptive Statistics'!$J$18),"Potential Outlier","Within Range")</f>
        <v>Within Range</v>
      </c>
    </row>
    <row r="570" hidden="1" spans="1:19">
      <c r="A570" t="s">
        <v>2158</v>
      </c>
      <c r="B570" s="23">
        <v>44995</v>
      </c>
      <c r="C570" s="23" t="str">
        <f t="shared" si="16"/>
        <v>Mar</v>
      </c>
      <c r="D570" s="23" t="str">
        <f t="shared" si="17"/>
        <v>2023</v>
      </c>
      <c r="E570" t="s">
        <v>2159</v>
      </c>
      <c r="F570" s="24" t="s">
        <v>58</v>
      </c>
      <c r="G570" s="17">
        <v>2</v>
      </c>
      <c r="H570" s="19">
        <v>343.99</v>
      </c>
      <c r="I570" t="s">
        <v>1431</v>
      </c>
      <c r="J570" s="24" t="s">
        <v>27</v>
      </c>
      <c r="K570" s="24" t="s">
        <v>50</v>
      </c>
      <c r="L570" t="s">
        <v>2160</v>
      </c>
      <c r="M570" s="17">
        <v>4</v>
      </c>
      <c r="N570" t="s">
        <v>4295</v>
      </c>
      <c r="O570" s="24" t="s">
        <v>76</v>
      </c>
      <c r="P570" s="19">
        <v>687.98</v>
      </c>
      <c r="Q570" s="26" t="str">
        <f>IF(OR(P570&lt;'Descriptive Statistics'!$H$17,P570&gt;'Descriptive Statistics'!$H$18),"Potential Outlier","Within Range")</f>
        <v>Within Range</v>
      </c>
      <c r="R570" s="26" t="str">
        <f>IF(OR(G570&lt;'Descriptive Statistics'!$I$17,G570&gt;'Descriptive Statistics'!$I$18),"Potential Outlier","Within Range")</f>
        <v>Within Range</v>
      </c>
      <c r="S570" s="26" t="str">
        <f>IF(OR(H570&lt;'Descriptive Statistics'!$J$17,H570&gt;'Descriptive Statistics'!$J$18),"Potential Outlier","Within Range")</f>
        <v>Within Range</v>
      </c>
    </row>
    <row r="571" hidden="1" spans="1:19">
      <c r="A571" t="s">
        <v>2161</v>
      </c>
      <c r="B571" s="23">
        <v>45738</v>
      </c>
      <c r="C571" s="23" t="str">
        <f t="shared" si="16"/>
        <v>Mar</v>
      </c>
      <c r="D571" s="23" t="str">
        <f t="shared" si="17"/>
        <v>2025</v>
      </c>
      <c r="E571" t="s">
        <v>2162</v>
      </c>
      <c r="F571" s="24" t="s">
        <v>73</v>
      </c>
      <c r="G571" s="17">
        <v>5</v>
      </c>
      <c r="H571" s="19">
        <v>250.68</v>
      </c>
      <c r="I571" t="s">
        <v>1815</v>
      </c>
      <c r="J571" s="24" t="s">
        <v>65</v>
      </c>
      <c r="K571" s="24" t="s">
        <v>19</v>
      </c>
      <c r="L571" t="s">
        <v>2163</v>
      </c>
      <c r="M571" s="17">
        <v>8</v>
      </c>
      <c r="N571" t="s">
        <v>21</v>
      </c>
      <c r="O571" s="24" t="s">
        <v>22</v>
      </c>
      <c r="P571" s="19">
        <v>1253.4</v>
      </c>
      <c r="Q571" s="26" t="str">
        <f>IF(OR(P571&lt;'Descriptive Statistics'!$H$17,P571&gt;'Descriptive Statistics'!$H$18),"Potential Outlier","Within Range")</f>
        <v>Within Range</v>
      </c>
      <c r="R571" s="26" t="str">
        <f>IF(OR(G571&lt;'Descriptive Statistics'!$I$17,G571&gt;'Descriptive Statistics'!$I$18),"Potential Outlier","Within Range")</f>
        <v>Within Range</v>
      </c>
      <c r="S571" s="26" t="str">
        <f>IF(OR(H571&lt;'Descriptive Statistics'!$J$17,H571&gt;'Descriptive Statistics'!$J$18),"Potential Outlier","Within Range")</f>
        <v>Within Range</v>
      </c>
    </row>
    <row r="572" hidden="1" spans="1:19">
      <c r="A572" t="s">
        <v>2164</v>
      </c>
      <c r="B572" s="23">
        <v>45653</v>
      </c>
      <c r="C572" s="23" t="str">
        <f t="shared" si="16"/>
        <v>Dec</v>
      </c>
      <c r="D572" s="23" t="str">
        <f t="shared" si="17"/>
        <v>2024</v>
      </c>
      <c r="E572" t="s">
        <v>2165</v>
      </c>
      <c r="F572" s="24" t="s">
        <v>73</v>
      </c>
      <c r="G572" s="17">
        <v>2</v>
      </c>
      <c r="H572" s="19">
        <v>362.14</v>
      </c>
      <c r="I572" t="s">
        <v>494</v>
      </c>
      <c r="J572" s="24" t="s">
        <v>18</v>
      </c>
      <c r="K572" s="24" t="s">
        <v>89</v>
      </c>
      <c r="L572" t="s">
        <v>2166</v>
      </c>
      <c r="M572" s="17">
        <v>2</v>
      </c>
      <c r="N572" t="s">
        <v>21</v>
      </c>
      <c r="O572" s="24" t="s">
        <v>22</v>
      </c>
      <c r="P572" s="19">
        <v>724.28</v>
      </c>
      <c r="Q572" s="26" t="str">
        <f>IF(OR(P572&lt;'Descriptive Statistics'!$H$17,P572&gt;'Descriptive Statistics'!$H$18),"Potential Outlier","Within Range")</f>
        <v>Within Range</v>
      </c>
      <c r="R572" s="26" t="str">
        <f>IF(OR(G572&lt;'Descriptive Statistics'!$I$17,G572&gt;'Descriptive Statistics'!$I$18),"Potential Outlier","Within Range")</f>
        <v>Within Range</v>
      </c>
      <c r="S572" s="26" t="str">
        <f>IF(OR(H572&lt;'Descriptive Statistics'!$J$17,H572&gt;'Descriptive Statistics'!$J$18),"Potential Outlier","Within Range")</f>
        <v>Within Range</v>
      </c>
    </row>
    <row r="573" hidden="1" spans="1:19">
      <c r="A573" t="s">
        <v>2167</v>
      </c>
      <c r="B573" s="23">
        <v>45619</v>
      </c>
      <c r="C573" s="23" t="str">
        <f t="shared" si="16"/>
        <v>Nov</v>
      </c>
      <c r="D573" s="23" t="str">
        <f t="shared" si="17"/>
        <v>2024</v>
      </c>
      <c r="E573" t="s">
        <v>2168</v>
      </c>
      <c r="F573" s="24" t="s">
        <v>32</v>
      </c>
      <c r="G573" s="17">
        <v>1</v>
      </c>
      <c r="H573" s="19">
        <v>214.08</v>
      </c>
      <c r="I573" t="s">
        <v>1838</v>
      </c>
      <c r="J573" s="24" t="s">
        <v>60</v>
      </c>
      <c r="K573" s="24" t="s">
        <v>43</v>
      </c>
      <c r="L573" t="s">
        <v>2169</v>
      </c>
      <c r="M573" s="17">
        <v>2</v>
      </c>
      <c r="N573" t="s">
        <v>81</v>
      </c>
      <c r="O573" s="24" t="s">
        <v>76</v>
      </c>
      <c r="P573" s="19">
        <v>214.08</v>
      </c>
      <c r="Q573" s="26" t="str">
        <f>IF(OR(P573&lt;'Descriptive Statistics'!$H$17,P573&gt;'Descriptive Statistics'!$H$18),"Potential Outlier","Within Range")</f>
        <v>Within Range</v>
      </c>
      <c r="R573" s="26" t="str">
        <f>IF(OR(G573&lt;'Descriptive Statistics'!$I$17,G573&gt;'Descriptive Statistics'!$I$18),"Potential Outlier","Within Range")</f>
        <v>Within Range</v>
      </c>
      <c r="S573" s="26" t="str">
        <f>IF(OR(H573&lt;'Descriptive Statistics'!$J$17,H573&gt;'Descriptive Statistics'!$J$18),"Potential Outlier","Within Range")</f>
        <v>Within Range</v>
      </c>
    </row>
    <row r="574" hidden="1" spans="1:19">
      <c r="A574" t="s">
        <v>2170</v>
      </c>
      <c r="B574" s="23">
        <v>45241</v>
      </c>
      <c r="C574" s="23" t="str">
        <f t="shared" si="16"/>
        <v>Nov</v>
      </c>
      <c r="D574" s="23" t="str">
        <f t="shared" si="17"/>
        <v>2023</v>
      </c>
      <c r="E574" t="s">
        <v>2171</v>
      </c>
      <c r="F574" s="24" t="s">
        <v>48</v>
      </c>
      <c r="G574" s="17">
        <v>1</v>
      </c>
      <c r="H574" s="19">
        <v>70.32</v>
      </c>
      <c r="I574" t="s">
        <v>1481</v>
      </c>
      <c r="J574" s="24" t="s">
        <v>65</v>
      </c>
      <c r="K574" s="24" t="s">
        <v>43</v>
      </c>
      <c r="L574" t="s">
        <v>2172</v>
      </c>
      <c r="M574" s="17">
        <v>4</v>
      </c>
      <c r="N574" t="s">
        <v>81</v>
      </c>
      <c r="O574" s="24" t="s">
        <v>45</v>
      </c>
      <c r="P574" s="19">
        <v>70.32</v>
      </c>
      <c r="Q574" s="26" t="str">
        <f>IF(OR(P574&lt;'Descriptive Statistics'!$H$17,P574&gt;'Descriptive Statistics'!$H$18),"Potential Outlier","Within Range")</f>
        <v>Within Range</v>
      </c>
      <c r="R574" s="26" t="str">
        <f>IF(OR(G574&lt;'Descriptive Statistics'!$I$17,G574&gt;'Descriptive Statistics'!$I$18),"Potential Outlier","Within Range")</f>
        <v>Within Range</v>
      </c>
      <c r="S574" s="26" t="str">
        <f>IF(OR(H574&lt;'Descriptive Statistics'!$J$17,H574&gt;'Descriptive Statistics'!$J$18),"Potential Outlier","Within Range")</f>
        <v>Within Range</v>
      </c>
    </row>
    <row r="575" hidden="1" spans="1:19">
      <c r="A575" t="s">
        <v>2173</v>
      </c>
      <c r="B575" s="23">
        <v>44951</v>
      </c>
      <c r="C575" s="23" t="str">
        <f t="shared" si="16"/>
        <v>Jan</v>
      </c>
      <c r="D575" s="23" t="str">
        <f t="shared" si="17"/>
        <v>2023</v>
      </c>
      <c r="E575" t="s">
        <v>2174</v>
      </c>
      <c r="F575" s="24" t="s">
        <v>41</v>
      </c>
      <c r="G575" s="17">
        <v>5</v>
      </c>
      <c r="H575" s="19">
        <v>421.42</v>
      </c>
      <c r="I575" t="s">
        <v>466</v>
      </c>
      <c r="J575" s="24" t="s">
        <v>18</v>
      </c>
      <c r="K575" s="24" t="s">
        <v>35</v>
      </c>
      <c r="L575" t="s">
        <v>2175</v>
      </c>
      <c r="M575" s="17">
        <v>7</v>
      </c>
      <c r="N575" t="s">
        <v>4295</v>
      </c>
      <c r="O575" s="24" t="s">
        <v>22</v>
      </c>
      <c r="P575" s="19">
        <v>2107.1</v>
      </c>
      <c r="Q575" s="26" t="str">
        <f>IF(OR(P575&lt;'Descriptive Statistics'!$H$17,P575&gt;'Descriptive Statistics'!$H$18),"Potential Outlier","Within Range")</f>
        <v>Within Range</v>
      </c>
      <c r="R575" s="26" t="str">
        <f>IF(OR(G575&lt;'Descriptive Statistics'!$I$17,G575&gt;'Descriptive Statistics'!$I$18),"Potential Outlier","Within Range")</f>
        <v>Within Range</v>
      </c>
      <c r="S575" s="26" t="str">
        <f>IF(OR(H575&lt;'Descriptive Statistics'!$J$17,H575&gt;'Descriptive Statistics'!$J$18),"Potential Outlier","Within Range")</f>
        <v>Within Range</v>
      </c>
    </row>
    <row r="576" hidden="1" spans="1:19">
      <c r="A576" t="s">
        <v>2176</v>
      </c>
      <c r="B576" s="23">
        <v>45315</v>
      </c>
      <c r="C576" s="23" t="str">
        <f t="shared" si="16"/>
        <v>Jan</v>
      </c>
      <c r="D576" s="23" t="str">
        <f t="shared" si="17"/>
        <v>2024</v>
      </c>
      <c r="E576" t="s">
        <v>2177</v>
      </c>
      <c r="F576" s="24" t="s">
        <v>41</v>
      </c>
      <c r="G576" s="17">
        <v>5</v>
      </c>
      <c r="H576" s="19">
        <v>384.69</v>
      </c>
      <c r="I576" t="s">
        <v>42</v>
      </c>
      <c r="J576" s="24" t="s">
        <v>34</v>
      </c>
      <c r="K576" s="24" t="s">
        <v>89</v>
      </c>
      <c r="L576" t="s">
        <v>2178</v>
      </c>
      <c r="M576" s="17">
        <v>6</v>
      </c>
      <c r="N576" t="s">
        <v>37</v>
      </c>
      <c r="O576" s="24" t="s">
        <v>38</v>
      </c>
      <c r="P576" s="19">
        <v>1923.45</v>
      </c>
      <c r="Q576" s="26" t="str">
        <f>IF(OR(P576&lt;'Descriptive Statistics'!$H$17,P576&gt;'Descriptive Statistics'!$H$18),"Potential Outlier","Within Range")</f>
        <v>Within Range</v>
      </c>
      <c r="R576" s="26" t="str">
        <f>IF(OR(G576&lt;'Descriptive Statistics'!$I$17,G576&gt;'Descriptive Statistics'!$I$18),"Potential Outlier","Within Range")</f>
        <v>Within Range</v>
      </c>
      <c r="S576" s="26" t="str">
        <f>IF(OR(H576&lt;'Descriptive Statistics'!$J$17,H576&gt;'Descriptive Statistics'!$J$18),"Potential Outlier","Within Range")</f>
        <v>Within Range</v>
      </c>
    </row>
    <row r="577" hidden="1" spans="1:19">
      <c r="A577" t="s">
        <v>2179</v>
      </c>
      <c r="B577" s="23">
        <v>45084</v>
      </c>
      <c r="C577" s="23" t="str">
        <f t="shared" si="16"/>
        <v>Jun</v>
      </c>
      <c r="D577" s="23" t="str">
        <f t="shared" si="17"/>
        <v>2023</v>
      </c>
      <c r="E577" t="s">
        <v>2180</v>
      </c>
      <c r="F577" s="24" t="s">
        <v>41</v>
      </c>
      <c r="G577" s="17">
        <v>5</v>
      </c>
      <c r="H577" s="19">
        <v>448.15</v>
      </c>
      <c r="I577" t="s">
        <v>2181</v>
      </c>
      <c r="J577" s="24" t="s">
        <v>60</v>
      </c>
      <c r="K577" s="24" t="s">
        <v>43</v>
      </c>
      <c r="L577" t="s">
        <v>2182</v>
      </c>
      <c r="M577" s="17">
        <v>7</v>
      </c>
      <c r="N577" t="s">
        <v>21</v>
      </c>
      <c r="O577" s="24" t="s">
        <v>76</v>
      </c>
      <c r="P577" s="19">
        <v>2240.75</v>
      </c>
      <c r="Q577" s="26" t="str">
        <f>IF(OR(P577&lt;'Descriptive Statistics'!$H$17,P577&gt;'Descriptive Statistics'!$H$18),"Potential Outlier","Within Range")</f>
        <v>Within Range</v>
      </c>
      <c r="R577" s="26" t="str">
        <f>IF(OR(G577&lt;'Descriptive Statistics'!$I$17,G577&gt;'Descriptive Statistics'!$I$18),"Potential Outlier","Within Range")</f>
        <v>Within Range</v>
      </c>
      <c r="S577" s="26" t="str">
        <f>IF(OR(H577&lt;'Descriptive Statistics'!$J$17,H577&gt;'Descriptive Statistics'!$J$18),"Potential Outlier","Within Range")</f>
        <v>Within Range</v>
      </c>
    </row>
    <row r="578" hidden="1" spans="1:19">
      <c r="A578" t="s">
        <v>2183</v>
      </c>
      <c r="B578" s="23">
        <v>45441</v>
      </c>
      <c r="C578" s="23" t="str">
        <f t="shared" ref="C578:C641" si="18">TEXT(B578,"MMM")</f>
        <v>May</v>
      </c>
      <c r="D578" s="23" t="str">
        <f t="shared" ref="D578:D641" si="19">TEXT(B578,"YYYY")</f>
        <v>2024</v>
      </c>
      <c r="E578" t="s">
        <v>2184</v>
      </c>
      <c r="F578" s="24" t="s">
        <v>58</v>
      </c>
      <c r="G578" s="17">
        <v>5</v>
      </c>
      <c r="H578" s="19">
        <v>79.08</v>
      </c>
      <c r="I578" t="s">
        <v>1415</v>
      </c>
      <c r="J578" s="24" t="s">
        <v>65</v>
      </c>
      <c r="K578" s="24" t="s">
        <v>89</v>
      </c>
      <c r="L578" t="s">
        <v>2185</v>
      </c>
      <c r="M578" s="17">
        <v>8</v>
      </c>
      <c r="N578" t="s">
        <v>4295</v>
      </c>
      <c r="O578" s="24" t="s">
        <v>45</v>
      </c>
      <c r="P578" s="19">
        <v>395.4</v>
      </c>
      <c r="Q578" s="26" t="str">
        <f>IF(OR(P578&lt;'Descriptive Statistics'!$H$17,P578&gt;'Descriptive Statistics'!$H$18),"Potential Outlier","Within Range")</f>
        <v>Within Range</v>
      </c>
      <c r="R578" s="26" t="str">
        <f>IF(OR(G578&lt;'Descriptive Statistics'!$I$17,G578&gt;'Descriptive Statistics'!$I$18),"Potential Outlier","Within Range")</f>
        <v>Within Range</v>
      </c>
      <c r="S578" s="26" t="str">
        <f>IF(OR(H578&lt;'Descriptive Statistics'!$J$17,H578&gt;'Descriptive Statistics'!$J$18),"Potential Outlier","Within Range")</f>
        <v>Within Range</v>
      </c>
    </row>
    <row r="579" hidden="1" spans="1:19">
      <c r="A579" t="s">
        <v>2186</v>
      </c>
      <c r="B579" s="23">
        <v>44948</v>
      </c>
      <c r="C579" s="23" t="str">
        <f t="shared" si="18"/>
        <v>Jan</v>
      </c>
      <c r="D579" s="23" t="str">
        <f t="shared" si="19"/>
        <v>2023</v>
      </c>
      <c r="E579" t="s">
        <v>2187</v>
      </c>
      <c r="F579" s="24" t="s">
        <v>32</v>
      </c>
      <c r="G579" s="17">
        <v>4</v>
      </c>
      <c r="H579" s="19">
        <v>185.41</v>
      </c>
      <c r="I579" t="s">
        <v>371</v>
      </c>
      <c r="J579" s="24" t="s">
        <v>27</v>
      </c>
      <c r="K579" s="24" t="s">
        <v>43</v>
      </c>
      <c r="L579" t="s">
        <v>2188</v>
      </c>
      <c r="M579" s="17">
        <v>9</v>
      </c>
      <c r="N579" t="s">
        <v>81</v>
      </c>
      <c r="O579" s="24" t="s">
        <v>76</v>
      </c>
      <c r="P579" s="19">
        <v>741.64</v>
      </c>
      <c r="Q579" s="26" t="str">
        <f>IF(OR(P579&lt;'Descriptive Statistics'!$H$17,P579&gt;'Descriptive Statistics'!$H$18),"Potential Outlier","Within Range")</f>
        <v>Within Range</v>
      </c>
      <c r="R579" s="26" t="str">
        <f>IF(OR(G579&lt;'Descriptive Statistics'!$I$17,G579&gt;'Descriptive Statistics'!$I$18),"Potential Outlier","Within Range")</f>
        <v>Within Range</v>
      </c>
      <c r="S579" s="26" t="str">
        <f>IF(OR(H579&lt;'Descriptive Statistics'!$J$17,H579&gt;'Descriptive Statistics'!$J$18),"Potential Outlier","Within Range")</f>
        <v>Within Range</v>
      </c>
    </row>
    <row r="580" hidden="1" spans="1:19">
      <c r="A580" t="s">
        <v>2189</v>
      </c>
      <c r="B580" s="23">
        <v>45575</v>
      </c>
      <c r="C580" s="23" t="str">
        <f t="shared" si="18"/>
        <v>Oct</v>
      </c>
      <c r="D580" s="23" t="str">
        <f t="shared" si="19"/>
        <v>2024</v>
      </c>
      <c r="E580" t="s">
        <v>2190</v>
      </c>
      <c r="F580" s="24" t="s">
        <v>16</v>
      </c>
      <c r="G580" s="17">
        <v>5</v>
      </c>
      <c r="H580" s="19">
        <v>566.07</v>
      </c>
      <c r="I580" t="s">
        <v>121</v>
      </c>
      <c r="J580" s="24" t="s">
        <v>34</v>
      </c>
      <c r="K580" s="24" t="s">
        <v>50</v>
      </c>
      <c r="L580" t="s">
        <v>2191</v>
      </c>
      <c r="M580" s="17">
        <v>6</v>
      </c>
      <c r="N580" t="s">
        <v>21</v>
      </c>
      <c r="O580" s="24" t="s">
        <v>22</v>
      </c>
      <c r="P580" s="19">
        <v>2830.35</v>
      </c>
      <c r="Q580" s="26" t="str">
        <f>IF(OR(P580&lt;'Descriptive Statistics'!$H$17,P580&gt;'Descriptive Statistics'!$H$18),"Potential Outlier","Within Range")</f>
        <v>Within Range</v>
      </c>
      <c r="R580" s="26" t="str">
        <f>IF(OR(G580&lt;'Descriptive Statistics'!$I$17,G580&gt;'Descriptive Statistics'!$I$18),"Potential Outlier","Within Range")</f>
        <v>Within Range</v>
      </c>
      <c r="S580" s="26" t="str">
        <f>IF(OR(H580&lt;'Descriptive Statistics'!$J$17,H580&gt;'Descriptive Statistics'!$J$18),"Potential Outlier","Within Range")</f>
        <v>Within Range</v>
      </c>
    </row>
    <row r="581" hidden="1" spans="1:19">
      <c r="A581" t="s">
        <v>2192</v>
      </c>
      <c r="B581" s="23">
        <v>45081</v>
      </c>
      <c r="C581" s="23" t="str">
        <f t="shared" si="18"/>
        <v>Jun</v>
      </c>
      <c r="D581" s="23" t="str">
        <f t="shared" si="19"/>
        <v>2023</v>
      </c>
      <c r="E581" t="s">
        <v>2193</v>
      </c>
      <c r="F581" s="24" t="s">
        <v>32</v>
      </c>
      <c r="G581" s="17">
        <v>2</v>
      </c>
      <c r="H581" s="19">
        <v>187.88</v>
      </c>
      <c r="I581" t="s">
        <v>1267</v>
      </c>
      <c r="J581" s="24" t="s">
        <v>27</v>
      </c>
      <c r="K581" s="24" t="s">
        <v>19</v>
      </c>
      <c r="L581" t="s">
        <v>2194</v>
      </c>
      <c r="M581" s="17">
        <v>4</v>
      </c>
      <c r="N581" t="s">
        <v>81</v>
      </c>
      <c r="O581" s="24" t="s">
        <v>45</v>
      </c>
      <c r="P581" s="19">
        <v>375.76</v>
      </c>
      <c r="Q581" s="26" t="str">
        <f>IF(OR(P581&lt;'Descriptive Statistics'!$H$17,P581&gt;'Descriptive Statistics'!$H$18),"Potential Outlier","Within Range")</f>
        <v>Within Range</v>
      </c>
      <c r="R581" s="26" t="str">
        <f>IF(OR(G581&lt;'Descriptive Statistics'!$I$17,G581&gt;'Descriptive Statistics'!$I$18),"Potential Outlier","Within Range")</f>
        <v>Within Range</v>
      </c>
      <c r="S581" s="26" t="str">
        <f>IF(OR(H581&lt;'Descriptive Statistics'!$J$17,H581&gt;'Descriptive Statistics'!$J$18),"Potential Outlier","Within Range")</f>
        <v>Within Range</v>
      </c>
    </row>
    <row r="582" hidden="1" spans="1:19">
      <c r="A582" t="s">
        <v>2195</v>
      </c>
      <c r="B582" s="23">
        <v>45244</v>
      </c>
      <c r="C582" s="23" t="str">
        <f t="shared" si="18"/>
        <v>Nov</v>
      </c>
      <c r="D582" s="23" t="str">
        <f t="shared" si="19"/>
        <v>2023</v>
      </c>
      <c r="E582" t="s">
        <v>2196</v>
      </c>
      <c r="F582" s="24" t="s">
        <v>16</v>
      </c>
      <c r="G582" s="17">
        <v>2</v>
      </c>
      <c r="H582" s="19">
        <v>255.99</v>
      </c>
      <c r="I582" t="s">
        <v>2197</v>
      </c>
      <c r="J582" s="24" t="s">
        <v>34</v>
      </c>
      <c r="K582" s="24" t="s">
        <v>50</v>
      </c>
      <c r="L582" t="s">
        <v>2198</v>
      </c>
      <c r="M582" s="17">
        <v>4</v>
      </c>
      <c r="N582" t="s">
        <v>21</v>
      </c>
      <c r="O582" s="24" t="s">
        <v>22</v>
      </c>
      <c r="P582" s="19">
        <v>511.98</v>
      </c>
      <c r="Q582" s="26" t="str">
        <f>IF(OR(P582&lt;'Descriptive Statistics'!$H$17,P582&gt;'Descriptive Statistics'!$H$18),"Potential Outlier","Within Range")</f>
        <v>Within Range</v>
      </c>
      <c r="R582" s="26" t="str">
        <f>IF(OR(G582&lt;'Descriptive Statistics'!$I$17,G582&gt;'Descriptive Statistics'!$I$18),"Potential Outlier","Within Range")</f>
        <v>Within Range</v>
      </c>
      <c r="S582" s="26" t="str">
        <f>IF(OR(H582&lt;'Descriptive Statistics'!$J$17,H582&gt;'Descriptive Statistics'!$J$18),"Potential Outlier","Within Range")</f>
        <v>Within Range</v>
      </c>
    </row>
    <row r="583" hidden="1" spans="1:19">
      <c r="A583" t="s">
        <v>2199</v>
      </c>
      <c r="B583" s="23">
        <v>45607</v>
      </c>
      <c r="C583" s="23" t="str">
        <f t="shared" si="18"/>
        <v>Nov</v>
      </c>
      <c r="D583" s="23" t="str">
        <f t="shared" si="19"/>
        <v>2024</v>
      </c>
      <c r="E583" t="s">
        <v>2200</v>
      </c>
      <c r="F583" s="24" t="s">
        <v>58</v>
      </c>
      <c r="G583" s="17">
        <v>1</v>
      </c>
      <c r="H583" s="19">
        <v>627.34</v>
      </c>
      <c r="I583" t="s">
        <v>101</v>
      </c>
      <c r="J583" s="24" t="s">
        <v>27</v>
      </c>
      <c r="K583" s="24" t="s">
        <v>50</v>
      </c>
      <c r="L583" t="s">
        <v>2201</v>
      </c>
      <c r="M583" s="17">
        <v>1</v>
      </c>
      <c r="N583" t="s">
        <v>4295</v>
      </c>
      <c r="O583" s="24" t="s">
        <v>29</v>
      </c>
      <c r="P583" s="19">
        <v>627.34</v>
      </c>
      <c r="Q583" s="26" t="str">
        <f>IF(OR(P583&lt;'Descriptive Statistics'!$H$17,P583&gt;'Descriptive Statistics'!$H$18),"Potential Outlier","Within Range")</f>
        <v>Within Range</v>
      </c>
      <c r="R583" s="26" t="str">
        <f>IF(OR(G583&lt;'Descriptive Statistics'!$I$17,G583&gt;'Descriptive Statistics'!$I$18),"Potential Outlier","Within Range")</f>
        <v>Within Range</v>
      </c>
      <c r="S583" s="26" t="str">
        <f>IF(OR(H583&lt;'Descriptive Statistics'!$J$17,H583&gt;'Descriptive Statistics'!$J$18),"Potential Outlier","Within Range")</f>
        <v>Within Range</v>
      </c>
    </row>
    <row r="584" hidden="1" spans="1:19">
      <c r="A584" t="s">
        <v>2202</v>
      </c>
      <c r="B584" s="23">
        <v>45341</v>
      </c>
      <c r="C584" s="23" t="str">
        <f t="shared" si="18"/>
        <v>Feb</v>
      </c>
      <c r="D584" s="23" t="str">
        <f t="shared" si="19"/>
        <v>2024</v>
      </c>
      <c r="E584" t="s">
        <v>2203</v>
      </c>
      <c r="F584" s="24" t="s">
        <v>32</v>
      </c>
      <c r="G584" s="17">
        <v>3</v>
      </c>
      <c r="H584" s="19">
        <v>474.14</v>
      </c>
      <c r="I584" t="s">
        <v>1525</v>
      </c>
      <c r="J584" s="24" t="s">
        <v>60</v>
      </c>
      <c r="K584" s="24" t="s">
        <v>19</v>
      </c>
      <c r="L584" t="s">
        <v>2204</v>
      </c>
      <c r="M584" s="17">
        <v>8</v>
      </c>
      <c r="N584" t="s">
        <v>81</v>
      </c>
      <c r="O584" s="24" t="s">
        <v>76</v>
      </c>
      <c r="P584" s="19">
        <v>1422.42</v>
      </c>
      <c r="Q584" s="26" t="str">
        <f>IF(OR(P584&lt;'Descriptive Statistics'!$H$17,P584&gt;'Descriptive Statistics'!$H$18),"Potential Outlier","Within Range")</f>
        <v>Within Range</v>
      </c>
      <c r="R584" s="26" t="str">
        <f>IF(OR(G584&lt;'Descriptive Statistics'!$I$17,G584&gt;'Descriptive Statistics'!$I$18),"Potential Outlier","Within Range")</f>
        <v>Within Range</v>
      </c>
      <c r="S584" s="26" t="str">
        <f>IF(OR(H584&lt;'Descriptive Statistics'!$J$17,H584&gt;'Descriptive Statistics'!$J$18),"Potential Outlier","Within Range")</f>
        <v>Within Range</v>
      </c>
    </row>
    <row r="585" hidden="1" spans="1:19">
      <c r="A585" t="s">
        <v>2205</v>
      </c>
      <c r="B585" s="23">
        <v>45823</v>
      </c>
      <c r="C585" s="23" t="str">
        <f t="shared" si="18"/>
        <v>Jun</v>
      </c>
      <c r="D585" s="23" t="str">
        <f t="shared" si="19"/>
        <v>2025</v>
      </c>
      <c r="E585" t="s">
        <v>2206</v>
      </c>
      <c r="F585" s="24" t="s">
        <v>41</v>
      </c>
      <c r="G585" s="17">
        <v>3</v>
      </c>
      <c r="H585" s="19">
        <v>154.37</v>
      </c>
      <c r="I585" t="s">
        <v>165</v>
      </c>
      <c r="J585" s="24" t="s">
        <v>60</v>
      </c>
      <c r="K585" s="24" t="s">
        <v>50</v>
      </c>
      <c r="L585" t="s">
        <v>2207</v>
      </c>
      <c r="M585" s="17">
        <v>4</v>
      </c>
      <c r="N585" t="s">
        <v>4295</v>
      </c>
      <c r="O585" s="24" t="s">
        <v>22</v>
      </c>
      <c r="P585" s="19">
        <v>463.11</v>
      </c>
      <c r="Q585" s="26" t="str">
        <f>IF(OR(P585&lt;'Descriptive Statistics'!$H$17,P585&gt;'Descriptive Statistics'!$H$18),"Potential Outlier","Within Range")</f>
        <v>Within Range</v>
      </c>
      <c r="R585" s="26" t="str">
        <f>IF(OR(G585&lt;'Descriptive Statistics'!$I$17,G585&gt;'Descriptive Statistics'!$I$18),"Potential Outlier","Within Range")</f>
        <v>Within Range</v>
      </c>
      <c r="S585" s="26" t="str">
        <f>IF(OR(H585&lt;'Descriptive Statistics'!$J$17,H585&gt;'Descriptive Statistics'!$J$18),"Potential Outlier","Within Range")</f>
        <v>Within Range</v>
      </c>
    </row>
    <row r="586" hidden="1" spans="1:19">
      <c r="A586" t="s">
        <v>2208</v>
      </c>
      <c r="B586" s="23">
        <v>45737</v>
      </c>
      <c r="C586" s="23" t="str">
        <f t="shared" si="18"/>
        <v>Mar</v>
      </c>
      <c r="D586" s="23" t="str">
        <f t="shared" si="19"/>
        <v>2025</v>
      </c>
      <c r="E586" t="s">
        <v>2209</v>
      </c>
      <c r="F586" s="24" t="s">
        <v>41</v>
      </c>
      <c r="G586" s="17">
        <v>4</v>
      </c>
      <c r="H586" s="19">
        <v>145.05</v>
      </c>
      <c r="I586" t="s">
        <v>2210</v>
      </c>
      <c r="J586" s="24" t="s">
        <v>27</v>
      </c>
      <c r="K586" s="24" t="s">
        <v>50</v>
      </c>
      <c r="L586" t="s">
        <v>2211</v>
      </c>
      <c r="M586" s="17">
        <v>6</v>
      </c>
      <c r="N586" t="s">
        <v>21</v>
      </c>
      <c r="O586" s="24" t="s">
        <v>76</v>
      </c>
      <c r="P586" s="19">
        <v>580.2</v>
      </c>
      <c r="Q586" s="26" t="str">
        <f>IF(OR(P586&lt;'Descriptive Statistics'!$H$17,P586&gt;'Descriptive Statistics'!$H$18),"Potential Outlier","Within Range")</f>
        <v>Within Range</v>
      </c>
      <c r="R586" s="26" t="str">
        <f>IF(OR(G586&lt;'Descriptive Statistics'!$I$17,G586&gt;'Descriptive Statistics'!$I$18),"Potential Outlier","Within Range")</f>
        <v>Within Range</v>
      </c>
      <c r="S586" s="26" t="str">
        <f>IF(OR(H586&lt;'Descriptive Statistics'!$J$17,H586&gt;'Descriptive Statistics'!$J$18),"Potential Outlier","Within Range")</f>
        <v>Within Range</v>
      </c>
    </row>
    <row r="587" hidden="1" spans="1:19">
      <c r="A587" t="s">
        <v>2212</v>
      </c>
      <c r="B587" s="23">
        <v>45158</v>
      </c>
      <c r="C587" s="23" t="str">
        <f t="shared" si="18"/>
        <v>Aug</v>
      </c>
      <c r="D587" s="23" t="str">
        <f t="shared" si="19"/>
        <v>2023</v>
      </c>
      <c r="E587" t="s">
        <v>2213</v>
      </c>
      <c r="F587" s="24" t="s">
        <v>32</v>
      </c>
      <c r="G587" s="17">
        <v>4</v>
      </c>
      <c r="H587" s="19">
        <v>67.08</v>
      </c>
      <c r="I587" t="s">
        <v>1408</v>
      </c>
      <c r="J587" s="24" t="s">
        <v>65</v>
      </c>
      <c r="K587" s="24" t="s">
        <v>43</v>
      </c>
      <c r="L587" t="s">
        <v>2214</v>
      </c>
      <c r="M587" s="17">
        <v>8</v>
      </c>
      <c r="N587" t="s">
        <v>81</v>
      </c>
      <c r="O587" s="24" t="s">
        <v>76</v>
      </c>
      <c r="P587" s="19">
        <v>268.32</v>
      </c>
      <c r="Q587" s="26" t="str">
        <f>IF(OR(P587&lt;'Descriptive Statistics'!$H$17,P587&gt;'Descriptive Statistics'!$H$18),"Potential Outlier","Within Range")</f>
        <v>Within Range</v>
      </c>
      <c r="R587" s="26" t="str">
        <f>IF(OR(G587&lt;'Descriptive Statistics'!$I$17,G587&gt;'Descriptive Statistics'!$I$18),"Potential Outlier","Within Range")</f>
        <v>Within Range</v>
      </c>
      <c r="S587" s="26" t="str">
        <f>IF(OR(H587&lt;'Descriptive Statistics'!$J$17,H587&gt;'Descriptive Statistics'!$J$18),"Potential Outlier","Within Range")</f>
        <v>Within Range</v>
      </c>
    </row>
    <row r="588" hidden="1" spans="1:19">
      <c r="A588" t="s">
        <v>2215</v>
      </c>
      <c r="B588" s="23">
        <v>45606</v>
      </c>
      <c r="C588" s="23" t="str">
        <f t="shared" si="18"/>
        <v>Nov</v>
      </c>
      <c r="D588" s="23" t="str">
        <f t="shared" si="19"/>
        <v>2024</v>
      </c>
      <c r="E588" t="s">
        <v>2216</v>
      </c>
      <c r="F588" s="24" t="s">
        <v>16</v>
      </c>
      <c r="G588" s="17">
        <v>1</v>
      </c>
      <c r="H588" s="19">
        <v>522.08</v>
      </c>
      <c r="I588" t="s">
        <v>2217</v>
      </c>
      <c r="J588" s="24" t="s">
        <v>60</v>
      </c>
      <c r="K588" s="24" t="s">
        <v>43</v>
      </c>
      <c r="L588" t="s">
        <v>2218</v>
      </c>
      <c r="M588" s="17">
        <v>5</v>
      </c>
      <c r="N588" t="s">
        <v>37</v>
      </c>
      <c r="O588" s="24" t="s">
        <v>29</v>
      </c>
      <c r="P588" s="19">
        <v>522.08</v>
      </c>
      <c r="Q588" s="26" t="str">
        <f>IF(OR(P588&lt;'Descriptive Statistics'!$H$17,P588&gt;'Descriptive Statistics'!$H$18),"Potential Outlier","Within Range")</f>
        <v>Within Range</v>
      </c>
      <c r="R588" s="26" t="str">
        <f>IF(OR(G588&lt;'Descriptive Statistics'!$I$17,G588&gt;'Descriptive Statistics'!$I$18),"Potential Outlier","Within Range")</f>
        <v>Within Range</v>
      </c>
      <c r="S588" s="26" t="str">
        <f>IF(OR(H588&lt;'Descriptive Statistics'!$J$17,H588&gt;'Descriptive Statistics'!$J$18),"Potential Outlier","Within Range")</f>
        <v>Within Range</v>
      </c>
    </row>
    <row r="589" hidden="1" spans="1:19">
      <c r="A589" t="s">
        <v>2219</v>
      </c>
      <c r="B589" s="23">
        <v>45089</v>
      </c>
      <c r="C589" s="23" t="str">
        <f t="shared" si="18"/>
        <v>Jun</v>
      </c>
      <c r="D589" s="23" t="str">
        <f t="shared" si="19"/>
        <v>2023</v>
      </c>
      <c r="E589" t="s">
        <v>2220</v>
      </c>
      <c r="F589" s="24" t="s">
        <v>16</v>
      </c>
      <c r="G589" s="17">
        <v>5</v>
      </c>
      <c r="H589" s="19">
        <v>514.6</v>
      </c>
      <c r="I589" t="s">
        <v>2221</v>
      </c>
      <c r="J589" s="24" t="s">
        <v>60</v>
      </c>
      <c r="K589" s="24" t="s">
        <v>50</v>
      </c>
      <c r="L589" t="s">
        <v>2222</v>
      </c>
      <c r="M589" s="17">
        <v>10</v>
      </c>
      <c r="N589" t="s">
        <v>37</v>
      </c>
      <c r="O589" s="24" t="s">
        <v>22</v>
      </c>
      <c r="P589" s="19">
        <v>2573</v>
      </c>
      <c r="Q589" s="26" t="str">
        <f>IF(OR(P589&lt;'Descriptive Statistics'!$H$17,P589&gt;'Descriptive Statistics'!$H$18),"Potential Outlier","Within Range")</f>
        <v>Within Range</v>
      </c>
      <c r="R589" s="26" t="str">
        <f>IF(OR(G589&lt;'Descriptive Statistics'!$I$17,G589&gt;'Descriptive Statistics'!$I$18),"Potential Outlier","Within Range")</f>
        <v>Within Range</v>
      </c>
      <c r="S589" s="26" t="str">
        <f>IF(OR(H589&lt;'Descriptive Statistics'!$J$17,H589&gt;'Descriptive Statistics'!$J$18),"Potential Outlier","Within Range")</f>
        <v>Within Range</v>
      </c>
    </row>
    <row r="590" hidden="1" spans="1:19">
      <c r="A590" t="s">
        <v>2223</v>
      </c>
      <c r="B590" s="23">
        <v>45636</v>
      </c>
      <c r="C590" s="23" t="str">
        <f t="shared" si="18"/>
        <v>Dec</v>
      </c>
      <c r="D590" s="23" t="str">
        <f t="shared" si="19"/>
        <v>2024</v>
      </c>
      <c r="E590" t="s">
        <v>2224</v>
      </c>
      <c r="F590" s="24" t="s">
        <v>16</v>
      </c>
      <c r="G590" s="17">
        <v>4</v>
      </c>
      <c r="H590" s="19">
        <v>577.82</v>
      </c>
      <c r="I590" t="s">
        <v>273</v>
      </c>
      <c r="J590" s="24" t="s">
        <v>34</v>
      </c>
      <c r="K590" s="24" t="s">
        <v>50</v>
      </c>
      <c r="L590" t="s">
        <v>2225</v>
      </c>
      <c r="M590" s="17">
        <v>9</v>
      </c>
      <c r="N590" t="s">
        <v>4295</v>
      </c>
      <c r="O590" s="24" t="s">
        <v>76</v>
      </c>
      <c r="P590" s="19">
        <v>2311.28</v>
      </c>
      <c r="Q590" s="26" t="str">
        <f>IF(OR(P590&lt;'Descriptive Statistics'!$H$17,P590&gt;'Descriptive Statistics'!$H$18),"Potential Outlier","Within Range")</f>
        <v>Within Range</v>
      </c>
      <c r="R590" s="26" t="str">
        <f>IF(OR(G590&lt;'Descriptive Statistics'!$I$17,G590&gt;'Descriptive Statistics'!$I$18),"Potential Outlier","Within Range")</f>
        <v>Within Range</v>
      </c>
      <c r="S590" s="26" t="str">
        <f>IF(OR(H590&lt;'Descriptive Statistics'!$J$17,H590&gt;'Descriptive Statistics'!$J$18),"Potential Outlier","Within Range")</f>
        <v>Within Range</v>
      </c>
    </row>
    <row r="591" hidden="1" spans="1:19">
      <c r="A591" t="s">
        <v>2226</v>
      </c>
      <c r="B591" s="23">
        <v>45698</v>
      </c>
      <c r="C591" s="23" t="str">
        <f t="shared" si="18"/>
        <v>Feb</v>
      </c>
      <c r="D591" s="23" t="str">
        <f t="shared" si="19"/>
        <v>2025</v>
      </c>
      <c r="E591" t="s">
        <v>2227</v>
      </c>
      <c r="F591" s="24" t="s">
        <v>58</v>
      </c>
      <c r="G591" s="17">
        <v>2</v>
      </c>
      <c r="H591" s="19">
        <v>500.8</v>
      </c>
      <c r="I591" t="s">
        <v>2228</v>
      </c>
      <c r="J591" s="24" t="s">
        <v>65</v>
      </c>
      <c r="K591" s="24" t="s">
        <v>50</v>
      </c>
      <c r="L591" t="s">
        <v>2229</v>
      </c>
      <c r="M591" s="17">
        <v>3</v>
      </c>
      <c r="N591" t="s">
        <v>37</v>
      </c>
      <c r="O591" s="24" t="s">
        <v>29</v>
      </c>
      <c r="P591" s="19">
        <v>1001.6</v>
      </c>
      <c r="Q591" s="26" t="str">
        <f>IF(OR(P591&lt;'Descriptive Statistics'!$H$17,P591&gt;'Descriptive Statistics'!$H$18),"Potential Outlier","Within Range")</f>
        <v>Within Range</v>
      </c>
      <c r="R591" s="26" t="str">
        <f>IF(OR(G591&lt;'Descriptive Statistics'!$I$17,G591&gt;'Descriptive Statistics'!$I$18),"Potential Outlier","Within Range")</f>
        <v>Within Range</v>
      </c>
      <c r="S591" s="26" t="str">
        <f>IF(OR(H591&lt;'Descriptive Statistics'!$J$17,H591&gt;'Descriptive Statistics'!$J$18),"Potential Outlier","Within Range")</f>
        <v>Within Range</v>
      </c>
    </row>
    <row r="592" hidden="1" spans="1:19">
      <c r="A592" t="s">
        <v>2230</v>
      </c>
      <c r="B592" s="23">
        <v>45179</v>
      </c>
      <c r="C592" s="23" t="str">
        <f t="shared" si="18"/>
        <v>Sep</v>
      </c>
      <c r="D592" s="23" t="str">
        <f t="shared" si="19"/>
        <v>2023</v>
      </c>
      <c r="E592" t="s">
        <v>2231</v>
      </c>
      <c r="F592" s="24" t="s">
        <v>48</v>
      </c>
      <c r="G592" s="17">
        <v>2</v>
      </c>
      <c r="H592" s="19">
        <v>461.13</v>
      </c>
      <c r="I592" t="s">
        <v>2232</v>
      </c>
      <c r="J592" s="24" t="s">
        <v>60</v>
      </c>
      <c r="K592" s="24" t="s">
        <v>43</v>
      </c>
      <c r="L592" t="s">
        <v>2233</v>
      </c>
      <c r="M592" s="17">
        <v>4</v>
      </c>
      <c r="N592" t="s">
        <v>4295</v>
      </c>
      <c r="O592" s="24" t="s">
        <v>38</v>
      </c>
      <c r="P592" s="19">
        <v>922.26</v>
      </c>
      <c r="Q592" s="26" t="str">
        <f>IF(OR(P592&lt;'Descriptive Statistics'!$H$17,P592&gt;'Descriptive Statistics'!$H$18),"Potential Outlier","Within Range")</f>
        <v>Within Range</v>
      </c>
      <c r="R592" s="26" t="str">
        <f>IF(OR(G592&lt;'Descriptive Statistics'!$I$17,G592&gt;'Descriptive Statistics'!$I$18),"Potential Outlier","Within Range")</f>
        <v>Within Range</v>
      </c>
      <c r="S592" s="26" t="str">
        <f>IF(OR(H592&lt;'Descriptive Statistics'!$J$17,H592&gt;'Descriptive Statistics'!$J$18),"Potential Outlier","Within Range")</f>
        <v>Within Range</v>
      </c>
    </row>
    <row r="593" hidden="1" spans="1:19">
      <c r="A593" t="s">
        <v>2234</v>
      </c>
      <c r="B593" s="23">
        <v>45614</v>
      </c>
      <c r="C593" s="23" t="str">
        <f t="shared" si="18"/>
        <v>Nov</v>
      </c>
      <c r="D593" s="23" t="str">
        <f t="shared" si="19"/>
        <v>2024</v>
      </c>
      <c r="E593" t="s">
        <v>2235</v>
      </c>
      <c r="F593" s="24" t="s">
        <v>58</v>
      </c>
      <c r="G593" s="17">
        <v>1</v>
      </c>
      <c r="H593" s="19">
        <v>605.28</v>
      </c>
      <c r="I593" t="s">
        <v>2236</v>
      </c>
      <c r="J593" s="24" t="s">
        <v>60</v>
      </c>
      <c r="K593" s="24" t="s">
        <v>19</v>
      </c>
      <c r="L593" t="s">
        <v>2237</v>
      </c>
      <c r="M593" s="17">
        <v>3</v>
      </c>
      <c r="N593" t="s">
        <v>37</v>
      </c>
      <c r="O593" s="24" t="s">
        <v>29</v>
      </c>
      <c r="P593" s="19">
        <v>605.28</v>
      </c>
      <c r="Q593" s="26" t="str">
        <f>IF(OR(P593&lt;'Descriptive Statistics'!$H$17,P593&gt;'Descriptive Statistics'!$H$18),"Potential Outlier","Within Range")</f>
        <v>Within Range</v>
      </c>
      <c r="R593" s="26" t="str">
        <f>IF(OR(G593&lt;'Descriptive Statistics'!$I$17,G593&gt;'Descriptive Statistics'!$I$18),"Potential Outlier","Within Range")</f>
        <v>Within Range</v>
      </c>
      <c r="S593" s="26" t="str">
        <f>IF(OR(H593&lt;'Descriptive Statistics'!$J$17,H593&gt;'Descriptive Statistics'!$J$18),"Potential Outlier","Within Range")</f>
        <v>Within Range</v>
      </c>
    </row>
    <row r="594" hidden="1" spans="1:19">
      <c r="A594" t="s">
        <v>2238</v>
      </c>
      <c r="B594" s="23">
        <v>45405</v>
      </c>
      <c r="C594" s="23" t="str">
        <f t="shared" si="18"/>
        <v>Apr</v>
      </c>
      <c r="D594" s="23" t="str">
        <f t="shared" si="19"/>
        <v>2024</v>
      </c>
      <c r="E594" t="s">
        <v>2239</v>
      </c>
      <c r="F594" s="24" t="s">
        <v>25</v>
      </c>
      <c r="G594" s="17">
        <v>3</v>
      </c>
      <c r="H594" s="19">
        <v>204.27</v>
      </c>
      <c r="I594" t="s">
        <v>2021</v>
      </c>
      <c r="J594" s="24" t="s">
        <v>27</v>
      </c>
      <c r="K594" s="24" t="s">
        <v>43</v>
      </c>
      <c r="L594" t="s">
        <v>2240</v>
      </c>
      <c r="M594" s="17">
        <v>4</v>
      </c>
      <c r="N594" t="s">
        <v>4295</v>
      </c>
      <c r="O594" s="24" t="s">
        <v>76</v>
      </c>
      <c r="P594" s="19">
        <v>612.81</v>
      </c>
      <c r="Q594" s="26" t="str">
        <f>IF(OR(P594&lt;'Descriptive Statistics'!$H$17,P594&gt;'Descriptive Statistics'!$H$18),"Potential Outlier","Within Range")</f>
        <v>Within Range</v>
      </c>
      <c r="R594" s="26" t="str">
        <f>IF(OR(G594&lt;'Descriptive Statistics'!$I$17,G594&gt;'Descriptive Statistics'!$I$18),"Potential Outlier","Within Range")</f>
        <v>Within Range</v>
      </c>
      <c r="S594" s="26" t="str">
        <f>IF(OR(H594&lt;'Descriptive Statistics'!$J$17,H594&gt;'Descriptive Statistics'!$J$18),"Potential Outlier","Within Range")</f>
        <v>Within Range</v>
      </c>
    </row>
    <row r="595" hidden="1" spans="1:19">
      <c r="A595" t="s">
        <v>2241</v>
      </c>
      <c r="B595" s="23">
        <v>45140</v>
      </c>
      <c r="C595" s="23" t="str">
        <f t="shared" si="18"/>
        <v>Aug</v>
      </c>
      <c r="D595" s="23" t="str">
        <f t="shared" si="19"/>
        <v>2023</v>
      </c>
      <c r="E595" t="s">
        <v>2242</v>
      </c>
      <c r="F595" s="24" t="s">
        <v>16</v>
      </c>
      <c r="G595" s="17">
        <v>1</v>
      </c>
      <c r="H595" s="19">
        <v>489.8</v>
      </c>
      <c r="I595" t="s">
        <v>565</v>
      </c>
      <c r="J595" s="24" t="s">
        <v>60</v>
      </c>
      <c r="K595" s="24" t="s">
        <v>19</v>
      </c>
      <c r="L595" t="s">
        <v>2243</v>
      </c>
      <c r="M595" s="17">
        <v>4</v>
      </c>
      <c r="N595" t="s">
        <v>37</v>
      </c>
      <c r="O595" s="24" t="s">
        <v>45</v>
      </c>
      <c r="P595" s="19">
        <v>489.8</v>
      </c>
      <c r="Q595" s="26" t="str">
        <f>IF(OR(P595&lt;'Descriptive Statistics'!$H$17,P595&gt;'Descriptive Statistics'!$H$18),"Potential Outlier","Within Range")</f>
        <v>Within Range</v>
      </c>
      <c r="R595" s="26" t="str">
        <f>IF(OR(G595&lt;'Descriptive Statistics'!$I$17,G595&gt;'Descriptive Statistics'!$I$18),"Potential Outlier","Within Range")</f>
        <v>Within Range</v>
      </c>
      <c r="S595" s="26" t="str">
        <f>IF(OR(H595&lt;'Descriptive Statistics'!$J$17,H595&gt;'Descriptive Statistics'!$J$18),"Potential Outlier","Within Range")</f>
        <v>Within Range</v>
      </c>
    </row>
    <row r="596" hidden="1" spans="1:19">
      <c r="A596" t="s">
        <v>2244</v>
      </c>
      <c r="B596" s="23">
        <v>45343</v>
      </c>
      <c r="C596" s="23" t="str">
        <f t="shared" si="18"/>
        <v>Feb</v>
      </c>
      <c r="D596" s="23" t="str">
        <f t="shared" si="19"/>
        <v>2024</v>
      </c>
      <c r="E596" t="s">
        <v>2245</v>
      </c>
      <c r="F596" s="24" t="s">
        <v>25</v>
      </c>
      <c r="G596" s="17">
        <v>5</v>
      </c>
      <c r="H596" s="19">
        <v>72.64</v>
      </c>
      <c r="I596" t="s">
        <v>580</v>
      </c>
      <c r="J596" s="24" t="s">
        <v>34</v>
      </c>
      <c r="K596" s="24" t="s">
        <v>35</v>
      </c>
      <c r="L596" t="s">
        <v>2246</v>
      </c>
      <c r="M596" s="17">
        <v>7</v>
      </c>
      <c r="N596" t="s">
        <v>4295</v>
      </c>
      <c r="O596" s="24" t="s">
        <v>38</v>
      </c>
      <c r="P596" s="19">
        <v>363.2</v>
      </c>
      <c r="Q596" s="26" t="str">
        <f>IF(OR(P596&lt;'Descriptive Statistics'!$H$17,P596&gt;'Descriptive Statistics'!$H$18),"Potential Outlier","Within Range")</f>
        <v>Within Range</v>
      </c>
      <c r="R596" s="26" t="str">
        <f>IF(OR(G596&lt;'Descriptive Statistics'!$I$17,G596&gt;'Descriptive Statistics'!$I$18),"Potential Outlier","Within Range")</f>
        <v>Within Range</v>
      </c>
      <c r="S596" s="26" t="str">
        <f>IF(OR(H596&lt;'Descriptive Statistics'!$J$17,H596&gt;'Descriptive Statistics'!$J$18),"Potential Outlier","Within Range")</f>
        <v>Within Range</v>
      </c>
    </row>
    <row r="597" hidden="1" spans="1:19">
      <c r="A597" t="s">
        <v>2247</v>
      </c>
      <c r="B597" s="23">
        <v>45667</v>
      </c>
      <c r="C597" s="23" t="str">
        <f t="shared" si="18"/>
        <v>Jan</v>
      </c>
      <c r="D597" s="23" t="str">
        <f t="shared" si="19"/>
        <v>2025</v>
      </c>
      <c r="E597" t="s">
        <v>2248</v>
      </c>
      <c r="F597" s="24" t="s">
        <v>48</v>
      </c>
      <c r="G597" s="17">
        <v>2</v>
      </c>
      <c r="H597" s="19">
        <v>385.16</v>
      </c>
      <c r="I597" t="s">
        <v>2249</v>
      </c>
      <c r="J597" s="24" t="s">
        <v>27</v>
      </c>
      <c r="K597" s="24" t="s">
        <v>89</v>
      </c>
      <c r="L597" t="s">
        <v>2250</v>
      </c>
      <c r="M597" s="17">
        <v>7</v>
      </c>
      <c r="N597" t="s">
        <v>21</v>
      </c>
      <c r="O597" s="24" t="s">
        <v>38</v>
      </c>
      <c r="P597" s="19">
        <v>770.32</v>
      </c>
      <c r="Q597" s="26" t="str">
        <f>IF(OR(P597&lt;'Descriptive Statistics'!$H$17,P597&gt;'Descriptive Statistics'!$H$18),"Potential Outlier","Within Range")</f>
        <v>Within Range</v>
      </c>
      <c r="R597" s="26" t="str">
        <f>IF(OR(G597&lt;'Descriptive Statistics'!$I$17,G597&gt;'Descriptive Statistics'!$I$18),"Potential Outlier","Within Range")</f>
        <v>Within Range</v>
      </c>
      <c r="S597" s="26" t="str">
        <f>IF(OR(H597&lt;'Descriptive Statistics'!$J$17,H597&gt;'Descriptive Statistics'!$J$18),"Potential Outlier","Within Range")</f>
        <v>Within Range</v>
      </c>
    </row>
    <row r="598" hidden="1" spans="1:19">
      <c r="A598" t="s">
        <v>2251</v>
      </c>
      <c r="B598" s="23">
        <v>45089</v>
      </c>
      <c r="C598" s="23" t="str">
        <f t="shared" si="18"/>
        <v>Jun</v>
      </c>
      <c r="D598" s="23" t="str">
        <f t="shared" si="19"/>
        <v>2023</v>
      </c>
      <c r="E598" t="s">
        <v>2252</v>
      </c>
      <c r="F598" s="24" t="s">
        <v>73</v>
      </c>
      <c r="G598" s="17">
        <v>3</v>
      </c>
      <c r="H598" s="19">
        <v>606.41</v>
      </c>
      <c r="I598" t="s">
        <v>2253</v>
      </c>
      <c r="J598" s="24" t="s">
        <v>18</v>
      </c>
      <c r="K598" s="24" t="s">
        <v>43</v>
      </c>
      <c r="L598" t="s">
        <v>2254</v>
      </c>
      <c r="M598" s="17">
        <v>7</v>
      </c>
      <c r="N598" t="s">
        <v>37</v>
      </c>
      <c r="O598" s="24" t="s">
        <v>45</v>
      </c>
      <c r="P598" s="19">
        <v>1819.23</v>
      </c>
      <c r="Q598" s="26" t="str">
        <f>IF(OR(P598&lt;'Descriptive Statistics'!$H$17,P598&gt;'Descriptive Statistics'!$H$18),"Potential Outlier","Within Range")</f>
        <v>Within Range</v>
      </c>
      <c r="R598" s="26" t="str">
        <f>IF(OR(G598&lt;'Descriptive Statistics'!$I$17,G598&gt;'Descriptive Statistics'!$I$18),"Potential Outlier","Within Range")</f>
        <v>Within Range</v>
      </c>
      <c r="S598" s="26" t="str">
        <f>IF(OR(H598&lt;'Descriptive Statistics'!$J$17,H598&gt;'Descriptive Statistics'!$J$18),"Potential Outlier","Within Range")</f>
        <v>Within Range</v>
      </c>
    </row>
    <row r="599" hidden="1" spans="1:19">
      <c r="A599" t="s">
        <v>2255</v>
      </c>
      <c r="B599" s="23">
        <v>45621</v>
      </c>
      <c r="C599" s="23" t="str">
        <f t="shared" si="18"/>
        <v>Nov</v>
      </c>
      <c r="D599" s="23" t="str">
        <f t="shared" si="19"/>
        <v>2024</v>
      </c>
      <c r="E599" t="s">
        <v>2256</v>
      </c>
      <c r="F599" s="24" t="s">
        <v>73</v>
      </c>
      <c r="G599" s="17">
        <v>2</v>
      </c>
      <c r="H599" s="19">
        <v>211.82</v>
      </c>
      <c r="I599" t="s">
        <v>2257</v>
      </c>
      <c r="J599" s="24" t="s">
        <v>60</v>
      </c>
      <c r="K599" s="24" t="s">
        <v>35</v>
      </c>
      <c r="L599" t="s">
        <v>2258</v>
      </c>
      <c r="M599" s="17">
        <v>4</v>
      </c>
      <c r="N599" t="s">
        <v>81</v>
      </c>
      <c r="O599" s="24" t="s">
        <v>38</v>
      </c>
      <c r="P599" s="19">
        <v>423.64</v>
      </c>
      <c r="Q599" s="26" t="str">
        <f>IF(OR(P599&lt;'Descriptive Statistics'!$H$17,P599&gt;'Descriptive Statistics'!$H$18),"Potential Outlier","Within Range")</f>
        <v>Within Range</v>
      </c>
      <c r="R599" s="26" t="str">
        <f>IF(OR(G599&lt;'Descriptive Statistics'!$I$17,G599&gt;'Descriptive Statistics'!$I$18),"Potential Outlier","Within Range")</f>
        <v>Within Range</v>
      </c>
      <c r="S599" s="26" t="str">
        <f>IF(OR(H599&lt;'Descriptive Statistics'!$J$17,H599&gt;'Descriptive Statistics'!$J$18),"Potential Outlier","Within Range")</f>
        <v>Within Range</v>
      </c>
    </row>
    <row r="600" hidden="1" spans="1:19">
      <c r="A600" t="s">
        <v>2259</v>
      </c>
      <c r="B600" s="23">
        <v>45408</v>
      </c>
      <c r="C600" s="23" t="str">
        <f t="shared" si="18"/>
        <v>Apr</v>
      </c>
      <c r="D600" s="23" t="str">
        <f t="shared" si="19"/>
        <v>2024</v>
      </c>
      <c r="E600" t="s">
        <v>2260</v>
      </c>
      <c r="F600" s="24" t="s">
        <v>73</v>
      </c>
      <c r="G600" s="17">
        <v>5</v>
      </c>
      <c r="H600" s="19">
        <v>495.35</v>
      </c>
      <c r="I600" t="s">
        <v>1344</v>
      </c>
      <c r="J600" s="24" t="s">
        <v>34</v>
      </c>
      <c r="K600" s="24" t="s">
        <v>89</v>
      </c>
      <c r="L600" t="s">
        <v>2261</v>
      </c>
      <c r="M600" s="17">
        <v>5</v>
      </c>
      <c r="N600" t="s">
        <v>4295</v>
      </c>
      <c r="O600" s="24" t="s">
        <v>45</v>
      </c>
      <c r="P600" s="19">
        <v>2476.75</v>
      </c>
      <c r="Q600" s="26" t="str">
        <f>IF(OR(P600&lt;'Descriptive Statistics'!$H$17,P600&gt;'Descriptive Statistics'!$H$18),"Potential Outlier","Within Range")</f>
        <v>Within Range</v>
      </c>
      <c r="R600" s="26" t="str">
        <f>IF(OR(G600&lt;'Descriptive Statistics'!$I$17,G600&gt;'Descriptive Statistics'!$I$18),"Potential Outlier","Within Range")</f>
        <v>Within Range</v>
      </c>
      <c r="S600" s="26" t="str">
        <f>IF(OR(H600&lt;'Descriptive Statistics'!$J$17,H600&gt;'Descriptive Statistics'!$J$18),"Potential Outlier","Within Range")</f>
        <v>Within Range</v>
      </c>
    </row>
    <row r="601" hidden="1" spans="1:19">
      <c r="A601" t="s">
        <v>2262</v>
      </c>
      <c r="B601" s="23">
        <v>45107</v>
      </c>
      <c r="C601" s="23" t="str">
        <f t="shared" si="18"/>
        <v>Jun</v>
      </c>
      <c r="D601" s="23" t="str">
        <f t="shared" si="19"/>
        <v>2023</v>
      </c>
      <c r="E601" t="s">
        <v>2263</v>
      </c>
      <c r="F601" s="24" t="s">
        <v>41</v>
      </c>
      <c r="G601" s="17">
        <v>3</v>
      </c>
      <c r="H601" s="19">
        <v>556.99</v>
      </c>
      <c r="I601" t="s">
        <v>1609</v>
      </c>
      <c r="J601" s="24" t="s">
        <v>27</v>
      </c>
      <c r="K601" s="24" t="s">
        <v>35</v>
      </c>
      <c r="L601" t="s">
        <v>2264</v>
      </c>
      <c r="M601" s="17">
        <v>4</v>
      </c>
      <c r="N601" t="s">
        <v>37</v>
      </c>
      <c r="O601" s="24" t="s">
        <v>45</v>
      </c>
      <c r="P601" s="19">
        <v>1670.97</v>
      </c>
      <c r="Q601" s="26" t="str">
        <f>IF(OR(P601&lt;'Descriptive Statistics'!$H$17,P601&gt;'Descriptive Statistics'!$H$18),"Potential Outlier","Within Range")</f>
        <v>Within Range</v>
      </c>
      <c r="R601" s="26" t="str">
        <f>IF(OR(G601&lt;'Descriptive Statistics'!$I$17,G601&gt;'Descriptive Statistics'!$I$18),"Potential Outlier","Within Range")</f>
        <v>Within Range</v>
      </c>
      <c r="S601" s="26" t="str">
        <f>IF(OR(H601&lt;'Descriptive Statistics'!$J$17,H601&gt;'Descriptive Statistics'!$J$18),"Potential Outlier","Within Range")</f>
        <v>Within Range</v>
      </c>
    </row>
    <row r="602" hidden="1" spans="1:19">
      <c r="A602" t="s">
        <v>2265</v>
      </c>
      <c r="B602" s="23">
        <v>45072</v>
      </c>
      <c r="C602" s="23" t="str">
        <f t="shared" si="18"/>
        <v>May</v>
      </c>
      <c r="D602" s="23" t="str">
        <f t="shared" si="19"/>
        <v>2023</v>
      </c>
      <c r="E602" t="s">
        <v>2266</v>
      </c>
      <c r="F602" s="24" t="s">
        <v>48</v>
      </c>
      <c r="G602" s="17">
        <v>1</v>
      </c>
      <c r="H602" s="19">
        <v>72.31</v>
      </c>
      <c r="I602" t="s">
        <v>1047</v>
      </c>
      <c r="J602" s="24" t="s">
        <v>60</v>
      </c>
      <c r="K602" s="24" t="s">
        <v>35</v>
      </c>
      <c r="L602" t="s">
        <v>2267</v>
      </c>
      <c r="M602" s="17">
        <v>1</v>
      </c>
      <c r="N602" t="s">
        <v>37</v>
      </c>
      <c r="O602" s="24" t="s">
        <v>45</v>
      </c>
      <c r="P602" s="19">
        <v>72.31</v>
      </c>
      <c r="Q602" s="26" t="str">
        <f>IF(OR(P602&lt;'Descriptive Statistics'!$H$17,P602&gt;'Descriptive Statistics'!$H$18),"Potential Outlier","Within Range")</f>
        <v>Within Range</v>
      </c>
      <c r="R602" s="26" t="str">
        <f>IF(OR(G602&lt;'Descriptive Statistics'!$I$17,G602&gt;'Descriptive Statistics'!$I$18),"Potential Outlier","Within Range")</f>
        <v>Within Range</v>
      </c>
      <c r="S602" s="26" t="str">
        <f>IF(OR(H602&lt;'Descriptive Statistics'!$J$17,H602&gt;'Descriptive Statistics'!$J$18),"Potential Outlier","Within Range")</f>
        <v>Within Range</v>
      </c>
    </row>
    <row r="603" hidden="1" spans="1:19">
      <c r="A603" t="s">
        <v>2268</v>
      </c>
      <c r="B603" s="23">
        <v>45201</v>
      </c>
      <c r="C603" s="23" t="str">
        <f t="shared" si="18"/>
        <v>Oct</v>
      </c>
      <c r="D603" s="23" t="str">
        <f t="shared" si="19"/>
        <v>2023</v>
      </c>
      <c r="E603" t="s">
        <v>2269</v>
      </c>
      <c r="F603" s="24" t="s">
        <v>16</v>
      </c>
      <c r="G603" s="17">
        <v>5</v>
      </c>
      <c r="H603" s="19">
        <v>24.82</v>
      </c>
      <c r="I603" t="s">
        <v>2270</v>
      </c>
      <c r="J603" s="24" t="s">
        <v>34</v>
      </c>
      <c r="K603" s="24" t="s">
        <v>19</v>
      </c>
      <c r="L603" t="s">
        <v>2271</v>
      </c>
      <c r="M603" s="17">
        <v>10</v>
      </c>
      <c r="N603" t="s">
        <v>4295</v>
      </c>
      <c r="O603" s="24" t="s">
        <v>29</v>
      </c>
      <c r="P603" s="19">
        <v>124.1</v>
      </c>
      <c r="Q603" s="26" t="str">
        <f>IF(OR(P603&lt;'Descriptive Statistics'!$H$17,P603&gt;'Descriptive Statistics'!$H$18),"Potential Outlier","Within Range")</f>
        <v>Within Range</v>
      </c>
      <c r="R603" s="26" t="str">
        <f>IF(OR(G603&lt;'Descriptive Statistics'!$I$17,G603&gt;'Descriptive Statistics'!$I$18),"Potential Outlier","Within Range")</f>
        <v>Within Range</v>
      </c>
      <c r="S603" s="26" t="str">
        <f>IF(OR(H603&lt;'Descriptive Statistics'!$J$17,H603&gt;'Descriptive Statistics'!$J$18),"Potential Outlier","Within Range")</f>
        <v>Within Range</v>
      </c>
    </row>
    <row r="604" hidden="1" spans="1:19">
      <c r="A604" t="s">
        <v>2272</v>
      </c>
      <c r="B604" s="23">
        <v>45356</v>
      </c>
      <c r="C604" s="23" t="str">
        <f t="shared" si="18"/>
        <v>Mar</v>
      </c>
      <c r="D604" s="23" t="str">
        <f t="shared" si="19"/>
        <v>2024</v>
      </c>
      <c r="E604" t="s">
        <v>1858</v>
      </c>
      <c r="F604" s="24" t="s">
        <v>32</v>
      </c>
      <c r="G604" s="17">
        <v>4</v>
      </c>
      <c r="H604" s="19">
        <v>26.04</v>
      </c>
      <c r="I604" t="s">
        <v>1862</v>
      </c>
      <c r="J604" s="24" t="s">
        <v>27</v>
      </c>
      <c r="K604" s="24" t="s">
        <v>89</v>
      </c>
      <c r="L604" t="s">
        <v>2273</v>
      </c>
      <c r="M604" s="17">
        <v>5</v>
      </c>
      <c r="N604" t="s">
        <v>21</v>
      </c>
      <c r="O604" s="24" t="s">
        <v>22</v>
      </c>
      <c r="P604" s="19">
        <v>104.16</v>
      </c>
      <c r="Q604" s="26" t="str">
        <f>IF(OR(P604&lt;'Descriptive Statistics'!$H$17,P604&gt;'Descriptive Statistics'!$H$18),"Potential Outlier","Within Range")</f>
        <v>Within Range</v>
      </c>
      <c r="R604" s="26" t="str">
        <f>IF(OR(G604&lt;'Descriptive Statistics'!$I$17,G604&gt;'Descriptive Statistics'!$I$18),"Potential Outlier","Within Range")</f>
        <v>Within Range</v>
      </c>
      <c r="S604" s="26" t="str">
        <f>IF(OR(H604&lt;'Descriptive Statistics'!$J$17,H604&gt;'Descriptive Statistics'!$J$18),"Potential Outlier","Within Range")</f>
        <v>Within Range</v>
      </c>
    </row>
    <row r="605" hidden="1" spans="1:19">
      <c r="A605" t="s">
        <v>2274</v>
      </c>
      <c r="B605" s="23">
        <v>45569</v>
      </c>
      <c r="C605" s="23" t="str">
        <f t="shared" si="18"/>
        <v>Oct</v>
      </c>
      <c r="D605" s="23" t="str">
        <f t="shared" si="19"/>
        <v>2024</v>
      </c>
      <c r="E605" t="s">
        <v>2275</v>
      </c>
      <c r="F605" s="24" t="s">
        <v>32</v>
      </c>
      <c r="G605" s="17">
        <v>1</v>
      </c>
      <c r="H605" s="19">
        <v>657.07</v>
      </c>
      <c r="I605" t="s">
        <v>2276</v>
      </c>
      <c r="J605" s="24" t="s">
        <v>65</v>
      </c>
      <c r="K605" s="24" t="s">
        <v>89</v>
      </c>
      <c r="L605" t="s">
        <v>2277</v>
      </c>
      <c r="M605" s="17">
        <v>4</v>
      </c>
      <c r="N605" t="s">
        <v>21</v>
      </c>
      <c r="O605" s="24" t="s">
        <v>76</v>
      </c>
      <c r="P605" s="19">
        <v>657.07</v>
      </c>
      <c r="Q605" s="26" t="str">
        <f>IF(OR(P605&lt;'Descriptive Statistics'!$H$17,P605&gt;'Descriptive Statistics'!$H$18),"Potential Outlier","Within Range")</f>
        <v>Within Range</v>
      </c>
      <c r="R605" s="26" t="str">
        <f>IF(OR(G605&lt;'Descriptive Statistics'!$I$17,G605&gt;'Descriptive Statistics'!$I$18),"Potential Outlier","Within Range")</f>
        <v>Within Range</v>
      </c>
      <c r="S605" s="26" t="str">
        <f>IF(OR(H605&lt;'Descriptive Statistics'!$J$17,H605&gt;'Descriptive Statistics'!$J$18),"Potential Outlier","Within Range")</f>
        <v>Within Range</v>
      </c>
    </row>
    <row r="606" hidden="1" spans="1:19">
      <c r="A606" t="s">
        <v>2278</v>
      </c>
      <c r="B606" s="23">
        <v>45830</v>
      </c>
      <c r="C606" s="23" t="str">
        <f t="shared" si="18"/>
        <v>Jun</v>
      </c>
      <c r="D606" s="23" t="str">
        <f t="shared" si="19"/>
        <v>2025</v>
      </c>
      <c r="E606" t="s">
        <v>2279</v>
      </c>
      <c r="F606" s="24" t="s">
        <v>41</v>
      </c>
      <c r="G606" s="17">
        <v>3</v>
      </c>
      <c r="H606" s="19">
        <v>32.62</v>
      </c>
      <c r="I606" t="s">
        <v>1183</v>
      </c>
      <c r="J606" s="24" t="s">
        <v>18</v>
      </c>
      <c r="K606" s="24" t="s">
        <v>50</v>
      </c>
      <c r="L606" t="s">
        <v>2280</v>
      </c>
      <c r="M606" s="17">
        <v>6</v>
      </c>
      <c r="N606" t="s">
        <v>4295</v>
      </c>
      <c r="O606" s="24" t="s">
        <v>45</v>
      </c>
      <c r="P606" s="19">
        <v>97.86</v>
      </c>
      <c r="Q606" s="26" t="str">
        <f>IF(OR(P606&lt;'Descriptive Statistics'!$H$17,P606&gt;'Descriptive Statistics'!$H$18),"Potential Outlier","Within Range")</f>
        <v>Within Range</v>
      </c>
      <c r="R606" s="26" t="str">
        <f>IF(OR(G606&lt;'Descriptive Statistics'!$I$17,G606&gt;'Descriptive Statistics'!$I$18),"Potential Outlier","Within Range")</f>
        <v>Within Range</v>
      </c>
      <c r="S606" s="26" t="str">
        <f>IF(OR(H606&lt;'Descriptive Statistics'!$J$17,H606&gt;'Descriptive Statistics'!$J$18),"Potential Outlier","Within Range")</f>
        <v>Within Range</v>
      </c>
    </row>
    <row r="607" hidden="1" spans="1:19">
      <c r="A607" t="s">
        <v>2281</v>
      </c>
      <c r="B607" s="23">
        <v>45422</v>
      </c>
      <c r="C607" s="23" t="str">
        <f t="shared" si="18"/>
        <v>May</v>
      </c>
      <c r="D607" s="23" t="str">
        <f t="shared" si="19"/>
        <v>2024</v>
      </c>
      <c r="E607" t="s">
        <v>2282</v>
      </c>
      <c r="F607" s="24" t="s">
        <v>16</v>
      </c>
      <c r="G607" s="17">
        <v>2</v>
      </c>
      <c r="H607" s="19">
        <v>228.91</v>
      </c>
      <c r="I607" t="s">
        <v>2283</v>
      </c>
      <c r="J607" s="24" t="s">
        <v>18</v>
      </c>
      <c r="K607" s="24" t="s">
        <v>19</v>
      </c>
      <c r="L607" t="s">
        <v>2284</v>
      </c>
      <c r="M607" s="17">
        <v>4</v>
      </c>
      <c r="N607" t="s">
        <v>21</v>
      </c>
      <c r="O607" s="24" t="s">
        <v>29</v>
      </c>
      <c r="P607" s="19">
        <v>457.82</v>
      </c>
      <c r="Q607" s="26" t="str">
        <f>IF(OR(P607&lt;'Descriptive Statistics'!$H$17,P607&gt;'Descriptive Statistics'!$H$18),"Potential Outlier","Within Range")</f>
        <v>Within Range</v>
      </c>
      <c r="R607" s="26" t="str">
        <f>IF(OR(G607&lt;'Descriptive Statistics'!$I$17,G607&gt;'Descriptive Statistics'!$I$18),"Potential Outlier","Within Range")</f>
        <v>Within Range</v>
      </c>
      <c r="S607" s="26" t="str">
        <f>IF(OR(H607&lt;'Descriptive Statistics'!$J$17,H607&gt;'Descriptive Statistics'!$J$18),"Potential Outlier","Within Range")</f>
        <v>Within Range</v>
      </c>
    </row>
    <row r="608" hidden="1" spans="1:19">
      <c r="A608" t="s">
        <v>2285</v>
      </c>
      <c r="B608" s="23">
        <v>45602</v>
      </c>
      <c r="C608" s="23" t="str">
        <f t="shared" si="18"/>
        <v>Nov</v>
      </c>
      <c r="D608" s="23" t="str">
        <f t="shared" si="19"/>
        <v>2024</v>
      </c>
      <c r="E608" t="s">
        <v>2286</v>
      </c>
      <c r="F608" s="24" t="s">
        <v>58</v>
      </c>
      <c r="G608" s="17">
        <v>3</v>
      </c>
      <c r="H608" s="19">
        <v>274.75</v>
      </c>
      <c r="I608" t="s">
        <v>956</v>
      </c>
      <c r="J608" s="24" t="s">
        <v>65</v>
      </c>
      <c r="K608" s="24" t="s">
        <v>35</v>
      </c>
      <c r="L608" t="s">
        <v>2287</v>
      </c>
      <c r="M608" s="17">
        <v>3</v>
      </c>
      <c r="N608" t="s">
        <v>21</v>
      </c>
      <c r="O608" s="24" t="s">
        <v>76</v>
      </c>
      <c r="P608" s="19">
        <v>824.25</v>
      </c>
      <c r="Q608" s="26" t="str">
        <f>IF(OR(P608&lt;'Descriptive Statistics'!$H$17,P608&gt;'Descriptive Statistics'!$H$18),"Potential Outlier","Within Range")</f>
        <v>Within Range</v>
      </c>
      <c r="R608" s="26" t="str">
        <f>IF(OR(G608&lt;'Descriptive Statistics'!$I$17,G608&gt;'Descriptive Statistics'!$I$18),"Potential Outlier","Within Range")</f>
        <v>Within Range</v>
      </c>
      <c r="S608" s="26" t="str">
        <f>IF(OR(H608&lt;'Descriptive Statistics'!$J$17,H608&gt;'Descriptive Statistics'!$J$18),"Potential Outlier","Within Range")</f>
        <v>Within Range</v>
      </c>
    </row>
    <row r="609" hidden="1" spans="1:19">
      <c r="A609" t="s">
        <v>2288</v>
      </c>
      <c r="B609" s="23">
        <v>45808</v>
      </c>
      <c r="C609" s="23" t="str">
        <f t="shared" si="18"/>
        <v>May</v>
      </c>
      <c r="D609" s="23" t="str">
        <f t="shared" si="19"/>
        <v>2025</v>
      </c>
      <c r="E609" t="s">
        <v>2289</v>
      </c>
      <c r="F609" s="24" t="s">
        <v>48</v>
      </c>
      <c r="G609" s="17">
        <v>4</v>
      </c>
      <c r="H609" s="19">
        <v>634.05</v>
      </c>
      <c r="I609" t="s">
        <v>2290</v>
      </c>
      <c r="J609" s="24" t="s">
        <v>65</v>
      </c>
      <c r="K609" s="24" t="s">
        <v>19</v>
      </c>
      <c r="L609" t="s">
        <v>2291</v>
      </c>
      <c r="M609" s="17">
        <v>6</v>
      </c>
      <c r="N609" t="s">
        <v>21</v>
      </c>
      <c r="O609" s="24" t="s">
        <v>76</v>
      </c>
      <c r="P609" s="19">
        <v>2536.2</v>
      </c>
      <c r="Q609" s="26" t="str">
        <f>IF(OR(P609&lt;'Descriptive Statistics'!$H$17,P609&gt;'Descriptive Statistics'!$H$18),"Potential Outlier","Within Range")</f>
        <v>Within Range</v>
      </c>
      <c r="R609" s="26" t="str">
        <f>IF(OR(G609&lt;'Descriptive Statistics'!$I$17,G609&gt;'Descriptive Statistics'!$I$18),"Potential Outlier","Within Range")</f>
        <v>Within Range</v>
      </c>
      <c r="S609" s="26" t="str">
        <f>IF(OR(H609&lt;'Descriptive Statistics'!$J$17,H609&gt;'Descriptive Statistics'!$J$18),"Potential Outlier","Within Range")</f>
        <v>Within Range</v>
      </c>
    </row>
    <row r="610" hidden="1" spans="1:19">
      <c r="A610" t="s">
        <v>2292</v>
      </c>
      <c r="B610" s="23">
        <v>45497</v>
      </c>
      <c r="C610" s="23" t="str">
        <f t="shared" si="18"/>
        <v>Jul</v>
      </c>
      <c r="D610" s="23" t="str">
        <f t="shared" si="19"/>
        <v>2024</v>
      </c>
      <c r="E610" t="s">
        <v>2293</v>
      </c>
      <c r="F610" s="24" t="s">
        <v>58</v>
      </c>
      <c r="G610" s="17">
        <v>5</v>
      </c>
      <c r="H610" s="19">
        <v>543.16</v>
      </c>
      <c r="I610" t="s">
        <v>2294</v>
      </c>
      <c r="J610" s="24" t="s">
        <v>27</v>
      </c>
      <c r="K610" s="24" t="s">
        <v>35</v>
      </c>
      <c r="L610" t="s">
        <v>2295</v>
      </c>
      <c r="M610" s="17">
        <v>6</v>
      </c>
      <c r="N610" t="s">
        <v>21</v>
      </c>
      <c r="O610" s="24" t="s">
        <v>22</v>
      </c>
      <c r="P610" s="19">
        <v>2715.8</v>
      </c>
      <c r="Q610" s="26" t="str">
        <f>IF(OR(P610&lt;'Descriptive Statistics'!$H$17,P610&gt;'Descriptive Statistics'!$H$18),"Potential Outlier","Within Range")</f>
        <v>Within Range</v>
      </c>
      <c r="R610" s="26" t="str">
        <f>IF(OR(G610&lt;'Descriptive Statistics'!$I$17,G610&gt;'Descriptive Statistics'!$I$18),"Potential Outlier","Within Range")</f>
        <v>Within Range</v>
      </c>
      <c r="S610" s="26" t="str">
        <f>IF(OR(H610&lt;'Descriptive Statistics'!$J$17,H610&gt;'Descriptive Statistics'!$J$18),"Potential Outlier","Within Range")</f>
        <v>Within Range</v>
      </c>
    </row>
    <row r="611" hidden="1" spans="1:19">
      <c r="A611" t="s">
        <v>2296</v>
      </c>
      <c r="B611" s="23">
        <v>45684</v>
      </c>
      <c r="C611" s="23" t="str">
        <f t="shared" si="18"/>
        <v>Jan</v>
      </c>
      <c r="D611" s="23" t="str">
        <f t="shared" si="19"/>
        <v>2025</v>
      </c>
      <c r="E611" t="s">
        <v>2297</v>
      </c>
      <c r="F611" s="24" t="s">
        <v>41</v>
      </c>
      <c r="G611" s="17">
        <v>3</v>
      </c>
      <c r="H611" s="19">
        <v>449.13</v>
      </c>
      <c r="I611" t="s">
        <v>2298</v>
      </c>
      <c r="J611" s="24" t="s">
        <v>65</v>
      </c>
      <c r="K611" s="24" t="s">
        <v>43</v>
      </c>
      <c r="L611" t="s">
        <v>2299</v>
      </c>
      <c r="M611" s="17">
        <v>5</v>
      </c>
      <c r="N611" t="s">
        <v>81</v>
      </c>
      <c r="O611" s="24" t="s">
        <v>29</v>
      </c>
      <c r="P611" s="19">
        <v>1347.39</v>
      </c>
      <c r="Q611" s="26" t="str">
        <f>IF(OR(P611&lt;'Descriptive Statistics'!$H$17,P611&gt;'Descriptive Statistics'!$H$18),"Potential Outlier","Within Range")</f>
        <v>Within Range</v>
      </c>
      <c r="R611" s="26" t="str">
        <f>IF(OR(G611&lt;'Descriptive Statistics'!$I$17,G611&gt;'Descriptive Statistics'!$I$18),"Potential Outlier","Within Range")</f>
        <v>Within Range</v>
      </c>
      <c r="S611" s="26" t="str">
        <f>IF(OR(H611&lt;'Descriptive Statistics'!$J$17,H611&gt;'Descriptive Statistics'!$J$18),"Potential Outlier","Within Range")</f>
        <v>Within Range</v>
      </c>
    </row>
    <row r="612" hidden="1" spans="1:19">
      <c r="A612" t="s">
        <v>2300</v>
      </c>
      <c r="B612" s="23">
        <v>45459</v>
      </c>
      <c r="C612" s="23" t="str">
        <f t="shared" si="18"/>
        <v>Jun</v>
      </c>
      <c r="D612" s="23" t="str">
        <f t="shared" si="19"/>
        <v>2024</v>
      </c>
      <c r="E612" t="s">
        <v>2301</v>
      </c>
      <c r="F612" s="24" t="s">
        <v>73</v>
      </c>
      <c r="G612" s="17">
        <v>5</v>
      </c>
      <c r="H612" s="19">
        <v>389.62</v>
      </c>
      <c r="I612" t="s">
        <v>253</v>
      </c>
      <c r="J612" s="24" t="s">
        <v>65</v>
      </c>
      <c r="K612" s="24" t="s">
        <v>43</v>
      </c>
      <c r="L612" t="s">
        <v>2302</v>
      </c>
      <c r="M612" s="17">
        <v>7</v>
      </c>
      <c r="N612" t="s">
        <v>37</v>
      </c>
      <c r="O612" s="24" t="s">
        <v>45</v>
      </c>
      <c r="P612" s="19">
        <v>1948.1</v>
      </c>
      <c r="Q612" s="26" t="str">
        <f>IF(OR(P612&lt;'Descriptive Statistics'!$H$17,P612&gt;'Descriptive Statistics'!$H$18),"Potential Outlier","Within Range")</f>
        <v>Within Range</v>
      </c>
      <c r="R612" s="26" t="str">
        <f>IF(OR(G612&lt;'Descriptive Statistics'!$I$17,G612&gt;'Descriptive Statistics'!$I$18),"Potential Outlier","Within Range")</f>
        <v>Within Range</v>
      </c>
      <c r="S612" s="26" t="str">
        <f>IF(OR(H612&lt;'Descriptive Statistics'!$J$17,H612&gt;'Descriptive Statistics'!$J$18),"Potential Outlier","Within Range")</f>
        <v>Within Range</v>
      </c>
    </row>
    <row r="613" hidden="1" spans="1:19">
      <c r="A613" t="s">
        <v>2303</v>
      </c>
      <c r="B613" s="23">
        <v>45037</v>
      </c>
      <c r="C613" s="23" t="str">
        <f t="shared" si="18"/>
        <v>Apr</v>
      </c>
      <c r="D613" s="23" t="str">
        <f t="shared" si="19"/>
        <v>2023</v>
      </c>
      <c r="E613" t="s">
        <v>2304</v>
      </c>
      <c r="F613" s="24" t="s">
        <v>73</v>
      </c>
      <c r="G613" s="17">
        <v>1</v>
      </c>
      <c r="H613" s="19">
        <v>305.17</v>
      </c>
      <c r="I613" t="s">
        <v>2257</v>
      </c>
      <c r="J613" s="24" t="s">
        <v>60</v>
      </c>
      <c r="K613" s="24" t="s">
        <v>43</v>
      </c>
      <c r="L613" t="s">
        <v>2305</v>
      </c>
      <c r="M613" s="17">
        <v>3</v>
      </c>
      <c r="N613" t="s">
        <v>81</v>
      </c>
      <c r="O613" s="24" t="s">
        <v>29</v>
      </c>
      <c r="P613" s="19">
        <v>305.17</v>
      </c>
      <c r="Q613" s="26" t="str">
        <f>IF(OR(P613&lt;'Descriptive Statistics'!$H$17,P613&gt;'Descriptive Statistics'!$H$18),"Potential Outlier","Within Range")</f>
        <v>Within Range</v>
      </c>
      <c r="R613" s="26" t="str">
        <f>IF(OR(G613&lt;'Descriptive Statistics'!$I$17,G613&gt;'Descriptive Statistics'!$I$18),"Potential Outlier","Within Range")</f>
        <v>Within Range</v>
      </c>
      <c r="S613" s="26" t="str">
        <f>IF(OR(H613&lt;'Descriptive Statistics'!$J$17,H613&gt;'Descriptive Statistics'!$J$18),"Potential Outlier","Within Range")</f>
        <v>Within Range</v>
      </c>
    </row>
    <row r="614" hidden="1" spans="1:19">
      <c r="A614" t="s">
        <v>2306</v>
      </c>
      <c r="B614" s="23">
        <v>45079</v>
      </c>
      <c r="C614" s="23" t="str">
        <f t="shared" si="18"/>
        <v>Jun</v>
      </c>
      <c r="D614" s="23" t="str">
        <f t="shared" si="19"/>
        <v>2023</v>
      </c>
      <c r="E614" t="s">
        <v>2307</v>
      </c>
      <c r="F614" s="24" t="s">
        <v>41</v>
      </c>
      <c r="G614" s="17">
        <v>3</v>
      </c>
      <c r="H614" s="19">
        <v>445.12</v>
      </c>
      <c r="I614" t="s">
        <v>1260</v>
      </c>
      <c r="J614" s="24" t="s">
        <v>60</v>
      </c>
      <c r="K614" s="24" t="s">
        <v>35</v>
      </c>
      <c r="L614" t="s">
        <v>2308</v>
      </c>
      <c r="M614" s="17">
        <v>8</v>
      </c>
      <c r="N614" t="s">
        <v>4295</v>
      </c>
      <c r="O614" s="24" t="s">
        <v>76</v>
      </c>
      <c r="P614" s="19">
        <v>1335.36</v>
      </c>
      <c r="Q614" s="26" t="str">
        <f>IF(OR(P614&lt;'Descriptive Statistics'!$H$17,P614&gt;'Descriptive Statistics'!$H$18),"Potential Outlier","Within Range")</f>
        <v>Within Range</v>
      </c>
      <c r="R614" s="26" t="str">
        <f>IF(OR(G614&lt;'Descriptive Statistics'!$I$17,G614&gt;'Descriptive Statistics'!$I$18),"Potential Outlier","Within Range")</f>
        <v>Within Range</v>
      </c>
      <c r="S614" s="26" t="str">
        <f>IF(OR(H614&lt;'Descriptive Statistics'!$J$17,H614&gt;'Descriptive Statistics'!$J$18),"Potential Outlier","Within Range")</f>
        <v>Within Range</v>
      </c>
    </row>
    <row r="615" hidden="1" spans="1:19">
      <c r="A615" t="s">
        <v>2309</v>
      </c>
      <c r="B615" s="23">
        <v>45645</v>
      </c>
      <c r="C615" s="23" t="str">
        <f t="shared" si="18"/>
        <v>Dec</v>
      </c>
      <c r="D615" s="23" t="str">
        <f t="shared" si="19"/>
        <v>2024</v>
      </c>
      <c r="E615" t="s">
        <v>2310</v>
      </c>
      <c r="F615" s="24" t="s">
        <v>58</v>
      </c>
      <c r="G615" s="17">
        <v>2</v>
      </c>
      <c r="H615" s="19">
        <v>230.36</v>
      </c>
      <c r="I615" t="s">
        <v>2311</v>
      </c>
      <c r="J615" s="24" t="s">
        <v>27</v>
      </c>
      <c r="K615" s="24" t="s">
        <v>43</v>
      </c>
      <c r="L615" t="s">
        <v>2312</v>
      </c>
      <c r="M615" s="17">
        <v>4</v>
      </c>
      <c r="N615" t="s">
        <v>81</v>
      </c>
      <c r="O615" s="24" t="s">
        <v>38</v>
      </c>
      <c r="P615" s="19">
        <v>460.72</v>
      </c>
      <c r="Q615" s="26" t="str">
        <f>IF(OR(P615&lt;'Descriptive Statistics'!$H$17,P615&gt;'Descriptive Statistics'!$H$18),"Potential Outlier","Within Range")</f>
        <v>Within Range</v>
      </c>
      <c r="R615" s="26" t="str">
        <f>IF(OR(G615&lt;'Descriptive Statistics'!$I$17,G615&gt;'Descriptive Statistics'!$I$18),"Potential Outlier","Within Range")</f>
        <v>Within Range</v>
      </c>
      <c r="S615" s="26" t="str">
        <f>IF(OR(H615&lt;'Descriptive Statistics'!$J$17,H615&gt;'Descriptive Statistics'!$J$18),"Potential Outlier","Within Range")</f>
        <v>Within Range</v>
      </c>
    </row>
    <row r="616" hidden="1" spans="1:19">
      <c r="A616" t="s">
        <v>2313</v>
      </c>
      <c r="B616" s="23">
        <v>45359</v>
      </c>
      <c r="C616" s="23" t="str">
        <f t="shared" si="18"/>
        <v>Mar</v>
      </c>
      <c r="D616" s="23" t="str">
        <f t="shared" si="19"/>
        <v>2024</v>
      </c>
      <c r="E616" t="s">
        <v>2314</v>
      </c>
      <c r="F616" s="24" t="s">
        <v>25</v>
      </c>
      <c r="G616" s="17">
        <v>1</v>
      </c>
      <c r="H616" s="19">
        <v>96.81</v>
      </c>
      <c r="I616" t="s">
        <v>506</v>
      </c>
      <c r="J616" s="24" t="s">
        <v>60</v>
      </c>
      <c r="K616" s="24" t="s">
        <v>35</v>
      </c>
      <c r="L616" t="s">
        <v>2315</v>
      </c>
      <c r="M616" s="17">
        <v>3</v>
      </c>
      <c r="N616" t="s">
        <v>4295</v>
      </c>
      <c r="O616" s="24" t="s">
        <v>29</v>
      </c>
      <c r="P616" s="19">
        <v>96.81</v>
      </c>
      <c r="Q616" s="26" t="str">
        <f>IF(OR(P616&lt;'Descriptive Statistics'!$H$17,P616&gt;'Descriptive Statistics'!$H$18),"Potential Outlier","Within Range")</f>
        <v>Within Range</v>
      </c>
      <c r="R616" s="26" t="str">
        <f>IF(OR(G616&lt;'Descriptive Statistics'!$I$17,G616&gt;'Descriptive Statistics'!$I$18),"Potential Outlier","Within Range")</f>
        <v>Within Range</v>
      </c>
      <c r="S616" s="26" t="str">
        <f>IF(OR(H616&lt;'Descriptive Statistics'!$J$17,H616&gt;'Descriptive Statistics'!$J$18),"Potential Outlier","Within Range")</f>
        <v>Within Range</v>
      </c>
    </row>
    <row r="617" hidden="1" spans="1:19">
      <c r="A617" t="s">
        <v>2316</v>
      </c>
      <c r="B617" s="23">
        <v>45723</v>
      </c>
      <c r="C617" s="23" t="str">
        <f t="shared" si="18"/>
        <v>Mar</v>
      </c>
      <c r="D617" s="23" t="str">
        <f t="shared" si="19"/>
        <v>2025</v>
      </c>
      <c r="E617" t="s">
        <v>2317</v>
      </c>
      <c r="F617" s="24" t="s">
        <v>16</v>
      </c>
      <c r="G617" s="17">
        <v>5</v>
      </c>
      <c r="H617" s="19">
        <v>460.14</v>
      </c>
      <c r="I617" t="s">
        <v>1183</v>
      </c>
      <c r="J617" s="24" t="s">
        <v>34</v>
      </c>
      <c r="K617" s="24" t="s">
        <v>43</v>
      </c>
      <c r="L617" t="s">
        <v>2318</v>
      </c>
      <c r="M617" s="17">
        <v>10</v>
      </c>
      <c r="N617" t="s">
        <v>81</v>
      </c>
      <c r="O617" s="24" t="s">
        <v>45</v>
      </c>
      <c r="P617" s="19">
        <v>2300.7</v>
      </c>
      <c r="Q617" s="26" t="str">
        <f>IF(OR(P617&lt;'Descriptive Statistics'!$H$17,P617&gt;'Descriptive Statistics'!$H$18),"Potential Outlier","Within Range")</f>
        <v>Within Range</v>
      </c>
      <c r="R617" s="26" t="str">
        <f>IF(OR(G617&lt;'Descriptive Statistics'!$I$17,G617&gt;'Descriptive Statistics'!$I$18),"Potential Outlier","Within Range")</f>
        <v>Within Range</v>
      </c>
      <c r="S617" s="26" t="str">
        <f>IF(OR(H617&lt;'Descriptive Statistics'!$J$17,H617&gt;'Descriptive Statistics'!$J$18),"Potential Outlier","Within Range")</f>
        <v>Within Range</v>
      </c>
    </row>
    <row r="618" hidden="1" spans="1:19">
      <c r="A618" t="s">
        <v>2319</v>
      </c>
      <c r="B618" s="23">
        <v>45582</v>
      </c>
      <c r="C618" s="23" t="str">
        <f t="shared" si="18"/>
        <v>Oct</v>
      </c>
      <c r="D618" s="23" t="str">
        <f t="shared" si="19"/>
        <v>2024</v>
      </c>
      <c r="E618" t="s">
        <v>2320</v>
      </c>
      <c r="F618" s="24" t="s">
        <v>32</v>
      </c>
      <c r="G618" s="17">
        <v>3</v>
      </c>
      <c r="H618" s="19">
        <v>601.6</v>
      </c>
      <c r="I618" t="s">
        <v>2321</v>
      </c>
      <c r="J618" s="24" t="s">
        <v>34</v>
      </c>
      <c r="K618" s="24" t="s">
        <v>35</v>
      </c>
      <c r="L618" t="s">
        <v>2322</v>
      </c>
      <c r="M618" s="17">
        <v>7</v>
      </c>
      <c r="N618" t="s">
        <v>21</v>
      </c>
      <c r="O618" s="24" t="s">
        <v>45</v>
      </c>
      <c r="P618" s="19">
        <v>1804.8</v>
      </c>
      <c r="Q618" s="26" t="str">
        <f>IF(OR(P618&lt;'Descriptive Statistics'!$H$17,P618&gt;'Descriptive Statistics'!$H$18),"Potential Outlier","Within Range")</f>
        <v>Within Range</v>
      </c>
      <c r="R618" s="26" t="str">
        <f>IF(OR(G618&lt;'Descriptive Statistics'!$I$17,G618&gt;'Descriptive Statistics'!$I$18),"Potential Outlier","Within Range")</f>
        <v>Within Range</v>
      </c>
      <c r="S618" s="26" t="str">
        <f>IF(OR(H618&lt;'Descriptive Statistics'!$J$17,H618&gt;'Descriptive Statistics'!$J$18),"Potential Outlier","Within Range")</f>
        <v>Within Range</v>
      </c>
    </row>
    <row r="619" hidden="1" spans="1:19">
      <c r="A619" t="s">
        <v>2323</v>
      </c>
      <c r="B619" s="23">
        <v>45330</v>
      </c>
      <c r="C619" s="23" t="str">
        <f t="shared" si="18"/>
        <v>Feb</v>
      </c>
      <c r="D619" s="23" t="str">
        <f t="shared" si="19"/>
        <v>2024</v>
      </c>
      <c r="E619" t="s">
        <v>2324</v>
      </c>
      <c r="F619" s="24" t="s">
        <v>32</v>
      </c>
      <c r="G619" s="17">
        <v>3</v>
      </c>
      <c r="H619" s="19">
        <v>184.47</v>
      </c>
      <c r="I619" t="s">
        <v>2325</v>
      </c>
      <c r="J619" s="24" t="s">
        <v>27</v>
      </c>
      <c r="K619" s="24" t="s">
        <v>35</v>
      </c>
      <c r="L619" t="s">
        <v>2326</v>
      </c>
      <c r="M619" s="17">
        <v>4</v>
      </c>
      <c r="N619" t="s">
        <v>4295</v>
      </c>
      <c r="O619" s="24" t="s">
        <v>29</v>
      </c>
      <c r="P619" s="19">
        <v>553.41</v>
      </c>
      <c r="Q619" s="26" t="str">
        <f>IF(OR(P619&lt;'Descriptive Statistics'!$H$17,P619&gt;'Descriptive Statistics'!$H$18),"Potential Outlier","Within Range")</f>
        <v>Within Range</v>
      </c>
      <c r="R619" s="26" t="str">
        <f>IF(OR(G619&lt;'Descriptive Statistics'!$I$17,G619&gt;'Descriptive Statistics'!$I$18),"Potential Outlier","Within Range")</f>
        <v>Within Range</v>
      </c>
      <c r="S619" s="26" t="str">
        <f>IF(OR(H619&lt;'Descriptive Statistics'!$J$17,H619&gt;'Descriptive Statistics'!$J$18),"Potential Outlier","Within Range")</f>
        <v>Within Range</v>
      </c>
    </row>
    <row r="620" hidden="1" spans="1:19">
      <c r="A620" t="s">
        <v>2327</v>
      </c>
      <c r="B620" s="23">
        <v>45538</v>
      </c>
      <c r="C620" s="23" t="str">
        <f t="shared" si="18"/>
        <v>Sep</v>
      </c>
      <c r="D620" s="23" t="str">
        <f t="shared" si="19"/>
        <v>2024</v>
      </c>
      <c r="E620" t="s">
        <v>2328</v>
      </c>
      <c r="F620" s="24" t="s">
        <v>32</v>
      </c>
      <c r="G620" s="17">
        <v>1</v>
      </c>
      <c r="H620" s="19">
        <v>411.34</v>
      </c>
      <c r="I620" t="s">
        <v>2329</v>
      </c>
      <c r="J620" s="24" t="s">
        <v>18</v>
      </c>
      <c r="K620" s="24" t="s">
        <v>43</v>
      </c>
      <c r="L620" t="s">
        <v>2330</v>
      </c>
      <c r="M620" s="17">
        <v>5</v>
      </c>
      <c r="N620" t="s">
        <v>4295</v>
      </c>
      <c r="O620" s="24" t="s">
        <v>22</v>
      </c>
      <c r="P620" s="19">
        <v>411.34</v>
      </c>
      <c r="Q620" s="26" t="str">
        <f>IF(OR(P620&lt;'Descriptive Statistics'!$H$17,P620&gt;'Descriptive Statistics'!$H$18),"Potential Outlier","Within Range")</f>
        <v>Within Range</v>
      </c>
      <c r="R620" s="26" t="str">
        <f>IF(OR(G620&lt;'Descriptive Statistics'!$I$17,G620&gt;'Descriptive Statistics'!$I$18),"Potential Outlier","Within Range")</f>
        <v>Within Range</v>
      </c>
      <c r="S620" s="26" t="str">
        <f>IF(OR(H620&lt;'Descriptive Statistics'!$J$17,H620&gt;'Descriptive Statistics'!$J$18),"Potential Outlier","Within Range")</f>
        <v>Within Range</v>
      </c>
    </row>
    <row r="621" hidden="1" spans="1:19">
      <c r="A621" t="s">
        <v>2331</v>
      </c>
      <c r="B621" s="23">
        <v>45489</v>
      </c>
      <c r="C621" s="23" t="str">
        <f t="shared" si="18"/>
        <v>Jul</v>
      </c>
      <c r="D621" s="23" t="str">
        <f t="shared" si="19"/>
        <v>2024</v>
      </c>
      <c r="E621" t="s">
        <v>2332</v>
      </c>
      <c r="F621" s="24" t="s">
        <v>58</v>
      </c>
      <c r="G621" s="17">
        <v>1</v>
      </c>
      <c r="H621" s="19">
        <v>532.89</v>
      </c>
      <c r="I621" t="s">
        <v>1869</v>
      </c>
      <c r="J621" s="24" t="s">
        <v>60</v>
      </c>
      <c r="K621" s="24" t="s">
        <v>89</v>
      </c>
      <c r="L621" t="s">
        <v>2333</v>
      </c>
      <c r="M621" s="17">
        <v>2</v>
      </c>
      <c r="N621" t="s">
        <v>4295</v>
      </c>
      <c r="O621" s="24" t="s">
        <v>29</v>
      </c>
      <c r="P621" s="19">
        <v>532.89</v>
      </c>
      <c r="Q621" s="26" t="str">
        <f>IF(OR(P621&lt;'Descriptive Statistics'!$H$17,P621&gt;'Descriptive Statistics'!$H$18),"Potential Outlier","Within Range")</f>
        <v>Within Range</v>
      </c>
      <c r="R621" s="26" t="str">
        <f>IF(OR(G621&lt;'Descriptive Statistics'!$I$17,G621&gt;'Descriptive Statistics'!$I$18),"Potential Outlier","Within Range")</f>
        <v>Within Range</v>
      </c>
      <c r="S621" s="26" t="str">
        <f>IF(OR(H621&lt;'Descriptive Statistics'!$J$17,H621&gt;'Descriptive Statistics'!$J$18),"Potential Outlier","Within Range")</f>
        <v>Within Range</v>
      </c>
    </row>
    <row r="622" hidden="1" spans="1:19">
      <c r="A622" t="s">
        <v>2334</v>
      </c>
      <c r="B622" s="23">
        <v>45378</v>
      </c>
      <c r="C622" s="23" t="str">
        <f t="shared" si="18"/>
        <v>Mar</v>
      </c>
      <c r="D622" s="23" t="str">
        <f t="shared" si="19"/>
        <v>2024</v>
      </c>
      <c r="E622" t="s">
        <v>2335</v>
      </c>
      <c r="F622" s="24" t="s">
        <v>32</v>
      </c>
      <c r="G622" s="17">
        <v>3</v>
      </c>
      <c r="H622" s="19">
        <v>136.34</v>
      </c>
      <c r="I622" t="s">
        <v>2336</v>
      </c>
      <c r="J622" s="24" t="s">
        <v>18</v>
      </c>
      <c r="K622" s="24" t="s">
        <v>43</v>
      </c>
      <c r="L622" t="s">
        <v>2337</v>
      </c>
      <c r="M622" s="17">
        <v>8</v>
      </c>
      <c r="N622" t="s">
        <v>21</v>
      </c>
      <c r="O622" s="24" t="s">
        <v>29</v>
      </c>
      <c r="P622" s="19">
        <v>409.02</v>
      </c>
      <c r="Q622" s="26" t="str">
        <f>IF(OR(P622&lt;'Descriptive Statistics'!$H$17,P622&gt;'Descriptive Statistics'!$H$18),"Potential Outlier","Within Range")</f>
        <v>Within Range</v>
      </c>
      <c r="R622" s="26" t="str">
        <f>IF(OR(G622&lt;'Descriptive Statistics'!$I$17,G622&gt;'Descriptive Statistics'!$I$18),"Potential Outlier","Within Range")</f>
        <v>Within Range</v>
      </c>
      <c r="S622" s="26" t="str">
        <f>IF(OR(H622&lt;'Descriptive Statistics'!$J$17,H622&gt;'Descriptive Statistics'!$J$18),"Potential Outlier","Within Range")</f>
        <v>Within Range</v>
      </c>
    </row>
    <row r="623" hidden="1" spans="1:19">
      <c r="A623" t="s">
        <v>2338</v>
      </c>
      <c r="B623" s="23">
        <v>45221</v>
      </c>
      <c r="C623" s="23" t="str">
        <f t="shared" si="18"/>
        <v>Oct</v>
      </c>
      <c r="D623" s="23" t="str">
        <f t="shared" si="19"/>
        <v>2023</v>
      </c>
      <c r="E623" t="s">
        <v>2339</v>
      </c>
      <c r="F623" s="24" t="s">
        <v>25</v>
      </c>
      <c r="G623" s="17">
        <v>5</v>
      </c>
      <c r="H623" s="19">
        <v>476.01</v>
      </c>
      <c r="I623" t="s">
        <v>347</v>
      </c>
      <c r="J623" s="24" t="s">
        <v>34</v>
      </c>
      <c r="K623" s="24" t="s">
        <v>50</v>
      </c>
      <c r="L623" t="s">
        <v>2340</v>
      </c>
      <c r="M623" s="17">
        <v>7</v>
      </c>
      <c r="N623" t="s">
        <v>81</v>
      </c>
      <c r="O623" s="24" t="s">
        <v>76</v>
      </c>
      <c r="P623" s="19">
        <v>2380.05</v>
      </c>
      <c r="Q623" s="26" t="str">
        <f>IF(OR(P623&lt;'Descriptive Statistics'!$H$17,P623&gt;'Descriptive Statistics'!$H$18),"Potential Outlier","Within Range")</f>
        <v>Within Range</v>
      </c>
      <c r="R623" s="26" t="str">
        <f>IF(OR(G623&lt;'Descriptive Statistics'!$I$17,G623&gt;'Descriptive Statistics'!$I$18),"Potential Outlier","Within Range")</f>
        <v>Within Range</v>
      </c>
      <c r="S623" s="26" t="str">
        <f>IF(OR(H623&lt;'Descriptive Statistics'!$J$17,H623&gt;'Descriptive Statistics'!$J$18),"Potential Outlier","Within Range")</f>
        <v>Within Range</v>
      </c>
    </row>
    <row r="624" hidden="1" spans="1:19">
      <c r="A624" t="s">
        <v>2341</v>
      </c>
      <c r="B624" s="23">
        <v>45598</v>
      </c>
      <c r="C624" s="23" t="str">
        <f t="shared" si="18"/>
        <v>Nov</v>
      </c>
      <c r="D624" s="23" t="str">
        <f t="shared" si="19"/>
        <v>2024</v>
      </c>
      <c r="E624" t="s">
        <v>2342</v>
      </c>
      <c r="F624" s="24" t="s">
        <v>73</v>
      </c>
      <c r="G624" s="17">
        <v>5</v>
      </c>
      <c r="H624" s="19">
        <v>236.38</v>
      </c>
      <c r="I624" t="s">
        <v>181</v>
      </c>
      <c r="J624" s="24" t="s">
        <v>34</v>
      </c>
      <c r="K624" s="24" t="s">
        <v>43</v>
      </c>
      <c r="L624" t="s">
        <v>2343</v>
      </c>
      <c r="M624" s="17">
        <v>7</v>
      </c>
      <c r="N624" t="s">
        <v>4295</v>
      </c>
      <c r="O624" s="24" t="s">
        <v>45</v>
      </c>
      <c r="P624" s="19">
        <v>1181.9</v>
      </c>
      <c r="Q624" s="26" t="str">
        <f>IF(OR(P624&lt;'Descriptive Statistics'!$H$17,P624&gt;'Descriptive Statistics'!$H$18),"Potential Outlier","Within Range")</f>
        <v>Within Range</v>
      </c>
      <c r="R624" s="26" t="str">
        <f>IF(OR(G624&lt;'Descriptive Statistics'!$I$17,G624&gt;'Descriptive Statistics'!$I$18),"Potential Outlier","Within Range")</f>
        <v>Within Range</v>
      </c>
      <c r="S624" s="26" t="str">
        <f>IF(OR(H624&lt;'Descriptive Statistics'!$J$17,H624&gt;'Descriptive Statistics'!$J$18),"Potential Outlier","Within Range")</f>
        <v>Within Range</v>
      </c>
    </row>
    <row r="625" hidden="1" spans="1:19">
      <c r="A625" t="s">
        <v>2344</v>
      </c>
      <c r="B625" s="23">
        <v>45093</v>
      </c>
      <c r="C625" s="23" t="str">
        <f t="shared" si="18"/>
        <v>Jun</v>
      </c>
      <c r="D625" s="23" t="str">
        <f t="shared" si="19"/>
        <v>2023</v>
      </c>
      <c r="E625" t="s">
        <v>2345</v>
      </c>
      <c r="F625" s="24" t="s">
        <v>48</v>
      </c>
      <c r="G625" s="17">
        <v>3</v>
      </c>
      <c r="H625" s="19">
        <v>396</v>
      </c>
      <c r="I625" t="s">
        <v>2346</v>
      </c>
      <c r="J625" s="24" t="s">
        <v>60</v>
      </c>
      <c r="K625" s="24" t="s">
        <v>35</v>
      </c>
      <c r="L625" t="s">
        <v>2347</v>
      </c>
      <c r="M625" s="17">
        <v>4</v>
      </c>
      <c r="N625" t="s">
        <v>37</v>
      </c>
      <c r="O625" s="24" t="s">
        <v>22</v>
      </c>
      <c r="P625" s="19">
        <v>1188</v>
      </c>
      <c r="Q625" s="26" t="str">
        <f>IF(OR(P625&lt;'Descriptive Statistics'!$H$17,P625&gt;'Descriptive Statistics'!$H$18),"Potential Outlier","Within Range")</f>
        <v>Within Range</v>
      </c>
      <c r="R625" s="26" t="str">
        <f>IF(OR(G625&lt;'Descriptive Statistics'!$I$17,G625&gt;'Descriptive Statistics'!$I$18),"Potential Outlier","Within Range")</f>
        <v>Within Range</v>
      </c>
      <c r="S625" s="26" t="str">
        <f>IF(OR(H625&lt;'Descriptive Statistics'!$J$17,H625&gt;'Descriptive Statistics'!$J$18),"Potential Outlier","Within Range")</f>
        <v>Within Range</v>
      </c>
    </row>
    <row r="626" hidden="1" spans="1:19">
      <c r="A626" t="s">
        <v>2348</v>
      </c>
      <c r="B626" s="23">
        <v>45307</v>
      </c>
      <c r="C626" s="23" t="str">
        <f t="shared" si="18"/>
        <v>Jan</v>
      </c>
      <c r="D626" s="23" t="str">
        <f t="shared" si="19"/>
        <v>2024</v>
      </c>
      <c r="E626" t="s">
        <v>2349</v>
      </c>
      <c r="F626" s="24" t="s">
        <v>32</v>
      </c>
      <c r="G626" s="17">
        <v>5</v>
      </c>
      <c r="H626" s="19">
        <v>341.96</v>
      </c>
      <c r="I626" t="s">
        <v>1415</v>
      </c>
      <c r="J626" s="24" t="s">
        <v>18</v>
      </c>
      <c r="K626" s="24" t="s">
        <v>50</v>
      </c>
      <c r="L626" t="s">
        <v>2350</v>
      </c>
      <c r="M626" s="17">
        <v>6</v>
      </c>
      <c r="N626" t="s">
        <v>4295</v>
      </c>
      <c r="O626" s="24" t="s">
        <v>38</v>
      </c>
      <c r="P626" s="19">
        <v>1709.8</v>
      </c>
      <c r="Q626" s="26" t="str">
        <f>IF(OR(P626&lt;'Descriptive Statistics'!$H$17,P626&gt;'Descriptive Statistics'!$H$18),"Potential Outlier","Within Range")</f>
        <v>Within Range</v>
      </c>
      <c r="R626" s="26" t="str">
        <f>IF(OR(G626&lt;'Descriptive Statistics'!$I$17,G626&gt;'Descriptive Statistics'!$I$18),"Potential Outlier","Within Range")</f>
        <v>Within Range</v>
      </c>
      <c r="S626" s="26" t="str">
        <f>IF(OR(H626&lt;'Descriptive Statistics'!$J$17,H626&gt;'Descriptive Statistics'!$J$18),"Potential Outlier","Within Range")</f>
        <v>Within Range</v>
      </c>
    </row>
    <row r="627" hidden="1" spans="1:19">
      <c r="A627" t="s">
        <v>2351</v>
      </c>
      <c r="B627" s="23">
        <v>45193</v>
      </c>
      <c r="C627" s="23" t="str">
        <f t="shared" si="18"/>
        <v>Sep</v>
      </c>
      <c r="D627" s="23" t="str">
        <f t="shared" si="19"/>
        <v>2023</v>
      </c>
      <c r="E627" t="s">
        <v>2352</v>
      </c>
      <c r="F627" s="24" t="s">
        <v>32</v>
      </c>
      <c r="G627" s="17">
        <v>1</v>
      </c>
      <c r="H627" s="19">
        <v>672.89</v>
      </c>
      <c r="I627" t="s">
        <v>2353</v>
      </c>
      <c r="J627" s="24" t="s">
        <v>34</v>
      </c>
      <c r="K627" s="24" t="s">
        <v>89</v>
      </c>
      <c r="L627" t="s">
        <v>2354</v>
      </c>
      <c r="M627" s="17">
        <v>1</v>
      </c>
      <c r="N627" t="s">
        <v>81</v>
      </c>
      <c r="O627" s="24" t="s">
        <v>38</v>
      </c>
      <c r="P627" s="19">
        <v>672.89</v>
      </c>
      <c r="Q627" s="26" t="str">
        <f>IF(OR(P627&lt;'Descriptive Statistics'!$H$17,P627&gt;'Descriptive Statistics'!$H$18),"Potential Outlier","Within Range")</f>
        <v>Within Range</v>
      </c>
      <c r="R627" s="26" t="str">
        <f>IF(OR(G627&lt;'Descriptive Statistics'!$I$17,G627&gt;'Descriptive Statistics'!$I$18),"Potential Outlier","Within Range")</f>
        <v>Within Range</v>
      </c>
      <c r="S627" s="26" t="str">
        <f>IF(OR(H627&lt;'Descriptive Statistics'!$J$17,H627&gt;'Descriptive Statistics'!$J$18),"Potential Outlier","Within Range")</f>
        <v>Within Range</v>
      </c>
    </row>
    <row r="628" hidden="1" spans="1:19">
      <c r="A628" t="s">
        <v>2355</v>
      </c>
      <c r="B628" s="23">
        <v>45352</v>
      </c>
      <c r="C628" s="23" t="str">
        <f t="shared" si="18"/>
        <v>Mar</v>
      </c>
      <c r="D628" s="23" t="str">
        <f t="shared" si="19"/>
        <v>2024</v>
      </c>
      <c r="E628" t="s">
        <v>2356</v>
      </c>
      <c r="F628" s="24" t="s">
        <v>32</v>
      </c>
      <c r="G628" s="17">
        <v>2</v>
      </c>
      <c r="H628" s="19">
        <v>657.48</v>
      </c>
      <c r="I628" t="s">
        <v>1639</v>
      </c>
      <c r="J628" s="24" t="s">
        <v>27</v>
      </c>
      <c r="K628" s="24" t="s">
        <v>19</v>
      </c>
      <c r="L628" t="s">
        <v>2357</v>
      </c>
      <c r="M628" s="17">
        <v>5</v>
      </c>
      <c r="N628" t="s">
        <v>21</v>
      </c>
      <c r="O628" s="24" t="s">
        <v>29</v>
      </c>
      <c r="P628" s="19">
        <v>1314.96</v>
      </c>
      <c r="Q628" s="26" t="str">
        <f>IF(OR(P628&lt;'Descriptive Statistics'!$H$17,P628&gt;'Descriptive Statistics'!$H$18),"Potential Outlier","Within Range")</f>
        <v>Within Range</v>
      </c>
      <c r="R628" s="26" t="str">
        <f>IF(OR(G628&lt;'Descriptive Statistics'!$I$17,G628&gt;'Descriptive Statistics'!$I$18),"Potential Outlier","Within Range")</f>
        <v>Within Range</v>
      </c>
      <c r="S628" s="26" t="str">
        <f>IF(OR(H628&lt;'Descriptive Statistics'!$J$17,H628&gt;'Descriptive Statistics'!$J$18),"Potential Outlier","Within Range")</f>
        <v>Within Range</v>
      </c>
    </row>
    <row r="629" hidden="1" spans="1:19">
      <c r="A629" t="s">
        <v>2358</v>
      </c>
      <c r="B629" s="23">
        <v>45144</v>
      </c>
      <c r="C629" s="23" t="str">
        <f t="shared" si="18"/>
        <v>Aug</v>
      </c>
      <c r="D629" s="23" t="str">
        <f t="shared" si="19"/>
        <v>2023</v>
      </c>
      <c r="E629" t="s">
        <v>2359</v>
      </c>
      <c r="F629" s="24" t="s">
        <v>41</v>
      </c>
      <c r="G629" s="17">
        <v>3</v>
      </c>
      <c r="H629" s="19">
        <v>498.68</v>
      </c>
      <c r="I629" t="s">
        <v>2066</v>
      </c>
      <c r="J629" s="24" t="s">
        <v>27</v>
      </c>
      <c r="K629" s="24" t="s">
        <v>43</v>
      </c>
      <c r="L629" t="s">
        <v>2360</v>
      </c>
      <c r="M629" s="17">
        <v>4</v>
      </c>
      <c r="N629" t="s">
        <v>37</v>
      </c>
      <c r="O629" s="24" t="s">
        <v>38</v>
      </c>
      <c r="P629" s="19">
        <v>1496.04</v>
      </c>
      <c r="Q629" s="26" t="str">
        <f>IF(OR(P629&lt;'Descriptive Statistics'!$H$17,P629&gt;'Descriptive Statistics'!$H$18),"Potential Outlier","Within Range")</f>
        <v>Within Range</v>
      </c>
      <c r="R629" s="26" t="str">
        <f>IF(OR(G629&lt;'Descriptive Statistics'!$I$17,G629&gt;'Descriptive Statistics'!$I$18),"Potential Outlier","Within Range")</f>
        <v>Within Range</v>
      </c>
      <c r="S629" s="26" t="str">
        <f>IF(OR(H629&lt;'Descriptive Statistics'!$J$17,H629&gt;'Descriptive Statistics'!$J$18),"Potential Outlier","Within Range")</f>
        <v>Within Range</v>
      </c>
    </row>
    <row r="630" hidden="1" spans="1:19">
      <c r="A630" t="s">
        <v>2361</v>
      </c>
      <c r="B630" s="23">
        <v>45011</v>
      </c>
      <c r="C630" s="23" t="str">
        <f t="shared" si="18"/>
        <v>Mar</v>
      </c>
      <c r="D630" s="23" t="str">
        <f t="shared" si="19"/>
        <v>2023</v>
      </c>
      <c r="E630" t="s">
        <v>2362</v>
      </c>
      <c r="F630" s="24" t="s">
        <v>48</v>
      </c>
      <c r="G630" s="17">
        <v>5</v>
      </c>
      <c r="H630" s="19">
        <v>558.63</v>
      </c>
      <c r="I630" t="s">
        <v>2363</v>
      </c>
      <c r="J630" s="24" t="s">
        <v>65</v>
      </c>
      <c r="K630" s="24" t="s">
        <v>89</v>
      </c>
      <c r="L630" t="s">
        <v>2364</v>
      </c>
      <c r="M630" s="17">
        <v>8</v>
      </c>
      <c r="N630" t="s">
        <v>37</v>
      </c>
      <c r="O630" s="24" t="s">
        <v>29</v>
      </c>
      <c r="P630" s="19">
        <v>2793.15</v>
      </c>
      <c r="Q630" s="26" t="str">
        <f>IF(OR(P630&lt;'Descriptive Statistics'!$H$17,P630&gt;'Descriptive Statistics'!$H$18),"Potential Outlier","Within Range")</f>
        <v>Within Range</v>
      </c>
      <c r="R630" s="26" t="str">
        <f>IF(OR(G630&lt;'Descriptive Statistics'!$I$17,G630&gt;'Descriptive Statistics'!$I$18),"Potential Outlier","Within Range")</f>
        <v>Within Range</v>
      </c>
      <c r="S630" s="26" t="str">
        <f>IF(OR(H630&lt;'Descriptive Statistics'!$J$17,H630&gt;'Descriptive Statistics'!$J$18),"Potential Outlier","Within Range")</f>
        <v>Within Range</v>
      </c>
    </row>
    <row r="631" hidden="1" spans="1:19">
      <c r="A631" t="s">
        <v>2365</v>
      </c>
      <c r="B631" s="23">
        <v>45114</v>
      </c>
      <c r="C631" s="23" t="str">
        <f t="shared" si="18"/>
        <v>Jul</v>
      </c>
      <c r="D631" s="23" t="str">
        <f t="shared" si="19"/>
        <v>2023</v>
      </c>
      <c r="E631" t="s">
        <v>2366</v>
      </c>
      <c r="F631" s="24" t="s">
        <v>25</v>
      </c>
      <c r="G631" s="17">
        <v>3</v>
      </c>
      <c r="H631" s="19">
        <v>19.73</v>
      </c>
      <c r="I631" t="s">
        <v>2367</v>
      </c>
      <c r="J631" s="24" t="s">
        <v>27</v>
      </c>
      <c r="K631" s="24" t="s">
        <v>89</v>
      </c>
      <c r="L631" t="s">
        <v>2368</v>
      </c>
      <c r="M631" s="17">
        <v>3</v>
      </c>
      <c r="N631" t="s">
        <v>4295</v>
      </c>
      <c r="O631" s="24" t="s">
        <v>29</v>
      </c>
      <c r="P631" s="19">
        <v>59.19</v>
      </c>
      <c r="Q631" s="26" t="str">
        <f>IF(OR(P631&lt;'Descriptive Statistics'!$H$17,P631&gt;'Descriptive Statistics'!$H$18),"Potential Outlier","Within Range")</f>
        <v>Within Range</v>
      </c>
      <c r="R631" s="26" t="str">
        <f>IF(OR(G631&lt;'Descriptive Statistics'!$I$17,G631&gt;'Descriptive Statistics'!$I$18),"Potential Outlier","Within Range")</f>
        <v>Within Range</v>
      </c>
      <c r="S631" s="26" t="str">
        <f>IF(OR(H631&lt;'Descriptive Statistics'!$J$17,H631&gt;'Descriptive Statistics'!$J$18),"Potential Outlier","Within Range")</f>
        <v>Within Range</v>
      </c>
    </row>
    <row r="632" hidden="1" spans="1:19">
      <c r="A632" t="s">
        <v>2369</v>
      </c>
      <c r="B632" s="23">
        <v>45100</v>
      </c>
      <c r="C632" s="23" t="str">
        <f t="shared" si="18"/>
        <v>Jun</v>
      </c>
      <c r="D632" s="23" t="str">
        <f t="shared" si="19"/>
        <v>2023</v>
      </c>
      <c r="E632" t="s">
        <v>2370</v>
      </c>
      <c r="F632" s="24" t="s">
        <v>16</v>
      </c>
      <c r="G632" s="17">
        <v>5</v>
      </c>
      <c r="H632" s="19">
        <v>248.84</v>
      </c>
      <c r="I632" t="s">
        <v>2371</v>
      </c>
      <c r="J632" s="24" t="s">
        <v>18</v>
      </c>
      <c r="K632" s="24" t="s">
        <v>35</v>
      </c>
      <c r="L632" t="s">
        <v>2372</v>
      </c>
      <c r="M632" s="17">
        <v>10</v>
      </c>
      <c r="N632" t="s">
        <v>4295</v>
      </c>
      <c r="O632" s="24" t="s">
        <v>22</v>
      </c>
      <c r="P632" s="19">
        <v>1244.2</v>
      </c>
      <c r="Q632" s="26" t="str">
        <f>IF(OR(P632&lt;'Descriptive Statistics'!$H$17,P632&gt;'Descriptive Statistics'!$H$18),"Potential Outlier","Within Range")</f>
        <v>Within Range</v>
      </c>
      <c r="R632" s="26" t="str">
        <f>IF(OR(G632&lt;'Descriptive Statistics'!$I$17,G632&gt;'Descriptive Statistics'!$I$18),"Potential Outlier","Within Range")</f>
        <v>Within Range</v>
      </c>
      <c r="S632" s="26" t="str">
        <f>IF(OR(H632&lt;'Descriptive Statistics'!$J$17,H632&gt;'Descriptive Statistics'!$J$18),"Potential Outlier","Within Range")</f>
        <v>Within Range</v>
      </c>
    </row>
    <row r="633" hidden="1" spans="1:19">
      <c r="A633" t="s">
        <v>2373</v>
      </c>
      <c r="B633" s="23">
        <v>45535</v>
      </c>
      <c r="C633" s="23" t="str">
        <f t="shared" si="18"/>
        <v>Aug</v>
      </c>
      <c r="D633" s="23" t="str">
        <f t="shared" si="19"/>
        <v>2024</v>
      </c>
      <c r="E633" t="s">
        <v>2374</v>
      </c>
      <c r="F633" s="24" t="s">
        <v>41</v>
      </c>
      <c r="G633" s="17">
        <v>3</v>
      </c>
      <c r="H633" s="19">
        <v>46.11</v>
      </c>
      <c r="I633" t="s">
        <v>1101</v>
      </c>
      <c r="J633" s="24" t="s">
        <v>60</v>
      </c>
      <c r="K633" s="24" t="s">
        <v>43</v>
      </c>
      <c r="L633" t="s">
        <v>2375</v>
      </c>
      <c r="M633" s="17">
        <v>5</v>
      </c>
      <c r="N633" t="s">
        <v>81</v>
      </c>
      <c r="O633" s="24" t="s">
        <v>29</v>
      </c>
      <c r="P633" s="19">
        <v>138.33</v>
      </c>
      <c r="Q633" s="26" t="str">
        <f>IF(OR(P633&lt;'Descriptive Statistics'!$H$17,P633&gt;'Descriptive Statistics'!$H$18),"Potential Outlier","Within Range")</f>
        <v>Within Range</v>
      </c>
      <c r="R633" s="26" t="str">
        <f>IF(OR(G633&lt;'Descriptive Statistics'!$I$17,G633&gt;'Descriptive Statistics'!$I$18),"Potential Outlier","Within Range")</f>
        <v>Within Range</v>
      </c>
      <c r="S633" s="26" t="str">
        <f>IF(OR(H633&lt;'Descriptive Statistics'!$J$17,H633&gt;'Descriptive Statistics'!$J$18),"Potential Outlier","Within Range")</f>
        <v>Within Range</v>
      </c>
    </row>
    <row r="634" spans="1:19">
      <c r="A634" t="s">
        <v>2376</v>
      </c>
      <c r="B634" s="23">
        <v>45048</v>
      </c>
      <c r="C634" s="23" t="str">
        <f t="shared" si="18"/>
        <v>May</v>
      </c>
      <c r="D634" s="23" t="str">
        <f t="shared" si="19"/>
        <v>2023</v>
      </c>
      <c r="E634" t="s">
        <v>2377</v>
      </c>
      <c r="F634" s="24" t="s">
        <v>58</v>
      </c>
      <c r="G634" s="17">
        <v>5</v>
      </c>
      <c r="H634" s="19">
        <v>678.16</v>
      </c>
      <c r="I634" t="s">
        <v>1028</v>
      </c>
      <c r="J634" s="24" t="s">
        <v>60</v>
      </c>
      <c r="K634" s="24" t="s">
        <v>50</v>
      </c>
      <c r="L634" t="s">
        <v>2378</v>
      </c>
      <c r="M634" s="17">
        <v>7</v>
      </c>
      <c r="N634" t="s">
        <v>81</v>
      </c>
      <c r="O634" s="24" t="s">
        <v>45</v>
      </c>
      <c r="P634" s="19">
        <v>3390.8</v>
      </c>
      <c r="Q634" s="26" t="str">
        <f>IF(OR(P634&lt;'Descriptive Statistics'!$H$17,P634&gt;'Descriptive Statistics'!$H$18),"Potential Outlier","Within Range")</f>
        <v>Potential Outlier</v>
      </c>
      <c r="R634" s="26" t="str">
        <f>IF(OR(G634&lt;'Descriptive Statistics'!$I$17,G634&gt;'Descriptive Statistics'!$I$18),"Potential Outlier","Within Range")</f>
        <v>Within Range</v>
      </c>
      <c r="S634" s="26" t="str">
        <f>IF(OR(H634&lt;'Descriptive Statistics'!$J$17,H634&gt;'Descriptive Statistics'!$J$18),"Potential Outlier","Within Range")</f>
        <v>Within Range</v>
      </c>
    </row>
    <row r="635" hidden="1" spans="1:19">
      <c r="A635" t="s">
        <v>2379</v>
      </c>
      <c r="B635" s="23">
        <v>45392</v>
      </c>
      <c r="C635" s="23" t="str">
        <f t="shared" si="18"/>
        <v>Apr</v>
      </c>
      <c r="D635" s="23" t="str">
        <f t="shared" si="19"/>
        <v>2024</v>
      </c>
      <c r="E635" t="s">
        <v>2380</v>
      </c>
      <c r="F635" s="24" t="s">
        <v>58</v>
      </c>
      <c r="G635" s="17">
        <v>5</v>
      </c>
      <c r="H635" s="19">
        <v>601.72</v>
      </c>
      <c r="I635" t="s">
        <v>1538</v>
      </c>
      <c r="J635" s="24" t="s">
        <v>60</v>
      </c>
      <c r="K635" s="24" t="s">
        <v>35</v>
      </c>
      <c r="L635" t="s">
        <v>2381</v>
      </c>
      <c r="M635" s="17">
        <v>5</v>
      </c>
      <c r="N635" t="s">
        <v>81</v>
      </c>
      <c r="O635" s="24" t="s">
        <v>22</v>
      </c>
      <c r="P635" s="19">
        <v>3008.6</v>
      </c>
      <c r="Q635" s="26" t="str">
        <f>IF(OR(P635&lt;'Descriptive Statistics'!$H$17,P635&gt;'Descriptive Statistics'!$H$18),"Potential Outlier","Within Range")</f>
        <v>Within Range</v>
      </c>
      <c r="R635" s="26" t="str">
        <f>IF(OR(G635&lt;'Descriptive Statistics'!$I$17,G635&gt;'Descriptive Statistics'!$I$18),"Potential Outlier","Within Range")</f>
        <v>Within Range</v>
      </c>
      <c r="S635" s="26" t="str">
        <f>IF(OR(H635&lt;'Descriptive Statistics'!$J$17,H635&gt;'Descriptive Statistics'!$J$18),"Potential Outlier","Within Range")</f>
        <v>Within Range</v>
      </c>
    </row>
    <row r="636" hidden="1" spans="1:19">
      <c r="A636" t="s">
        <v>2382</v>
      </c>
      <c r="B636" s="23">
        <v>45407</v>
      </c>
      <c r="C636" s="23" t="str">
        <f t="shared" si="18"/>
        <v>Apr</v>
      </c>
      <c r="D636" s="23" t="str">
        <f t="shared" si="19"/>
        <v>2024</v>
      </c>
      <c r="E636" t="s">
        <v>2383</v>
      </c>
      <c r="F636" s="24" t="s">
        <v>48</v>
      </c>
      <c r="G636" s="17">
        <v>2</v>
      </c>
      <c r="H636" s="19">
        <v>259.32</v>
      </c>
      <c r="I636" t="s">
        <v>2384</v>
      </c>
      <c r="J636" s="24" t="s">
        <v>60</v>
      </c>
      <c r="K636" s="24" t="s">
        <v>50</v>
      </c>
      <c r="L636" t="s">
        <v>2385</v>
      </c>
      <c r="M636" s="17">
        <v>2</v>
      </c>
      <c r="N636" t="s">
        <v>81</v>
      </c>
      <c r="O636" s="24" t="s">
        <v>29</v>
      </c>
      <c r="P636" s="19">
        <v>518.64</v>
      </c>
      <c r="Q636" s="26" t="str">
        <f>IF(OR(P636&lt;'Descriptive Statistics'!$H$17,P636&gt;'Descriptive Statistics'!$H$18),"Potential Outlier","Within Range")</f>
        <v>Within Range</v>
      </c>
      <c r="R636" s="26" t="str">
        <f>IF(OR(G636&lt;'Descriptive Statistics'!$I$17,G636&gt;'Descriptive Statistics'!$I$18),"Potential Outlier","Within Range")</f>
        <v>Within Range</v>
      </c>
      <c r="S636" s="26" t="str">
        <f>IF(OR(H636&lt;'Descriptive Statistics'!$J$17,H636&gt;'Descriptive Statistics'!$J$18),"Potential Outlier","Within Range")</f>
        <v>Within Range</v>
      </c>
    </row>
    <row r="637" hidden="1" spans="1:19">
      <c r="A637" t="s">
        <v>2386</v>
      </c>
      <c r="B637" s="23">
        <v>45273</v>
      </c>
      <c r="C637" s="23" t="str">
        <f t="shared" si="18"/>
        <v>Dec</v>
      </c>
      <c r="D637" s="23" t="str">
        <f t="shared" si="19"/>
        <v>2023</v>
      </c>
      <c r="E637" t="s">
        <v>2387</v>
      </c>
      <c r="F637" s="24" t="s">
        <v>41</v>
      </c>
      <c r="G637" s="17">
        <v>3</v>
      </c>
      <c r="H637" s="19">
        <v>63.68</v>
      </c>
      <c r="I637" t="s">
        <v>242</v>
      </c>
      <c r="J637" s="24" t="s">
        <v>65</v>
      </c>
      <c r="K637" s="24" t="s">
        <v>43</v>
      </c>
      <c r="L637" t="s">
        <v>2388</v>
      </c>
      <c r="M637" s="17">
        <v>6</v>
      </c>
      <c r="N637" t="s">
        <v>4295</v>
      </c>
      <c r="O637" s="24" t="s">
        <v>45</v>
      </c>
      <c r="P637" s="19">
        <v>191.04</v>
      </c>
      <c r="Q637" s="26" t="str">
        <f>IF(OR(P637&lt;'Descriptive Statistics'!$H$17,P637&gt;'Descriptive Statistics'!$H$18),"Potential Outlier","Within Range")</f>
        <v>Within Range</v>
      </c>
      <c r="R637" s="26" t="str">
        <f>IF(OR(G637&lt;'Descriptive Statistics'!$I$17,G637&gt;'Descriptive Statistics'!$I$18),"Potential Outlier","Within Range")</f>
        <v>Within Range</v>
      </c>
      <c r="S637" s="26" t="str">
        <f>IF(OR(H637&lt;'Descriptive Statistics'!$J$17,H637&gt;'Descriptive Statistics'!$J$18),"Potential Outlier","Within Range")</f>
        <v>Within Range</v>
      </c>
    </row>
    <row r="638" hidden="1" spans="1:19">
      <c r="A638" t="s">
        <v>2389</v>
      </c>
      <c r="B638" s="23">
        <v>45204</v>
      </c>
      <c r="C638" s="23" t="str">
        <f t="shared" si="18"/>
        <v>Oct</v>
      </c>
      <c r="D638" s="23" t="str">
        <f t="shared" si="19"/>
        <v>2023</v>
      </c>
      <c r="E638" t="s">
        <v>2390</v>
      </c>
      <c r="F638" s="24" t="s">
        <v>58</v>
      </c>
      <c r="G638" s="17">
        <v>4</v>
      </c>
      <c r="H638" s="19">
        <v>371.07</v>
      </c>
      <c r="I638" t="s">
        <v>708</v>
      </c>
      <c r="J638" s="24" t="s">
        <v>65</v>
      </c>
      <c r="K638" s="24" t="s">
        <v>35</v>
      </c>
      <c r="L638" t="s">
        <v>2391</v>
      </c>
      <c r="M638" s="17">
        <v>7</v>
      </c>
      <c r="N638" t="s">
        <v>81</v>
      </c>
      <c r="O638" s="24" t="s">
        <v>45</v>
      </c>
      <c r="P638" s="19">
        <v>1484.28</v>
      </c>
      <c r="Q638" s="26" t="str">
        <f>IF(OR(P638&lt;'Descriptive Statistics'!$H$17,P638&gt;'Descriptive Statistics'!$H$18),"Potential Outlier","Within Range")</f>
        <v>Within Range</v>
      </c>
      <c r="R638" s="26" t="str">
        <f>IF(OR(G638&lt;'Descriptive Statistics'!$I$17,G638&gt;'Descriptive Statistics'!$I$18),"Potential Outlier","Within Range")</f>
        <v>Within Range</v>
      </c>
      <c r="S638" s="26" t="str">
        <f>IF(OR(H638&lt;'Descriptive Statistics'!$J$17,H638&gt;'Descriptive Statistics'!$J$18),"Potential Outlier","Within Range")</f>
        <v>Within Range</v>
      </c>
    </row>
    <row r="639" hidden="1" spans="1:19">
      <c r="A639" t="s">
        <v>2392</v>
      </c>
      <c r="B639" s="23">
        <v>45564</v>
      </c>
      <c r="C639" s="23" t="str">
        <f t="shared" si="18"/>
        <v>Sep</v>
      </c>
      <c r="D639" s="23" t="str">
        <f t="shared" si="19"/>
        <v>2024</v>
      </c>
      <c r="E639" t="s">
        <v>2393</v>
      </c>
      <c r="F639" s="24" t="s">
        <v>41</v>
      </c>
      <c r="G639" s="17">
        <v>4</v>
      </c>
      <c r="H639" s="19">
        <v>306.35</v>
      </c>
      <c r="I639" t="s">
        <v>2394</v>
      </c>
      <c r="J639" s="24" t="s">
        <v>60</v>
      </c>
      <c r="K639" s="24" t="s">
        <v>19</v>
      </c>
      <c r="L639" t="s">
        <v>2395</v>
      </c>
      <c r="M639" s="17">
        <v>7</v>
      </c>
      <c r="N639" t="s">
        <v>81</v>
      </c>
      <c r="O639" s="24" t="s">
        <v>29</v>
      </c>
      <c r="P639" s="19">
        <v>1225.4</v>
      </c>
      <c r="Q639" s="26" t="str">
        <f>IF(OR(P639&lt;'Descriptive Statistics'!$H$17,P639&gt;'Descriptive Statistics'!$H$18),"Potential Outlier","Within Range")</f>
        <v>Within Range</v>
      </c>
      <c r="R639" s="26" t="str">
        <f>IF(OR(G639&lt;'Descriptive Statistics'!$I$17,G639&gt;'Descriptive Statistics'!$I$18),"Potential Outlier","Within Range")</f>
        <v>Within Range</v>
      </c>
      <c r="S639" s="26" t="str">
        <f>IF(OR(H639&lt;'Descriptive Statistics'!$J$17,H639&gt;'Descriptive Statistics'!$J$18),"Potential Outlier","Within Range")</f>
        <v>Within Range</v>
      </c>
    </row>
    <row r="640" hidden="1" spans="1:19">
      <c r="A640" t="s">
        <v>2396</v>
      </c>
      <c r="B640" s="23">
        <v>45214</v>
      </c>
      <c r="C640" s="23" t="str">
        <f t="shared" si="18"/>
        <v>Oct</v>
      </c>
      <c r="D640" s="23" t="str">
        <f t="shared" si="19"/>
        <v>2023</v>
      </c>
      <c r="E640" t="s">
        <v>2397</v>
      </c>
      <c r="F640" s="24" t="s">
        <v>32</v>
      </c>
      <c r="G640" s="17">
        <v>4</v>
      </c>
      <c r="H640" s="19">
        <v>578.27</v>
      </c>
      <c r="I640" t="s">
        <v>2398</v>
      </c>
      <c r="J640" s="24" t="s">
        <v>27</v>
      </c>
      <c r="K640" s="24" t="s">
        <v>50</v>
      </c>
      <c r="L640" t="s">
        <v>2399</v>
      </c>
      <c r="M640" s="17">
        <v>9</v>
      </c>
      <c r="N640" t="s">
        <v>81</v>
      </c>
      <c r="O640" s="24" t="s">
        <v>38</v>
      </c>
      <c r="P640" s="19">
        <v>2313.08</v>
      </c>
      <c r="Q640" s="26" t="str">
        <f>IF(OR(P640&lt;'Descriptive Statistics'!$H$17,P640&gt;'Descriptive Statistics'!$H$18),"Potential Outlier","Within Range")</f>
        <v>Within Range</v>
      </c>
      <c r="R640" s="26" t="str">
        <f>IF(OR(G640&lt;'Descriptive Statistics'!$I$17,G640&gt;'Descriptive Statistics'!$I$18),"Potential Outlier","Within Range")</f>
        <v>Within Range</v>
      </c>
      <c r="S640" s="26" t="str">
        <f>IF(OR(H640&lt;'Descriptive Statistics'!$J$17,H640&gt;'Descriptive Statistics'!$J$18),"Potential Outlier","Within Range")</f>
        <v>Within Range</v>
      </c>
    </row>
    <row r="641" hidden="1" spans="1:19">
      <c r="A641" t="s">
        <v>2400</v>
      </c>
      <c r="B641" s="23">
        <v>44946</v>
      </c>
      <c r="C641" s="23" t="str">
        <f t="shared" si="18"/>
        <v>Jan</v>
      </c>
      <c r="D641" s="23" t="str">
        <f t="shared" si="19"/>
        <v>2023</v>
      </c>
      <c r="E641" t="s">
        <v>2401</v>
      </c>
      <c r="F641" s="24" t="s">
        <v>41</v>
      </c>
      <c r="G641" s="17">
        <v>1</v>
      </c>
      <c r="H641" s="19">
        <v>529.19</v>
      </c>
      <c r="I641" t="s">
        <v>1798</v>
      </c>
      <c r="J641" s="24" t="s">
        <v>65</v>
      </c>
      <c r="K641" s="24" t="s">
        <v>35</v>
      </c>
      <c r="L641" t="s">
        <v>2402</v>
      </c>
      <c r="M641" s="17">
        <v>5</v>
      </c>
      <c r="N641" t="s">
        <v>4295</v>
      </c>
      <c r="O641" s="24" t="s">
        <v>29</v>
      </c>
      <c r="P641" s="19">
        <v>529.19</v>
      </c>
      <c r="Q641" s="26" t="str">
        <f>IF(OR(P641&lt;'Descriptive Statistics'!$H$17,P641&gt;'Descriptive Statistics'!$H$18),"Potential Outlier","Within Range")</f>
        <v>Within Range</v>
      </c>
      <c r="R641" s="26" t="str">
        <f>IF(OR(G641&lt;'Descriptive Statistics'!$I$17,G641&gt;'Descriptive Statistics'!$I$18),"Potential Outlier","Within Range")</f>
        <v>Within Range</v>
      </c>
      <c r="S641" s="26" t="str">
        <f>IF(OR(H641&lt;'Descriptive Statistics'!$J$17,H641&gt;'Descriptive Statistics'!$J$18),"Potential Outlier","Within Range")</f>
        <v>Within Range</v>
      </c>
    </row>
    <row r="642" hidden="1" spans="1:19">
      <c r="A642" t="s">
        <v>2403</v>
      </c>
      <c r="B642" s="23">
        <v>45349</v>
      </c>
      <c r="C642" s="23" t="str">
        <f t="shared" ref="C642:C705" si="20">TEXT(B642,"MMM")</f>
        <v>Feb</v>
      </c>
      <c r="D642" s="23" t="str">
        <f t="shared" ref="D642:D705" si="21">TEXT(B642,"YYYY")</f>
        <v>2024</v>
      </c>
      <c r="E642" t="s">
        <v>2404</v>
      </c>
      <c r="F642" s="24" t="s">
        <v>41</v>
      </c>
      <c r="G642" s="17">
        <v>2</v>
      </c>
      <c r="H642" s="19">
        <v>587.49</v>
      </c>
      <c r="I642" t="s">
        <v>450</v>
      </c>
      <c r="J642" s="24" t="s">
        <v>60</v>
      </c>
      <c r="K642" s="24" t="s">
        <v>43</v>
      </c>
      <c r="L642" t="s">
        <v>2405</v>
      </c>
      <c r="M642" s="17">
        <v>6</v>
      </c>
      <c r="N642" t="s">
        <v>21</v>
      </c>
      <c r="O642" s="24" t="s">
        <v>29</v>
      </c>
      <c r="P642" s="19">
        <v>1174.98</v>
      </c>
      <c r="Q642" s="26" t="str">
        <f>IF(OR(P642&lt;'Descriptive Statistics'!$H$17,P642&gt;'Descriptive Statistics'!$H$18),"Potential Outlier","Within Range")</f>
        <v>Within Range</v>
      </c>
      <c r="R642" s="26" t="str">
        <f>IF(OR(G642&lt;'Descriptive Statistics'!$I$17,G642&gt;'Descriptive Statistics'!$I$18),"Potential Outlier","Within Range")</f>
        <v>Within Range</v>
      </c>
      <c r="S642" s="26" t="str">
        <f>IF(OR(H642&lt;'Descriptive Statistics'!$J$17,H642&gt;'Descriptive Statistics'!$J$18),"Potential Outlier","Within Range")</f>
        <v>Within Range</v>
      </c>
    </row>
    <row r="643" hidden="1" spans="1:19">
      <c r="A643" t="s">
        <v>2406</v>
      </c>
      <c r="B643" s="23">
        <v>45473</v>
      </c>
      <c r="C643" s="23" t="str">
        <f t="shared" si="20"/>
        <v>Jun</v>
      </c>
      <c r="D643" s="23" t="str">
        <f t="shared" si="21"/>
        <v>2024</v>
      </c>
      <c r="E643" t="s">
        <v>2407</v>
      </c>
      <c r="F643" s="24" t="s">
        <v>48</v>
      </c>
      <c r="G643" s="17">
        <v>4</v>
      </c>
      <c r="H643" s="19">
        <v>567.57</v>
      </c>
      <c r="I643" t="s">
        <v>1011</v>
      </c>
      <c r="J643" s="24" t="s">
        <v>18</v>
      </c>
      <c r="K643" s="24" t="s">
        <v>89</v>
      </c>
      <c r="L643" t="s">
        <v>2408</v>
      </c>
      <c r="M643" s="17">
        <v>9</v>
      </c>
      <c r="N643" t="s">
        <v>81</v>
      </c>
      <c r="O643" s="24" t="s">
        <v>76</v>
      </c>
      <c r="P643" s="19">
        <v>2270.28</v>
      </c>
      <c r="Q643" s="26" t="str">
        <f>IF(OR(P643&lt;'Descriptive Statistics'!$H$17,P643&gt;'Descriptive Statistics'!$H$18),"Potential Outlier","Within Range")</f>
        <v>Within Range</v>
      </c>
      <c r="R643" s="26" t="str">
        <f>IF(OR(G643&lt;'Descriptive Statistics'!$I$17,G643&gt;'Descriptive Statistics'!$I$18),"Potential Outlier","Within Range")</f>
        <v>Within Range</v>
      </c>
      <c r="S643" s="26" t="str">
        <f>IF(OR(H643&lt;'Descriptive Statistics'!$J$17,H643&gt;'Descriptive Statistics'!$J$18),"Potential Outlier","Within Range")</f>
        <v>Within Range</v>
      </c>
    </row>
    <row r="644" hidden="1" spans="1:19">
      <c r="A644" t="s">
        <v>2409</v>
      </c>
      <c r="B644" s="23">
        <v>45411</v>
      </c>
      <c r="C644" s="23" t="str">
        <f t="shared" si="20"/>
        <v>Apr</v>
      </c>
      <c r="D644" s="23" t="str">
        <f t="shared" si="21"/>
        <v>2024</v>
      </c>
      <c r="E644" t="s">
        <v>2410</v>
      </c>
      <c r="F644" s="24" t="s">
        <v>41</v>
      </c>
      <c r="G644" s="17">
        <v>5</v>
      </c>
      <c r="H644" s="19">
        <v>85.22</v>
      </c>
      <c r="I644" t="s">
        <v>2411</v>
      </c>
      <c r="J644" s="24" t="s">
        <v>34</v>
      </c>
      <c r="K644" s="24" t="s">
        <v>35</v>
      </c>
      <c r="L644" t="s">
        <v>2412</v>
      </c>
      <c r="M644" s="17">
        <v>7</v>
      </c>
      <c r="N644" t="s">
        <v>37</v>
      </c>
      <c r="O644" s="24" t="s">
        <v>38</v>
      </c>
      <c r="P644" s="19">
        <v>426.1</v>
      </c>
      <c r="Q644" s="26" t="str">
        <f>IF(OR(P644&lt;'Descriptive Statistics'!$H$17,P644&gt;'Descriptive Statistics'!$H$18),"Potential Outlier","Within Range")</f>
        <v>Within Range</v>
      </c>
      <c r="R644" s="26" t="str">
        <f>IF(OR(G644&lt;'Descriptive Statistics'!$I$17,G644&gt;'Descriptive Statistics'!$I$18),"Potential Outlier","Within Range")</f>
        <v>Within Range</v>
      </c>
      <c r="S644" s="26" t="str">
        <f>IF(OR(H644&lt;'Descriptive Statistics'!$J$17,H644&gt;'Descriptive Statistics'!$J$18),"Potential Outlier","Within Range")</f>
        <v>Within Range</v>
      </c>
    </row>
    <row r="645" hidden="1" spans="1:19">
      <c r="A645" t="s">
        <v>2413</v>
      </c>
      <c r="B645" s="23">
        <v>45530</v>
      </c>
      <c r="C645" s="23" t="str">
        <f t="shared" si="20"/>
        <v>Aug</v>
      </c>
      <c r="D645" s="23" t="str">
        <f t="shared" si="21"/>
        <v>2024</v>
      </c>
      <c r="E645" t="s">
        <v>2414</v>
      </c>
      <c r="F645" s="24" t="s">
        <v>58</v>
      </c>
      <c r="G645" s="17">
        <v>1</v>
      </c>
      <c r="H645" s="19">
        <v>438.37</v>
      </c>
      <c r="I645" t="s">
        <v>450</v>
      </c>
      <c r="J645" s="24" t="s">
        <v>65</v>
      </c>
      <c r="K645" s="24" t="s">
        <v>35</v>
      </c>
      <c r="L645" t="s">
        <v>2415</v>
      </c>
      <c r="M645" s="17">
        <v>4</v>
      </c>
      <c r="N645" t="s">
        <v>21</v>
      </c>
      <c r="O645" s="24" t="s">
        <v>29</v>
      </c>
      <c r="P645" s="19">
        <v>438.37</v>
      </c>
      <c r="Q645" s="26" t="str">
        <f>IF(OR(P645&lt;'Descriptive Statistics'!$H$17,P645&gt;'Descriptive Statistics'!$H$18),"Potential Outlier","Within Range")</f>
        <v>Within Range</v>
      </c>
      <c r="R645" s="26" t="str">
        <f>IF(OR(G645&lt;'Descriptive Statistics'!$I$17,G645&gt;'Descriptive Statistics'!$I$18),"Potential Outlier","Within Range")</f>
        <v>Within Range</v>
      </c>
      <c r="S645" s="26" t="str">
        <f>IF(OR(H645&lt;'Descriptive Statistics'!$J$17,H645&gt;'Descriptive Statistics'!$J$18),"Potential Outlier","Within Range")</f>
        <v>Within Range</v>
      </c>
    </row>
    <row r="646" hidden="1" spans="1:19">
      <c r="A646" t="s">
        <v>2416</v>
      </c>
      <c r="B646" s="23">
        <v>45245</v>
      </c>
      <c r="C646" s="23" t="str">
        <f t="shared" si="20"/>
        <v>Nov</v>
      </c>
      <c r="D646" s="23" t="str">
        <f t="shared" si="21"/>
        <v>2023</v>
      </c>
      <c r="E646" t="s">
        <v>2417</v>
      </c>
      <c r="F646" s="24" t="s">
        <v>41</v>
      </c>
      <c r="G646" s="17">
        <v>2</v>
      </c>
      <c r="H646" s="19">
        <v>366.23</v>
      </c>
      <c r="I646" t="s">
        <v>2418</v>
      </c>
      <c r="J646" s="24" t="s">
        <v>65</v>
      </c>
      <c r="K646" s="24" t="s">
        <v>19</v>
      </c>
      <c r="L646" t="s">
        <v>2419</v>
      </c>
      <c r="M646" s="17">
        <v>2</v>
      </c>
      <c r="N646" t="s">
        <v>81</v>
      </c>
      <c r="O646" s="24" t="s">
        <v>38</v>
      </c>
      <c r="P646" s="19">
        <v>732.46</v>
      </c>
      <c r="Q646" s="26" t="str">
        <f>IF(OR(P646&lt;'Descriptive Statistics'!$H$17,P646&gt;'Descriptive Statistics'!$H$18),"Potential Outlier","Within Range")</f>
        <v>Within Range</v>
      </c>
      <c r="R646" s="26" t="str">
        <f>IF(OR(G646&lt;'Descriptive Statistics'!$I$17,G646&gt;'Descriptive Statistics'!$I$18),"Potential Outlier","Within Range")</f>
        <v>Within Range</v>
      </c>
      <c r="S646" s="26" t="str">
        <f>IF(OR(H646&lt;'Descriptive Statistics'!$J$17,H646&gt;'Descriptive Statistics'!$J$18),"Potential Outlier","Within Range")</f>
        <v>Within Range</v>
      </c>
    </row>
    <row r="647" hidden="1" spans="1:19">
      <c r="A647" t="s">
        <v>2420</v>
      </c>
      <c r="B647" s="23">
        <v>44928</v>
      </c>
      <c r="C647" s="23" t="str">
        <f t="shared" si="20"/>
        <v>Jan</v>
      </c>
      <c r="D647" s="23" t="str">
        <f t="shared" si="21"/>
        <v>2023</v>
      </c>
      <c r="E647" t="s">
        <v>2421</v>
      </c>
      <c r="F647" s="24" t="s">
        <v>58</v>
      </c>
      <c r="G647" s="17">
        <v>2</v>
      </c>
      <c r="H647" s="19">
        <v>150.05</v>
      </c>
      <c r="I647" t="s">
        <v>525</v>
      </c>
      <c r="J647" s="24" t="s">
        <v>34</v>
      </c>
      <c r="K647" s="24" t="s">
        <v>35</v>
      </c>
      <c r="L647" t="s">
        <v>2422</v>
      </c>
      <c r="M647" s="17">
        <v>4</v>
      </c>
      <c r="N647" t="s">
        <v>21</v>
      </c>
      <c r="O647" s="24" t="s">
        <v>45</v>
      </c>
      <c r="P647" s="19">
        <v>300.1</v>
      </c>
      <c r="Q647" s="26" t="str">
        <f>IF(OR(P647&lt;'Descriptive Statistics'!$H$17,P647&gt;'Descriptive Statistics'!$H$18),"Potential Outlier","Within Range")</f>
        <v>Within Range</v>
      </c>
      <c r="R647" s="26" t="str">
        <f>IF(OR(G647&lt;'Descriptive Statistics'!$I$17,G647&gt;'Descriptive Statistics'!$I$18),"Potential Outlier","Within Range")</f>
        <v>Within Range</v>
      </c>
      <c r="S647" s="26" t="str">
        <f>IF(OR(H647&lt;'Descriptive Statistics'!$J$17,H647&gt;'Descriptive Statistics'!$J$18),"Potential Outlier","Within Range")</f>
        <v>Within Range</v>
      </c>
    </row>
    <row r="648" hidden="1" spans="1:19">
      <c r="A648" t="s">
        <v>2423</v>
      </c>
      <c r="B648" s="23">
        <v>45226</v>
      </c>
      <c r="C648" s="23" t="str">
        <f t="shared" si="20"/>
        <v>Oct</v>
      </c>
      <c r="D648" s="23" t="str">
        <f t="shared" si="21"/>
        <v>2023</v>
      </c>
      <c r="E648" t="s">
        <v>2424</v>
      </c>
      <c r="F648" s="24" t="s">
        <v>41</v>
      </c>
      <c r="G648" s="17">
        <v>4</v>
      </c>
      <c r="H648" s="19">
        <v>498.51</v>
      </c>
      <c r="I648" t="s">
        <v>2425</v>
      </c>
      <c r="J648" s="24" t="s">
        <v>18</v>
      </c>
      <c r="K648" s="24" t="s">
        <v>19</v>
      </c>
      <c r="L648" t="s">
        <v>2426</v>
      </c>
      <c r="M648" s="17">
        <v>4</v>
      </c>
      <c r="N648" t="s">
        <v>21</v>
      </c>
      <c r="O648" s="24" t="s">
        <v>76</v>
      </c>
      <c r="P648" s="19">
        <v>1994.04</v>
      </c>
      <c r="Q648" s="26" t="str">
        <f>IF(OR(P648&lt;'Descriptive Statistics'!$H$17,P648&gt;'Descriptive Statistics'!$H$18),"Potential Outlier","Within Range")</f>
        <v>Within Range</v>
      </c>
      <c r="R648" s="26" t="str">
        <f>IF(OR(G648&lt;'Descriptive Statistics'!$I$17,G648&gt;'Descriptive Statistics'!$I$18),"Potential Outlier","Within Range")</f>
        <v>Within Range</v>
      </c>
      <c r="S648" s="26" t="str">
        <f>IF(OR(H648&lt;'Descriptive Statistics'!$J$17,H648&gt;'Descriptive Statistics'!$J$18),"Potential Outlier","Within Range")</f>
        <v>Within Range</v>
      </c>
    </row>
    <row r="649" hidden="1" spans="1:19">
      <c r="A649" t="s">
        <v>2427</v>
      </c>
      <c r="B649" s="23">
        <v>45771</v>
      </c>
      <c r="C649" s="23" t="str">
        <f t="shared" si="20"/>
        <v>Apr</v>
      </c>
      <c r="D649" s="23" t="str">
        <f t="shared" si="21"/>
        <v>2025</v>
      </c>
      <c r="E649" t="s">
        <v>2428</v>
      </c>
      <c r="F649" s="24" t="s">
        <v>73</v>
      </c>
      <c r="G649" s="17">
        <v>3</v>
      </c>
      <c r="H649" s="19">
        <v>339.39</v>
      </c>
      <c r="I649" t="s">
        <v>681</v>
      </c>
      <c r="J649" s="24" t="s">
        <v>65</v>
      </c>
      <c r="K649" s="24" t="s">
        <v>43</v>
      </c>
      <c r="L649" t="s">
        <v>2429</v>
      </c>
      <c r="M649" s="17">
        <v>7</v>
      </c>
      <c r="N649" t="s">
        <v>37</v>
      </c>
      <c r="O649" s="24" t="s">
        <v>76</v>
      </c>
      <c r="P649" s="19">
        <v>1018.17</v>
      </c>
      <c r="Q649" s="26" t="str">
        <f>IF(OR(P649&lt;'Descriptive Statistics'!$H$17,P649&gt;'Descriptive Statistics'!$H$18),"Potential Outlier","Within Range")</f>
        <v>Within Range</v>
      </c>
      <c r="R649" s="26" t="str">
        <f>IF(OR(G649&lt;'Descriptive Statistics'!$I$17,G649&gt;'Descriptive Statistics'!$I$18),"Potential Outlier","Within Range")</f>
        <v>Within Range</v>
      </c>
      <c r="S649" s="26" t="str">
        <f>IF(OR(H649&lt;'Descriptive Statistics'!$J$17,H649&gt;'Descriptive Statistics'!$J$18),"Potential Outlier","Within Range")</f>
        <v>Within Range</v>
      </c>
    </row>
    <row r="650" hidden="1" spans="1:19">
      <c r="A650" t="s">
        <v>2430</v>
      </c>
      <c r="B650" s="23">
        <v>45675</v>
      </c>
      <c r="C650" s="23" t="str">
        <f t="shared" si="20"/>
        <v>Jan</v>
      </c>
      <c r="D650" s="23" t="str">
        <f t="shared" si="21"/>
        <v>2025</v>
      </c>
      <c r="E650" t="s">
        <v>2431</v>
      </c>
      <c r="F650" s="24" t="s">
        <v>16</v>
      </c>
      <c r="G650" s="17">
        <v>2</v>
      </c>
      <c r="H650" s="19">
        <v>575.83</v>
      </c>
      <c r="I650" t="s">
        <v>2432</v>
      </c>
      <c r="J650" s="24" t="s">
        <v>27</v>
      </c>
      <c r="K650" s="24" t="s">
        <v>50</v>
      </c>
      <c r="L650" t="s">
        <v>2433</v>
      </c>
      <c r="M650" s="17">
        <v>3</v>
      </c>
      <c r="N650" t="s">
        <v>81</v>
      </c>
      <c r="O650" s="24" t="s">
        <v>29</v>
      </c>
      <c r="P650" s="19">
        <v>1151.66</v>
      </c>
      <c r="Q650" s="26" t="str">
        <f>IF(OR(P650&lt;'Descriptive Statistics'!$H$17,P650&gt;'Descriptive Statistics'!$H$18),"Potential Outlier","Within Range")</f>
        <v>Within Range</v>
      </c>
      <c r="R650" s="26" t="str">
        <f>IF(OR(G650&lt;'Descriptive Statistics'!$I$17,G650&gt;'Descriptive Statistics'!$I$18),"Potential Outlier","Within Range")</f>
        <v>Within Range</v>
      </c>
      <c r="S650" s="26" t="str">
        <f>IF(OR(H650&lt;'Descriptive Statistics'!$J$17,H650&gt;'Descriptive Statistics'!$J$18),"Potential Outlier","Within Range")</f>
        <v>Within Range</v>
      </c>
    </row>
    <row r="651" hidden="1" spans="1:19">
      <c r="A651" t="s">
        <v>2434</v>
      </c>
      <c r="B651" s="23">
        <v>45283</v>
      </c>
      <c r="C651" s="23" t="str">
        <f t="shared" si="20"/>
        <v>Dec</v>
      </c>
      <c r="D651" s="23" t="str">
        <f t="shared" si="21"/>
        <v>2023</v>
      </c>
      <c r="E651" t="s">
        <v>2435</v>
      </c>
      <c r="F651" s="24" t="s">
        <v>16</v>
      </c>
      <c r="G651" s="17">
        <v>2</v>
      </c>
      <c r="H651" s="19">
        <v>642.98</v>
      </c>
      <c r="I651" t="s">
        <v>1043</v>
      </c>
      <c r="J651" s="24" t="s">
        <v>18</v>
      </c>
      <c r="K651" s="24" t="s">
        <v>43</v>
      </c>
      <c r="L651" t="s">
        <v>2436</v>
      </c>
      <c r="M651" s="17">
        <v>7</v>
      </c>
      <c r="N651" t="s">
        <v>37</v>
      </c>
      <c r="O651" s="24" t="s">
        <v>38</v>
      </c>
      <c r="P651" s="19">
        <v>1285.96</v>
      </c>
      <c r="Q651" s="26" t="str">
        <f>IF(OR(P651&lt;'Descriptive Statistics'!$H$17,P651&gt;'Descriptive Statistics'!$H$18),"Potential Outlier","Within Range")</f>
        <v>Within Range</v>
      </c>
      <c r="R651" s="26" t="str">
        <f>IF(OR(G651&lt;'Descriptive Statistics'!$I$17,G651&gt;'Descriptive Statistics'!$I$18),"Potential Outlier","Within Range")</f>
        <v>Within Range</v>
      </c>
      <c r="S651" s="26" t="str">
        <f>IF(OR(H651&lt;'Descriptive Statistics'!$J$17,H651&gt;'Descriptive Statistics'!$J$18),"Potential Outlier","Within Range")</f>
        <v>Within Range</v>
      </c>
    </row>
    <row r="652" hidden="1" spans="1:19">
      <c r="A652" t="s">
        <v>2437</v>
      </c>
      <c r="B652" s="23">
        <v>45064</v>
      </c>
      <c r="C652" s="23" t="str">
        <f t="shared" si="20"/>
        <v>May</v>
      </c>
      <c r="D652" s="23" t="str">
        <f t="shared" si="21"/>
        <v>2023</v>
      </c>
      <c r="E652" t="s">
        <v>2438</v>
      </c>
      <c r="F652" s="24" t="s">
        <v>73</v>
      </c>
      <c r="G652" s="17">
        <v>2</v>
      </c>
      <c r="H652" s="19">
        <v>372.23</v>
      </c>
      <c r="I652" t="s">
        <v>2439</v>
      </c>
      <c r="J652" s="24" t="s">
        <v>60</v>
      </c>
      <c r="K652" s="24" t="s">
        <v>50</v>
      </c>
      <c r="L652" t="s">
        <v>2440</v>
      </c>
      <c r="M652" s="17">
        <v>7</v>
      </c>
      <c r="N652" t="s">
        <v>21</v>
      </c>
      <c r="O652" s="24" t="s">
        <v>38</v>
      </c>
      <c r="P652" s="19">
        <v>744.46</v>
      </c>
      <c r="Q652" s="26" t="str">
        <f>IF(OR(P652&lt;'Descriptive Statistics'!$H$17,P652&gt;'Descriptive Statistics'!$H$18),"Potential Outlier","Within Range")</f>
        <v>Within Range</v>
      </c>
      <c r="R652" s="26" t="str">
        <f>IF(OR(G652&lt;'Descriptive Statistics'!$I$17,G652&gt;'Descriptive Statistics'!$I$18),"Potential Outlier","Within Range")</f>
        <v>Within Range</v>
      </c>
      <c r="S652" s="26" t="str">
        <f>IF(OR(H652&lt;'Descriptive Statistics'!$J$17,H652&gt;'Descriptive Statistics'!$J$18),"Potential Outlier","Within Range")</f>
        <v>Within Range</v>
      </c>
    </row>
    <row r="653" hidden="1" spans="1:19">
      <c r="A653" t="s">
        <v>2441</v>
      </c>
      <c r="B653" s="23">
        <v>45608</v>
      </c>
      <c r="C653" s="23" t="str">
        <f t="shared" si="20"/>
        <v>Nov</v>
      </c>
      <c r="D653" s="23" t="str">
        <f t="shared" si="21"/>
        <v>2024</v>
      </c>
      <c r="E653" t="s">
        <v>2442</v>
      </c>
      <c r="F653" s="24" t="s">
        <v>41</v>
      </c>
      <c r="G653" s="17">
        <v>3</v>
      </c>
      <c r="H653" s="19">
        <v>646.34</v>
      </c>
      <c r="I653" t="s">
        <v>794</v>
      </c>
      <c r="J653" s="24" t="s">
        <v>18</v>
      </c>
      <c r="K653" s="24" t="s">
        <v>89</v>
      </c>
      <c r="L653" t="s">
        <v>2443</v>
      </c>
      <c r="M653" s="17">
        <v>5</v>
      </c>
      <c r="N653" t="s">
        <v>4295</v>
      </c>
      <c r="O653" s="24" t="s">
        <v>76</v>
      </c>
      <c r="P653" s="19">
        <v>1939.02</v>
      </c>
      <c r="Q653" s="26" t="str">
        <f>IF(OR(P653&lt;'Descriptive Statistics'!$H$17,P653&gt;'Descriptive Statistics'!$H$18),"Potential Outlier","Within Range")</f>
        <v>Within Range</v>
      </c>
      <c r="R653" s="26" t="str">
        <f>IF(OR(G653&lt;'Descriptive Statistics'!$I$17,G653&gt;'Descriptive Statistics'!$I$18),"Potential Outlier","Within Range")</f>
        <v>Within Range</v>
      </c>
      <c r="S653" s="26" t="str">
        <f>IF(OR(H653&lt;'Descriptive Statistics'!$J$17,H653&gt;'Descriptive Statistics'!$J$18),"Potential Outlier","Within Range")</f>
        <v>Within Range</v>
      </c>
    </row>
    <row r="654" hidden="1" spans="1:19">
      <c r="A654" t="s">
        <v>2444</v>
      </c>
      <c r="B654" s="23">
        <v>45448</v>
      </c>
      <c r="C654" s="23" t="str">
        <f t="shared" si="20"/>
        <v>Jun</v>
      </c>
      <c r="D654" s="23" t="str">
        <f t="shared" si="21"/>
        <v>2024</v>
      </c>
      <c r="E654" t="s">
        <v>2445</v>
      </c>
      <c r="F654" s="24" t="s">
        <v>41</v>
      </c>
      <c r="G654" s="17">
        <v>5</v>
      </c>
      <c r="H654" s="19">
        <v>341.84</v>
      </c>
      <c r="I654" t="s">
        <v>2446</v>
      </c>
      <c r="J654" s="24" t="s">
        <v>27</v>
      </c>
      <c r="K654" s="24" t="s">
        <v>19</v>
      </c>
      <c r="L654" t="s">
        <v>2447</v>
      </c>
      <c r="M654" s="17">
        <v>8</v>
      </c>
      <c r="N654" t="s">
        <v>37</v>
      </c>
      <c r="O654" s="24" t="s">
        <v>22</v>
      </c>
      <c r="P654" s="19">
        <v>1709.2</v>
      </c>
      <c r="Q654" s="26" t="str">
        <f>IF(OR(P654&lt;'Descriptive Statistics'!$H$17,P654&gt;'Descriptive Statistics'!$H$18),"Potential Outlier","Within Range")</f>
        <v>Within Range</v>
      </c>
      <c r="R654" s="26" t="str">
        <f>IF(OR(G654&lt;'Descriptive Statistics'!$I$17,G654&gt;'Descriptive Statistics'!$I$18),"Potential Outlier","Within Range")</f>
        <v>Within Range</v>
      </c>
      <c r="S654" s="26" t="str">
        <f>IF(OR(H654&lt;'Descriptive Statistics'!$J$17,H654&gt;'Descriptive Statistics'!$J$18),"Potential Outlier","Within Range")</f>
        <v>Within Range</v>
      </c>
    </row>
    <row r="655" hidden="1" spans="1:19">
      <c r="A655" t="s">
        <v>2448</v>
      </c>
      <c r="B655" s="23">
        <v>45347</v>
      </c>
      <c r="C655" s="23" t="str">
        <f t="shared" si="20"/>
        <v>Feb</v>
      </c>
      <c r="D655" s="23" t="str">
        <f t="shared" si="21"/>
        <v>2024</v>
      </c>
      <c r="E655" t="s">
        <v>2449</v>
      </c>
      <c r="F655" s="24" t="s">
        <v>48</v>
      </c>
      <c r="G655" s="17">
        <v>3</v>
      </c>
      <c r="H655" s="19">
        <v>690.3</v>
      </c>
      <c r="I655" t="s">
        <v>1415</v>
      </c>
      <c r="J655" s="24" t="s">
        <v>34</v>
      </c>
      <c r="K655" s="24" t="s">
        <v>19</v>
      </c>
      <c r="L655" t="s">
        <v>2450</v>
      </c>
      <c r="M655" s="17">
        <v>6</v>
      </c>
      <c r="N655" t="s">
        <v>81</v>
      </c>
      <c r="O655" s="24" t="s">
        <v>76</v>
      </c>
      <c r="P655" s="19">
        <v>2070.9</v>
      </c>
      <c r="Q655" s="26" t="str">
        <f>IF(OR(P655&lt;'Descriptive Statistics'!$H$17,P655&gt;'Descriptive Statistics'!$H$18),"Potential Outlier","Within Range")</f>
        <v>Within Range</v>
      </c>
      <c r="R655" s="26" t="str">
        <f>IF(OR(G655&lt;'Descriptive Statistics'!$I$17,G655&gt;'Descriptive Statistics'!$I$18),"Potential Outlier","Within Range")</f>
        <v>Within Range</v>
      </c>
      <c r="S655" s="26" t="str">
        <f>IF(OR(H655&lt;'Descriptive Statistics'!$J$17,H655&gt;'Descriptive Statistics'!$J$18),"Potential Outlier","Within Range")</f>
        <v>Within Range</v>
      </c>
    </row>
    <row r="656" hidden="1" spans="1:19">
      <c r="A656" t="s">
        <v>2451</v>
      </c>
      <c r="B656" s="23">
        <v>45089</v>
      </c>
      <c r="C656" s="23" t="str">
        <f t="shared" si="20"/>
        <v>Jun</v>
      </c>
      <c r="D656" s="23" t="str">
        <f t="shared" si="21"/>
        <v>2023</v>
      </c>
      <c r="E656" t="s">
        <v>2452</v>
      </c>
      <c r="F656" s="24" t="s">
        <v>32</v>
      </c>
      <c r="G656" s="17">
        <v>3</v>
      </c>
      <c r="H656" s="19">
        <v>382.37</v>
      </c>
      <c r="I656" t="s">
        <v>2453</v>
      </c>
      <c r="J656" s="24" t="s">
        <v>18</v>
      </c>
      <c r="K656" s="24" t="s">
        <v>43</v>
      </c>
      <c r="L656" t="s">
        <v>2454</v>
      </c>
      <c r="M656" s="17">
        <v>8</v>
      </c>
      <c r="N656" t="s">
        <v>4295</v>
      </c>
      <c r="O656" s="24" t="s">
        <v>22</v>
      </c>
      <c r="P656" s="19">
        <v>1147.11</v>
      </c>
      <c r="Q656" s="26" t="str">
        <f>IF(OR(P656&lt;'Descriptive Statistics'!$H$17,P656&gt;'Descriptive Statistics'!$H$18),"Potential Outlier","Within Range")</f>
        <v>Within Range</v>
      </c>
      <c r="R656" s="26" t="str">
        <f>IF(OR(G656&lt;'Descriptive Statistics'!$I$17,G656&gt;'Descriptive Statistics'!$I$18),"Potential Outlier","Within Range")</f>
        <v>Within Range</v>
      </c>
      <c r="S656" s="26" t="str">
        <f>IF(OR(H656&lt;'Descriptive Statistics'!$J$17,H656&gt;'Descriptive Statistics'!$J$18),"Potential Outlier","Within Range")</f>
        <v>Within Range</v>
      </c>
    </row>
    <row r="657" hidden="1" spans="1:19">
      <c r="A657" t="s">
        <v>2455</v>
      </c>
      <c r="B657" s="23">
        <v>44999</v>
      </c>
      <c r="C657" s="23" t="str">
        <f t="shared" si="20"/>
        <v>Mar</v>
      </c>
      <c r="D657" s="23" t="str">
        <f t="shared" si="21"/>
        <v>2023</v>
      </c>
      <c r="E657" t="s">
        <v>2456</v>
      </c>
      <c r="F657" s="24" t="s">
        <v>41</v>
      </c>
      <c r="G657" s="17">
        <v>2</v>
      </c>
      <c r="H657" s="19">
        <v>132.6</v>
      </c>
      <c r="I657" t="s">
        <v>1727</v>
      </c>
      <c r="J657" s="24" t="s">
        <v>18</v>
      </c>
      <c r="K657" s="24" t="s">
        <v>35</v>
      </c>
      <c r="L657" t="s">
        <v>2457</v>
      </c>
      <c r="M657" s="17">
        <v>4</v>
      </c>
      <c r="N657" t="s">
        <v>81</v>
      </c>
      <c r="O657" s="24" t="s">
        <v>38</v>
      </c>
      <c r="P657" s="19">
        <v>265.2</v>
      </c>
      <c r="Q657" s="26" t="str">
        <f>IF(OR(P657&lt;'Descriptive Statistics'!$H$17,P657&gt;'Descriptive Statistics'!$H$18),"Potential Outlier","Within Range")</f>
        <v>Within Range</v>
      </c>
      <c r="R657" s="26" t="str">
        <f>IF(OR(G657&lt;'Descriptive Statistics'!$I$17,G657&gt;'Descriptive Statistics'!$I$18),"Potential Outlier","Within Range")</f>
        <v>Within Range</v>
      </c>
      <c r="S657" s="26" t="str">
        <f>IF(OR(H657&lt;'Descriptive Statistics'!$J$17,H657&gt;'Descriptive Statistics'!$J$18),"Potential Outlier","Within Range")</f>
        <v>Within Range</v>
      </c>
    </row>
    <row r="658" hidden="1" spans="1:19">
      <c r="A658" t="s">
        <v>2458</v>
      </c>
      <c r="B658" s="23">
        <v>45309</v>
      </c>
      <c r="C658" s="23" t="str">
        <f t="shared" si="20"/>
        <v>Jan</v>
      </c>
      <c r="D658" s="23" t="str">
        <f t="shared" si="21"/>
        <v>2024</v>
      </c>
      <c r="E658" t="s">
        <v>2459</v>
      </c>
      <c r="F658" s="24" t="s">
        <v>16</v>
      </c>
      <c r="G658" s="17">
        <v>2</v>
      </c>
      <c r="H658" s="19">
        <v>189.06</v>
      </c>
      <c r="I658" t="s">
        <v>2460</v>
      </c>
      <c r="J658" s="24" t="s">
        <v>60</v>
      </c>
      <c r="K658" s="24" t="s">
        <v>19</v>
      </c>
      <c r="L658" t="s">
        <v>2461</v>
      </c>
      <c r="M658" s="17">
        <v>7</v>
      </c>
      <c r="N658" t="s">
        <v>21</v>
      </c>
      <c r="O658" s="24" t="s">
        <v>45</v>
      </c>
      <c r="P658" s="19">
        <v>378.12</v>
      </c>
      <c r="Q658" s="26" t="str">
        <f>IF(OR(P658&lt;'Descriptive Statistics'!$H$17,P658&gt;'Descriptive Statistics'!$H$18),"Potential Outlier","Within Range")</f>
        <v>Within Range</v>
      </c>
      <c r="R658" s="26" t="str">
        <f>IF(OR(G658&lt;'Descriptive Statistics'!$I$17,G658&gt;'Descriptive Statistics'!$I$18),"Potential Outlier","Within Range")</f>
        <v>Within Range</v>
      </c>
      <c r="S658" s="26" t="str">
        <f>IF(OR(H658&lt;'Descriptive Statistics'!$J$17,H658&gt;'Descriptive Statistics'!$J$18),"Potential Outlier","Within Range")</f>
        <v>Within Range</v>
      </c>
    </row>
    <row r="659" hidden="1" spans="1:19">
      <c r="A659" t="s">
        <v>2462</v>
      </c>
      <c r="B659" s="23">
        <v>45284</v>
      </c>
      <c r="C659" s="23" t="str">
        <f t="shared" si="20"/>
        <v>Dec</v>
      </c>
      <c r="D659" s="23" t="str">
        <f t="shared" si="21"/>
        <v>2023</v>
      </c>
      <c r="E659" t="s">
        <v>2463</v>
      </c>
      <c r="F659" s="24" t="s">
        <v>32</v>
      </c>
      <c r="G659" s="17">
        <v>4</v>
      </c>
      <c r="H659" s="19">
        <v>87.79</v>
      </c>
      <c r="I659" t="s">
        <v>1306</v>
      </c>
      <c r="J659" s="24" t="s">
        <v>65</v>
      </c>
      <c r="K659" s="24" t="s">
        <v>35</v>
      </c>
      <c r="L659" t="s">
        <v>2464</v>
      </c>
      <c r="M659" s="17">
        <v>6</v>
      </c>
      <c r="N659" t="s">
        <v>37</v>
      </c>
      <c r="O659" s="24" t="s">
        <v>22</v>
      </c>
      <c r="P659" s="19">
        <v>351.16</v>
      </c>
      <c r="Q659" s="26" t="str">
        <f>IF(OR(P659&lt;'Descriptive Statistics'!$H$17,P659&gt;'Descriptive Statistics'!$H$18),"Potential Outlier","Within Range")</f>
        <v>Within Range</v>
      </c>
      <c r="R659" s="26" t="str">
        <f>IF(OR(G659&lt;'Descriptive Statistics'!$I$17,G659&gt;'Descriptive Statistics'!$I$18),"Potential Outlier","Within Range")</f>
        <v>Within Range</v>
      </c>
      <c r="S659" s="26" t="str">
        <f>IF(OR(H659&lt;'Descriptive Statistics'!$J$17,H659&gt;'Descriptive Statistics'!$J$18),"Potential Outlier","Within Range")</f>
        <v>Within Range</v>
      </c>
    </row>
    <row r="660" hidden="1" spans="1:19">
      <c r="A660" t="s">
        <v>2465</v>
      </c>
      <c r="B660" s="23">
        <v>45765</v>
      </c>
      <c r="C660" s="23" t="str">
        <f t="shared" si="20"/>
        <v>Apr</v>
      </c>
      <c r="D660" s="23" t="str">
        <f t="shared" si="21"/>
        <v>2025</v>
      </c>
      <c r="E660" t="s">
        <v>2466</v>
      </c>
      <c r="F660" s="24" t="s">
        <v>48</v>
      </c>
      <c r="G660" s="17">
        <v>2</v>
      </c>
      <c r="H660" s="19">
        <v>46.36</v>
      </c>
      <c r="I660" t="s">
        <v>1161</v>
      </c>
      <c r="J660" s="24" t="s">
        <v>60</v>
      </c>
      <c r="K660" s="24" t="s">
        <v>43</v>
      </c>
      <c r="L660" t="s">
        <v>2467</v>
      </c>
      <c r="M660" s="17">
        <v>4</v>
      </c>
      <c r="N660" t="s">
        <v>21</v>
      </c>
      <c r="O660" s="24" t="s">
        <v>76</v>
      </c>
      <c r="P660" s="19">
        <v>92.72</v>
      </c>
      <c r="Q660" s="26" t="str">
        <f>IF(OR(P660&lt;'Descriptive Statistics'!$H$17,P660&gt;'Descriptive Statistics'!$H$18),"Potential Outlier","Within Range")</f>
        <v>Within Range</v>
      </c>
      <c r="R660" s="26" t="str">
        <f>IF(OR(G660&lt;'Descriptive Statistics'!$I$17,G660&gt;'Descriptive Statistics'!$I$18),"Potential Outlier","Within Range")</f>
        <v>Within Range</v>
      </c>
      <c r="S660" s="26" t="str">
        <f>IF(OR(H660&lt;'Descriptive Statistics'!$J$17,H660&gt;'Descriptive Statistics'!$J$18),"Potential Outlier","Within Range")</f>
        <v>Within Range</v>
      </c>
    </row>
    <row r="661" hidden="1" spans="1:19">
      <c r="A661" t="s">
        <v>2468</v>
      </c>
      <c r="B661" s="23">
        <v>45591</v>
      </c>
      <c r="C661" s="23" t="str">
        <f t="shared" si="20"/>
        <v>Oct</v>
      </c>
      <c r="D661" s="23" t="str">
        <f t="shared" si="21"/>
        <v>2024</v>
      </c>
      <c r="E661" t="s">
        <v>2469</v>
      </c>
      <c r="F661" s="24" t="s">
        <v>25</v>
      </c>
      <c r="G661" s="17">
        <v>2</v>
      </c>
      <c r="H661" s="19">
        <v>642.04</v>
      </c>
      <c r="I661" t="s">
        <v>2079</v>
      </c>
      <c r="J661" s="24" t="s">
        <v>60</v>
      </c>
      <c r="K661" s="24" t="s">
        <v>50</v>
      </c>
      <c r="L661" t="s">
        <v>2470</v>
      </c>
      <c r="M661" s="17">
        <v>4</v>
      </c>
      <c r="N661" t="s">
        <v>81</v>
      </c>
      <c r="O661" s="24" t="s">
        <v>38</v>
      </c>
      <c r="P661" s="19">
        <v>1284.08</v>
      </c>
      <c r="Q661" s="26" t="str">
        <f>IF(OR(P661&lt;'Descriptive Statistics'!$H$17,P661&gt;'Descriptive Statistics'!$H$18),"Potential Outlier","Within Range")</f>
        <v>Within Range</v>
      </c>
      <c r="R661" s="26" t="str">
        <f>IF(OR(G661&lt;'Descriptive Statistics'!$I$17,G661&gt;'Descriptive Statistics'!$I$18),"Potential Outlier","Within Range")</f>
        <v>Within Range</v>
      </c>
      <c r="S661" s="26" t="str">
        <f>IF(OR(H661&lt;'Descriptive Statistics'!$J$17,H661&gt;'Descriptive Statistics'!$J$18),"Potential Outlier","Within Range")</f>
        <v>Within Range</v>
      </c>
    </row>
    <row r="662" hidden="1" spans="1:19">
      <c r="A662" t="s">
        <v>2471</v>
      </c>
      <c r="B662" s="23">
        <v>45584</v>
      </c>
      <c r="C662" s="23" t="str">
        <f t="shared" si="20"/>
        <v>Oct</v>
      </c>
      <c r="D662" s="23" t="str">
        <f t="shared" si="21"/>
        <v>2024</v>
      </c>
      <c r="E662" t="s">
        <v>2472</v>
      </c>
      <c r="F662" s="24" t="s">
        <v>41</v>
      </c>
      <c r="G662" s="17">
        <v>2</v>
      </c>
      <c r="H662" s="19">
        <v>651.57</v>
      </c>
      <c r="I662" t="s">
        <v>603</v>
      </c>
      <c r="J662" s="24" t="s">
        <v>18</v>
      </c>
      <c r="K662" s="24" t="s">
        <v>19</v>
      </c>
      <c r="L662" t="s">
        <v>2473</v>
      </c>
      <c r="M662" s="17">
        <v>7</v>
      </c>
      <c r="N662" t="s">
        <v>81</v>
      </c>
      <c r="O662" s="24" t="s">
        <v>45</v>
      </c>
      <c r="P662" s="19">
        <v>1303.14</v>
      </c>
      <c r="Q662" s="26" t="str">
        <f>IF(OR(P662&lt;'Descriptive Statistics'!$H$17,P662&gt;'Descriptive Statistics'!$H$18),"Potential Outlier","Within Range")</f>
        <v>Within Range</v>
      </c>
      <c r="R662" s="26" t="str">
        <f>IF(OR(G662&lt;'Descriptive Statistics'!$I$17,G662&gt;'Descriptive Statistics'!$I$18),"Potential Outlier","Within Range")</f>
        <v>Within Range</v>
      </c>
      <c r="S662" s="26" t="str">
        <f>IF(OR(H662&lt;'Descriptive Statistics'!$J$17,H662&gt;'Descriptive Statistics'!$J$18),"Potential Outlier","Within Range")</f>
        <v>Within Range</v>
      </c>
    </row>
    <row r="663" hidden="1" spans="1:19">
      <c r="A663" t="s">
        <v>2474</v>
      </c>
      <c r="B663" s="23">
        <v>45716</v>
      </c>
      <c r="C663" s="23" t="str">
        <f t="shared" si="20"/>
        <v>Feb</v>
      </c>
      <c r="D663" s="23" t="str">
        <f t="shared" si="21"/>
        <v>2025</v>
      </c>
      <c r="E663" t="s">
        <v>2475</v>
      </c>
      <c r="F663" s="24" t="s">
        <v>32</v>
      </c>
      <c r="G663" s="17">
        <v>3</v>
      </c>
      <c r="H663" s="19">
        <v>424.89</v>
      </c>
      <c r="I663" t="s">
        <v>2476</v>
      </c>
      <c r="J663" s="24" t="s">
        <v>18</v>
      </c>
      <c r="K663" s="24" t="s">
        <v>35</v>
      </c>
      <c r="L663" t="s">
        <v>2477</v>
      </c>
      <c r="M663" s="17">
        <v>6</v>
      </c>
      <c r="N663" t="s">
        <v>37</v>
      </c>
      <c r="O663" s="24" t="s">
        <v>76</v>
      </c>
      <c r="P663" s="19">
        <v>1274.67</v>
      </c>
      <c r="Q663" s="26" t="str">
        <f>IF(OR(P663&lt;'Descriptive Statistics'!$H$17,P663&gt;'Descriptive Statistics'!$H$18),"Potential Outlier","Within Range")</f>
        <v>Within Range</v>
      </c>
      <c r="R663" s="26" t="str">
        <f>IF(OR(G663&lt;'Descriptive Statistics'!$I$17,G663&gt;'Descriptive Statistics'!$I$18),"Potential Outlier","Within Range")</f>
        <v>Within Range</v>
      </c>
      <c r="S663" s="26" t="str">
        <f>IF(OR(H663&lt;'Descriptive Statistics'!$J$17,H663&gt;'Descriptive Statistics'!$J$18),"Potential Outlier","Within Range")</f>
        <v>Within Range</v>
      </c>
    </row>
    <row r="664" hidden="1" spans="1:19">
      <c r="A664" t="s">
        <v>2478</v>
      </c>
      <c r="B664" s="23">
        <v>44954</v>
      </c>
      <c r="C664" s="23" t="str">
        <f t="shared" si="20"/>
        <v>Jan</v>
      </c>
      <c r="D664" s="23" t="str">
        <f t="shared" si="21"/>
        <v>2023</v>
      </c>
      <c r="E664" t="s">
        <v>2479</v>
      </c>
      <c r="F664" s="24" t="s">
        <v>58</v>
      </c>
      <c r="G664" s="17">
        <v>3</v>
      </c>
      <c r="H664" s="19">
        <v>438.89</v>
      </c>
      <c r="I664" t="s">
        <v>2480</v>
      </c>
      <c r="J664" s="24" t="s">
        <v>65</v>
      </c>
      <c r="K664" s="24" t="s">
        <v>43</v>
      </c>
      <c r="L664" t="s">
        <v>2481</v>
      </c>
      <c r="M664" s="17">
        <v>3</v>
      </c>
      <c r="N664" t="s">
        <v>4295</v>
      </c>
      <c r="O664" s="24" t="s">
        <v>45</v>
      </c>
      <c r="P664" s="19">
        <v>1316.67</v>
      </c>
      <c r="Q664" s="26" t="str">
        <f>IF(OR(P664&lt;'Descriptive Statistics'!$H$17,P664&gt;'Descriptive Statistics'!$H$18),"Potential Outlier","Within Range")</f>
        <v>Within Range</v>
      </c>
      <c r="R664" s="26" t="str">
        <f>IF(OR(G664&lt;'Descriptive Statistics'!$I$17,G664&gt;'Descriptive Statistics'!$I$18),"Potential Outlier","Within Range")</f>
        <v>Within Range</v>
      </c>
      <c r="S664" s="26" t="str">
        <f>IF(OR(H664&lt;'Descriptive Statistics'!$J$17,H664&gt;'Descriptive Statistics'!$J$18),"Potential Outlier","Within Range")</f>
        <v>Within Range</v>
      </c>
    </row>
    <row r="665" hidden="1" spans="1:19">
      <c r="A665" t="s">
        <v>2482</v>
      </c>
      <c r="B665" s="23">
        <v>45397</v>
      </c>
      <c r="C665" s="23" t="str">
        <f t="shared" si="20"/>
        <v>Apr</v>
      </c>
      <c r="D665" s="23" t="str">
        <f t="shared" si="21"/>
        <v>2024</v>
      </c>
      <c r="E665" t="s">
        <v>2483</v>
      </c>
      <c r="F665" s="24" t="s">
        <v>16</v>
      </c>
      <c r="G665" s="17">
        <v>1</v>
      </c>
      <c r="H665" s="19">
        <v>72.6</v>
      </c>
      <c r="I665" t="s">
        <v>1988</v>
      </c>
      <c r="J665" s="24" t="s">
        <v>18</v>
      </c>
      <c r="K665" s="24" t="s">
        <v>35</v>
      </c>
      <c r="L665" t="s">
        <v>2484</v>
      </c>
      <c r="M665" s="17">
        <v>6</v>
      </c>
      <c r="N665" t="s">
        <v>37</v>
      </c>
      <c r="O665" s="24" t="s">
        <v>22</v>
      </c>
      <c r="P665" s="19">
        <v>72.6</v>
      </c>
      <c r="Q665" s="26" t="str">
        <f>IF(OR(P665&lt;'Descriptive Statistics'!$H$17,P665&gt;'Descriptive Statistics'!$H$18),"Potential Outlier","Within Range")</f>
        <v>Within Range</v>
      </c>
      <c r="R665" s="26" t="str">
        <f>IF(OR(G665&lt;'Descriptive Statistics'!$I$17,G665&gt;'Descriptive Statistics'!$I$18),"Potential Outlier","Within Range")</f>
        <v>Within Range</v>
      </c>
      <c r="S665" s="26" t="str">
        <f>IF(OR(H665&lt;'Descriptive Statistics'!$J$17,H665&gt;'Descriptive Statistics'!$J$18),"Potential Outlier","Within Range")</f>
        <v>Within Range</v>
      </c>
    </row>
    <row r="666" hidden="1" spans="1:19">
      <c r="A666" t="s">
        <v>2485</v>
      </c>
      <c r="B666" s="23">
        <v>45645</v>
      </c>
      <c r="C666" s="23" t="str">
        <f t="shared" si="20"/>
        <v>Dec</v>
      </c>
      <c r="D666" s="23" t="str">
        <f t="shared" si="21"/>
        <v>2024</v>
      </c>
      <c r="E666" t="s">
        <v>951</v>
      </c>
      <c r="F666" s="24" t="s">
        <v>58</v>
      </c>
      <c r="G666" s="17">
        <v>4</v>
      </c>
      <c r="H666" s="19">
        <v>194.75</v>
      </c>
      <c r="I666" t="s">
        <v>2486</v>
      </c>
      <c r="J666" s="24" t="s">
        <v>65</v>
      </c>
      <c r="K666" s="24" t="s">
        <v>19</v>
      </c>
      <c r="L666" t="s">
        <v>2487</v>
      </c>
      <c r="M666" s="17">
        <v>5</v>
      </c>
      <c r="N666" t="s">
        <v>4295</v>
      </c>
      <c r="O666" s="24" t="s">
        <v>45</v>
      </c>
      <c r="P666" s="19">
        <v>779</v>
      </c>
      <c r="Q666" s="26" t="str">
        <f>IF(OR(P666&lt;'Descriptive Statistics'!$H$17,P666&gt;'Descriptive Statistics'!$H$18),"Potential Outlier","Within Range")</f>
        <v>Within Range</v>
      </c>
      <c r="R666" s="26" t="str">
        <f>IF(OR(G666&lt;'Descriptive Statistics'!$I$17,G666&gt;'Descriptive Statistics'!$I$18),"Potential Outlier","Within Range")</f>
        <v>Within Range</v>
      </c>
      <c r="S666" s="26" t="str">
        <f>IF(OR(H666&lt;'Descriptive Statistics'!$J$17,H666&gt;'Descriptive Statistics'!$J$18),"Potential Outlier","Within Range")</f>
        <v>Within Range</v>
      </c>
    </row>
    <row r="667" hidden="1" spans="1:19">
      <c r="A667" t="s">
        <v>2488</v>
      </c>
      <c r="B667" s="23">
        <v>45048</v>
      </c>
      <c r="C667" s="23" t="str">
        <f t="shared" si="20"/>
        <v>May</v>
      </c>
      <c r="D667" s="23" t="str">
        <f t="shared" si="21"/>
        <v>2023</v>
      </c>
      <c r="E667" t="s">
        <v>2489</v>
      </c>
      <c r="F667" s="24" t="s">
        <v>32</v>
      </c>
      <c r="G667" s="17">
        <v>4</v>
      </c>
      <c r="H667" s="19">
        <v>231.26</v>
      </c>
      <c r="I667" t="s">
        <v>2490</v>
      </c>
      <c r="J667" s="24" t="s">
        <v>27</v>
      </c>
      <c r="K667" s="24" t="s">
        <v>19</v>
      </c>
      <c r="L667" t="s">
        <v>2491</v>
      </c>
      <c r="M667" s="17">
        <v>6</v>
      </c>
      <c r="N667" t="s">
        <v>81</v>
      </c>
      <c r="O667" s="24" t="s">
        <v>76</v>
      </c>
      <c r="P667" s="19">
        <v>925.04</v>
      </c>
      <c r="Q667" s="26" t="str">
        <f>IF(OR(P667&lt;'Descriptive Statistics'!$H$17,P667&gt;'Descriptive Statistics'!$H$18),"Potential Outlier","Within Range")</f>
        <v>Within Range</v>
      </c>
      <c r="R667" s="26" t="str">
        <f>IF(OR(G667&lt;'Descriptive Statistics'!$I$17,G667&gt;'Descriptive Statistics'!$I$18),"Potential Outlier","Within Range")</f>
        <v>Within Range</v>
      </c>
      <c r="S667" s="26" t="str">
        <f>IF(OR(H667&lt;'Descriptive Statistics'!$J$17,H667&gt;'Descriptive Statistics'!$J$18),"Potential Outlier","Within Range")</f>
        <v>Within Range</v>
      </c>
    </row>
    <row r="668" hidden="1" spans="1:19">
      <c r="A668" t="s">
        <v>2492</v>
      </c>
      <c r="B668" s="23">
        <v>45535</v>
      </c>
      <c r="C668" s="23" t="str">
        <f t="shared" si="20"/>
        <v>Aug</v>
      </c>
      <c r="D668" s="23" t="str">
        <f t="shared" si="21"/>
        <v>2024</v>
      </c>
      <c r="E668" t="s">
        <v>2493</v>
      </c>
      <c r="F668" s="24" t="s">
        <v>16</v>
      </c>
      <c r="G668" s="17">
        <v>4</v>
      </c>
      <c r="H668" s="19">
        <v>327.12</v>
      </c>
      <c r="I668" t="s">
        <v>2294</v>
      </c>
      <c r="J668" s="24" t="s">
        <v>34</v>
      </c>
      <c r="K668" s="24" t="s">
        <v>35</v>
      </c>
      <c r="L668" t="s">
        <v>2494</v>
      </c>
      <c r="M668" s="17">
        <v>4</v>
      </c>
      <c r="N668" t="s">
        <v>4295</v>
      </c>
      <c r="O668" s="24" t="s">
        <v>38</v>
      </c>
      <c r="P668" s="19">
        <v>1308.48</v>
      </c>
      <c r="Q668" s="26" t="str">
        <f>IF(OR(P668&lt;'Descriptive Statistics'!$H$17,P668&gt;'Descriptive Statistics'!$H$18),"Potential Outlier","Within Range")</f>
        <v>Within Range</v>
      </c>
      <c r="R668" s="26" t="str">
        <f>IF(OR(G668&lt;'Descriptive Statistics'!$I$17,G668&gt;'Descriptive Statistics'!$I$18),"Potential Outlier","Within Range")</f>
        <v>Within Range</v>
      </c>
      <c r="S668" s="26" t="str">
        <f>IF(OR(H668&lt;'Descriptive Statistics'!$J$17,H668&gt;'Descriptive Statistics'!$J$18),"Potential Outlier","Within Range")</f>
        <v>Within Range</v>
      </c>
    </row>
    <row r="669" hidden="1" spans="1:19">
      <c r="A669" t="s">
        <v>2495</v>
      </c>
      <c r="B669" s="23">
        <v>45049</v>
      </c>
      <c r="C669" s="23" t="str">
        <f t="shared" si="20"/>
        <v>May</v>
      </c>
      <c r="D669" s="23" t="str">
        <f t="shared" si="21"/>
        <v>2023</v>
      </c>
      <c r="E669" t="s">
        <v>2496</v>
      </c>
      <c r="F669" s="24" t="s">
        <v>58</v>
      </c>
      <c r="G669" s="17">
        <v>1</v>
      </c>
      <c r="H669" s="19">
        <v>466.42</v>
      </c>
      <c r="I669" t="s">
        <v>830</v>
      </c>
      <c r="J669" s="24" t="s">
        <v>60</v>
      </c>
      <c r="K669" s="24" t="s">
        <v>89</v>
      </c>
      <c r="L669" t="s">
        <v>2497</v>
      </c>
      <c r="M669" s="17">
        <v>5</v>
      </c>
      <c r="N669" t="s">
        <v>21</v>
      </c>
      <c r="O669" s="24" t="s">
        <v>38</v>
      </c>
      <c r="P669" s="19">
        <v>466.42</v>
      </c>
      <c r="Q669" s="26" t="str">
        <f>IF(OR(P669&lt;'Descriptive Statistics'!$H$17,P669&gt;'Descriptive Statistics'!$H$18),"Potential Outlier","Within Range")</f>
        <v>Within Range</v>
      </c>
      <c r="R669" s="26" t="str">
        <f>IF(OR(G669&lt;'Descriptive Statistics'!$I$17,G669&gt;'Descriptive Statistics'!$I$18),"Potential Outlier","Within Range")</f>
        <v>Within Range</v>
      </c>
      <c r="S669" s="26" t="str">
        <f>IF(OR(H669&lt;'Descriptive Statistics'!$J$17,H669&gt;'Descriptive Statistics'!$J$18),"Potential Outlier","Within Range")</f>
        <v>Within Range</v>
      </c>
    </row>
    <row r="670" hidden="1" spans="1:19">
      <c r="A670" t="s">
        <v>2498</v>
      </c>
      <c r="B670" s="23">
        <v>45478</v>
      </c>
      <c r="C670" s="23" t="str">
        <f t="shared" si="20"/>
        <v>Jul</v>
      </c>
      <c r="D670" s="23" t="str">
        <f t="shared" si="21"/>
        <v>2024</v>
      </c>
      <c r="E670" t="s">
        <v>2499</v>
      </c>
      <c r="F670" s="24" t="s">
        <v>16</v>
      </c>
      <c r="G670" s="17">
        <v>2</v>
      </c>
      <c r="H670" s="19">
        <v>253.67</v>
      </c>
      <c r="I670" t="s">
        <v>630</v>
      </c>
      <c r="J670" s="24" t="s">
        <v>65</v>
      </c>
      <c r="K670" s="24" t="s">
        <v>43</v>
      </c>
      <c r="L670" t="s">
        <v>2500</v>
      </c>
      <c r="M670" s="17">
        <v>3</v>
      </c>
      <c r="N670" t="s">
        <v>81</v>
      </c>
      <c r="O670" s="24" t="s">
        <v>45</v>
      </c>
      <c r="P670" s="19">
        <v>507.34</v>
      </c>
      <c r="Q670" s="26" t="str">
        <f>IF(OR(P670&lt;'Descriptive Statistics'!$H$17,P670&gt;'Descriptive Statistics'!$H$18),"Potential Outlier","Within Range")</f>
        <v>Within Range</v>
      </c>
      <c r="R670" s="26" t="str">
        <f>IF(OR(G670&lt;'Descriptive Statistics'!$I$17,G670&gt;'Descriptive Statistics'!$I$18),"Potential Outlier","Within Range")</f>
        <v>Within Range</v>
      </c>
      <c r="S670" s="26" t="str">
        <f>IF(OR(H670&lt;'Descriptive Statistics'!$J$17,H670&gt;'Descriptive Statistics'!$J$18),"Potential Outlier","Within Range")</f>
        <v>Within Range</v>
      </c>
    </row>
    <row r="671" hidden="1" spans="1:19">
      <c r="A671" t="s">
        <v>2501</v>
      </c>
      <c r="B671" s="23">
        <v>44962</v>
      </c>
      <c r="C671" s="23" t="str">
        <f t="shared" si="20"/>
        <v>Feb</v>
      </c>
      <c r="D671" s="23" t="str">
        <f t="shared" si="21"/>
        <v>2023</v>
      </c>
      <c r="E671" t="s">
        <v>2502</v>
      </c>
      <c r="F671" s="24" t="s">
        <v>73</v>
      </c>
      <c r="G671" s="17">
        <v>1</v>
      </c>
      <c r="H671" s="19">
        <v>257</v>
      </c>
      <c r="I671" t="s">
        <v>2503</v>
      </c>
      <c r="J671" s="24" t="s">
        <v>18</v>
      </c>
      <c r="K671" s="24" t="s">
        <v>35</v>
      </c>
      <c r="L671" t="s">
        <v>2504</v>
      </c>
      <c r="M671" s="17">
        <v>5</v>
      </c>
      <c r="N671" t="s">
        <v>4295</v>
      </c>
      <c r="O671" s="24" t="s">
        <v>29</v>
      </c>
      <c r="P671" s="19">
        <v>257</v>
      </c>
      <c r="Q671" s="26" t="str">
        <f>IF(OR(P671&lt;'Descriptive Statistics'!$H$17,P671&gt;'Descriptive Statistics'!$H$18),"Potential Outlier","Within Range")</f>
        <v>Within Range</v>
      </c>
      <c r="R671" s="26" t="str">
        <f>IF(OR(G671&lt;'Descriptive Statistics'!$I$17,G671&gt;'Descriptive Statistics'!$I$18),"Potential Outlier","Within Range")</f>
        <v>Within Range</v>
      </c>
      <c r="S671" s="26" t="str">
        <f>IF(OR(H671&lt;'Descriptive Statistics'!$J$17,H671&gt;'Descriptive Statistics'!$J$18),"Potential Outlier","Within Range")</f>
        <v>Within Range</v>
      </c>
    </row>
    <row r="672" hidden="1" spans="1:19">
      <c r="A672" t="s">
        <v>2505</v>
      </c>
      <c r="B672" s="23">
        <v>45400</v>
      </c>
      <c r="C672" s="23" t="str">
        <f t="shared" si="20"/>
        <v>Apr</v>
      </c>
      <c r="D672" s="23" t="str">
        <f t="shared" si="21"/>
        <v>2024</v>
      </c>
      <c r="E672" t="s">
        <v>2506</v>
      </c>
      <c r="F672" s="24" t="s">
        <v>73</v>
      </c>
      <c r="G672" s="17">
        <v>4</v>
      </c>
      <c r="H672" s="19">
        <v>539.2</v>
      </c>
      <c r="I672" t="s">
        <v>1415</v>
      </c>
      <c r="J672" s="24" t="s">
        <v>34</v>
      </c>
      <c r="K672" s="24" t="s">
        <v>89</v>
      </c>
      <c r="L672" t="s">
        <v>2507</v>
      </c>
      <c r="M672" s="17">
        <v>8</v>
      </c>
      <c r="N672" t="s">
        <v>37</v>
      </c>
      <c r="O672" s="24" t="s">
        <v>76</v>
      </c>
      <c r="P672" s="19">
        <v>2156.8</v>
      </c>
      <c r="Q672" s="26" t="str">
        <f>IF(OR(P672&lt;'Descriptive Statistics'!$H$17,P672&gt;'Descriptive Statistics'!$H$18),"Potential Outlier","Within Range")</f>
        <v>Within Range</v>
      </c>
      <c r="R672" s="26" t="str">
        <f>IF(OR(G672&lt;'Descriptive Statistics'!$I$17,G672&gt;'Descriptive Statistics'!$I$18),"Potential Outlier","Within Range")</f>
        <v>Within Range</v>
      </c>
      <c r="S672" s="26" t="str">
        <f>IF(OR(H672&lt;'Descriptive Statistics'!$J$17,H672&gt;'Descriptive Statistics'!$J$18),"Potential Outlier","Within Range")</f>
        <v>Within Range</v>
      </c>
    </row>
    <row r="673" hidden="1" spans="1:19">
      <c r="A673" t="s">
        <v>2508</v>
      </c>
      <c r="B673" s="23">
        <v>45092</v>
      </c>
      <c r="C673" s="23" t="str">
        <f t="shared" si="20"/>
        <v>Jun</v>
      </c>
      <c r="D673" s="23" t="str">
        <f t="shared" si="21"/>
        <v>2023</v>
      </c>
      <c r="E673" t="s">
        <v>2509</v>
      </c>
      <c r="F673" s="24" t="s">
        <v>41</v>
      </c>
      <c r="G673" s="17">
        <v>5</v>
      </c>
      <c r="H673" s="19">
        <v>50.74</v>
      </c>
      <c r="I673" t="s">
        <v>659</v>
      </c>
      <c r="J673" s="24" t="s">
        <v>60</v>
      </c>
      <c r="K673" s="24" t="s">
        <v>35</v>
      </c>
      <c r="L673" t="s">
        <v>2510</v>
      </c>
      <c r="M673" s="17">
        <v>7</v>
      </c>
      <c r="N673" t="s">
        <v>81</v>
      </c>
      <c r="O673" s="24" t="s">
        <v>76</v>
      </c>
      <c r="P673" s="19">
        <v>253.7</v>
      </c>
      <c r="Q673" s="26" t="str">
        <f>IF(OR(P673&lt;'Descriptive Statistics'!$H$17,P673&gt;'Descriptive Statistics'!$H$18),"Potential Outlier","Within Range")</f>
        <v>Within Range</v>
      </c>
      <c r="R673" s="26" t="str">
        <f>IF(OR(G673&lt;'Descriptive Statistics'!$I$17,G673&gt;'Descriptive Statistics'!$I$18),"Potential Outlier","Within Range")</f>
        <v>Within Range</v>
      </c>
      <c r="S673" s="26" t="str">
        <f>IF(OR(H673&lt;'Descriptive Statistics'!$J$17,H673&gt;'Descriptive Statistics'!$J$18),"Potential Outlier","Within Range")</f>
        <v>Within Range</v>
      </c>
    </row>
    <row r="674" hidden="1" spans="1:19">
      <c r="A674" t="s">
        <v>2511</v>
      </c>
      <c r="B674" s="23">
        <v>45055</v>
      </c>
      <c r="C674" s="23" t="str">
        <f t="shared" si="20"/>
        <v>May</v>
      </c>
      <c r="D674" s="23" t="str">
        <f t="shared" si="21"/>
        <v>2023</v>
      </c>
      <c r="E674" t="s">
        <v>2512</v>
      </c>
      <c r="F674" s="24" t="s">
        <v>25</v>
      </c>
      <c r="G674" s="17">
        <v>2</v>
      </c>
      <c r="H674" s="19">
        <v>624.16</v>
      </c>
      <c r="I674" t="s">
        <v>2321</v>
      </c>
      <c r="J674" s="24" t="s">
        <v>18</v>
      </c>
      <c r="K674" s="24" t="s">
        <v>19</v>
      </c>
      <c r="L674" t="s">
        <v>2513</v>
      </c>
      <c r="M674" s="17">
        <v>2</v>
      </c>
      <c r="N674" t="s">
        <v>21</v>
      </c>
      <c r="O674" s="24" t="s">
        <v>22</v>
      </c>
      <c r="P674" s="19">
        <v>1248.32</v>
      </c>
      <c r="Q674" s="26" t="str">
        <f>IF(OR(P674&lt;'Descriptive Statistics'!$H$17,P674&gt;'Descriptive Statistics'!$H$18),"Potential Outlier","Within Range")</f>
        <v>Within Range</v>
      </c>
      <c r="R674" s="26" t="str">
        <f>IF(OR(G674&lt;'Descriptive Statistics'!$I$17,G674&gt;'Descriptive Statistics'!$I$18),"Potential Outlier","Within Range")</f>
        <v>Within Range</v>
      </c>
      <c r="S674" s="26" t="str">
        <f>IF(OR(H674&lt;'Descriptive Statistics'!$J$17,H674&gt;'Descriptive Statistics'!$J$18),"Potential Outlier","Within Range")</f>
        <v>Within Range</v>
      </c>
    </row>
    <row r="675" hidden="1" spans="1:19">
      <c r="A675" t="s">
        <v>2514</v>
      </c>
      <c r="B675" s="23">
        <v>44978</v>
      </c>
      <c r="C675" s="23" t="str">
        <f t="shared" si="20"/>
        <v>Feb</v>
      </c>
      <c r="D675" s="23" t="str">
        <f t="shared" si="21"/>
        <v>2023</v>
      </c>
      <c r="E675" t="s">
        <v>2515</v>
      </c>
      <c r="F675" s="24" t="s">
        <v>32</v>
      </c>
      <c r="G675" s="17">
        <v>2</v>
      </c>
      <c r="H675" s="19">
        <v>372.92</v>
      </c>
      <c r="I675" t="s">
        <v>470</v>
      </c>
      <c r="J675" s="24" t="s">
        <v>34</v>
      </c>
      <c r="K675" s="24" t="s">
        <v>50</v>
      </c>
      <c r="L675" t="s">
        <v>2516</v>
      </c>
      <c r="M675" s="17">
        <v>7</v>
      </c>
      <c r="N675" t="s">
        <v>21</v>
      </c>
      <c r="O675" s="24" t="s">
        <v>38</v>
      </c>
      <c r="P675" s="19">
        <v>745.84</v>
      </c>
      <c r="Q675" s="26" t="str">
        <f>IF(OR(P675&lt;'Descriptive Statistics'!$H$17,P675&gt;'Descriptive Statistics'!$H$18),"Potential Outlier","Within Range")</f>
        <v>Within Range</v>
      </c>
      <c r="R675" s="26" t="str">
        <f>IF(OR(G675&lt;'Descriptive Statistics'!$I$17,G675&gt;'Descriptive Statistics'!$I$18),"Potential Outlier","Within Range")</f>
        <v>Within Range</v>
      </c>
      <c r="S675" s="26" t="str">
        <f>IF(OR(H675&lt;'Descriptive Statistics'!$J$17,H675&gt;'Descriptive Statistics'!$J$18),"Potential Outlier","Within Range")</f>
        <v>Within Range</v>
      </c>
    </row>
    <row r="676" hidden="1" spans="1:19">
      <c r="A676" t="s">
        <v>2517</v>
      </c>
      <c r="B676" s="23">
        <v>45300</v>
      </c>
      <c r="C676" s="23" t="str">
        <f t="shared" si="20"/>
        <v>Jan</v>
      </c>
      <c r="D676" s="23" t="str">
        <f t="shared" si="21"/>
        <v>2024</v>
      </c>
      <c r="E676" t="s">
        <v>2518</v>
      </c>
      <c r="F676" s="24" t="s">
        <v>58</v>
      </c>
      <c r="G676" s="17">
        <v>4</v>
      </c>
      <c r="H676" s="19">
        <v>358.75</v>
      </c>
      <c r="I676" t="s">
        <v>2519</v>
      </c>
      <c r="J676" s="24" t="s">
        <v>60</v>
      </c>
      <c r="K676" s="24" t="s">
        <v>50</v>
      </c>
      <c r="L676" t="s">
        <v>2520</v>
      </c>
      <c r="M676" s="17">
        <v>9</v>
      </c>
      <c r="N676" t="s">
        <v>21</v>
      </c>
      <c r="O676" s="24" t="s">
        <v>45</v>
      </c>
      <c r="P676" s="19">
        <v>1435</v>
      </c>
      <c r="Q676" s="26" t="str">
        <f>IF(OR(P676&lt;'Descriptive Statistics'!$H$17,P676&gt;'Descriptive Statistics'!$H$18),"Potential Outlier","Within Range")</f>
        <v>Within Range</v>
      </c>
      <c r="R676" s="26" t="str">
        <f>IF(OR(G676&lt;'Descriptive Statistics'!$I$17,G676&gt;'Descriptive Statistics'!$I$18),"Potential Outlier","Within Range")</f>
        <v>Within Range</v>
      </c>
      <c r="S676" s="26" t="str">
        <f>IF(OR(H676&lt;'Descriptive Statistics'!$J$17,H676&gt;'Descriptive Statistics'!$J$18),"Potential Outlier","Within Range")</f>
        <v>Within Range</v>
      </c>
    </row>
    <row r="677" hidden="1" spans="1:19">
      <c r="A677" t="s">
        <v>2521</v>
      </c>
      <c r="B677" s="23">
        <v>45510</v>
      </c>
      <c r="C677" s="23" t="str">
        <f t="shared" si="20"/>
        <v>Aug</v>
      </c>
      <c r="D677" s="23" t="str">
        <f t="shared" si="21"/>
        <v>2024</v>
      </c>
      <c r="E677" t="s">
        <v>2522</v>
      </c>
      <c r="F677" s="24" t="s">
        <v>73</v>
      </c>
      <c r="G677" s="17">
        <v>3</v>
      </c>
      <c r="H677" s="19">
        <v>342.02</v>
      </c>
      <c r="I677" t="s">
        <v>2040</v>
      </c>
      <c r="J677" s="24" t="s">
        <v>18</v>
      </c>
      <c r="K677" s="24" t="s">
        <v>89</v>
      </c>
      <c r="L677" t="s">
        <v>2523</v>
      </c>
      <c r="M677" s="17">
        <v>5</v>
      </c>
      <c r="N677" t="s">
        <v>4295</v>
      </c>
      <c r="O677" s="24" t="s">
        <v>38</v>
      </c>
      <c r="P677" s="19">
        <v>1026.06</v>
      </c>
      <c r="Q677" s="26" t="str">
        <f>IF(OR(P677&lt;'Descriptive Statistics'!$H$17,P677&gt;'Descriptive Statistics'!$H$18),"Potential Outlier","Within Range")</f>
        <v>Within Range</v>
      </c>
      <c r="R677" s="26" t="str">
        <f>IF(OR(G677&lt;'Descriptive Statistics'!$I$17,G677&gt;'Descriptive Statistics'!$I$18),"Potential Outlier","Within Range")</f>
        <v>Within Range</v>
      </c>
      <c r="S677" s="26" t="str">
        <f>IF(OR(H677&lt;'Descriptive Statistics'!$J$17,H677&gt;'Descriptive Statistics'!$J$18),"Potential Outlier","Within Range")</f>
        <v>Within Range</v>
      </c>
    </row>
    <row r="678" hidden="1" spans="1:19">
      <c r="A678" t="s">
        <v>2524</v>
      </c>
      <c r="B678" s="23">
        <v>45831</v>
      </c>
      <c r="C678" s="23" t="str">
        <f t="shared" si="20"/>
        <v>Jun</v>
      </c>
      <c r="D678" s="23" t="str">
        <f t="shared" si="21"/>
        <v>2025</v>
      </c>
      <c r="E678" t="s">
        <v>2525</v>
      </c>
      <c r="F678" s="24" t="s">
        <v>58</v>
      </c>
      <c r="G678" s="17">
        <v>2</v>
      </c>
      <c r="H678" s="19">
        <v>422.34</v>
      </c>
      <c r="I678" t="s">
        <v>2480</v>
      </c>
      <c r="J678" s="24" t="s">
        <v>34</v>
      </c>
      <c r="K678" s="24" t="s">
        <v>35</v>
      </c>
      <c r="L678" t="s">
        <v>2526</v>
      </c>
      <c r="M678" s="17">
        <v>4</v>
      </c>
      <c r="N678" t="s">
        <v>37</v>
      </c>
      <c r="O678" s="24" t="s">
        <v>22</v>
      </c>
      <c r="P678" s="19">
        <v>844.68</v>
      </c>
      <c r="Q678" s="26" t="str">
        <f>IF(OR(P678&lt;'Descriptive Statistics'!$H$17,P678&gt;'Descriptive Statistics'!$H$18),"Potential Outlier","Within Range")</f>
        <v>Within Range</v>
      </c>
      <c r="R678" s="26" t="str">
        <f>IF(OR(G678&lt;'Descriptive Statistics'!$I$17,G678&gt;'Descriptive Statistics'!$I$18),"Potential Outlier","Within Range")</f>
        <v>Within Range</v>
      </c>
      <c r="S678" s="26" t="str">
        <f>IF(OR(H678&lt;'Descriptive Statistics'!$J$17,H678&gt;'Descriptive Statistics'!$J$18),"Potential Outlier","Within Range")</f>
        <v>Within Range</v>
      </c>
    </row>
    <row r="679" hidden="1" spans="1:19">
      <c r="A679" t="s">
        <v>2527</v>
      </c>
      <c r="B679" s="23">
        <v>45750</v>
      </c>
      <c r="C679" s="23" t="str">
        <f t="shared" si="20"/>
        <v>Apr</v>
      </c>
      <c r="D679" s="23" t="str">
        <f t="shared" si="21"/>
        <v>2025</v>
      </c>
      <c r="E679" t="s">
        <v>2528</v>
      </c>
      <c r="F679" s="24" t="s">
        <v>32</v>
      </c>
      <c r="G679" s="17">
        <v>5</v>
      </c>
      <c r="H679" s="19">
        <v>22.07</v>
      </c>
      <c r="I679" t="s">
        <v>88</v>
      </c>
      <c r="J679" s="24" t="s">
        <v>27</v>
      </c>
      <c r="K679" s="24" t="s">
        <v>35</v>
      </c>
      <c r="L679" t="s">
        <v>2529</v>
      </c>
      <c r="M679" s="17">
        <v>7</v>
      </c>
      <c r="N679" t="s">
        <v>37</v>
      </c>
      <c r="O679" s="24" t="s">
        <v>22</v>
      </c>
      <c r="P679" s="19">
        <v>110.35</v>
      </c>
      <c r="Q679" s="26" t="str">
        <f>IF(OR(P679&lt;'Descriptive Statistics'!$H$17,P679&gt;'Descriptive Statistics'!$H$18),"Potential Outlier","Within Range")</f>
        <v>Within Range</v>
      </c>
      <c r="R679" s="26" t="str">
        <f>IF(OR(G679&lt;'Descriptive Statistics'!$I$17,G679&gt;'Descriptive Statistics'!$I$18),"Potential Outlier","Within Range")</f>
        <v>Within Range</v>
      </c>
      <c r="S679" s="26" t="str">
        <f>IF(OR(H679&lt;'Descriptive Statistics'!$J$17,H679&gt;'Descriptive Statistics'!$J$18),"Potential Outlier","Within Range")</f>
        <v>Within Range</v>
      </c>
    </row>
    <row r="680" hidden="1" spans="1:19">
      <c r="A680" t="s">
        <v>2530</v>
      </c>
      <c r="B680" s="23">
        <v>45620</v>
      </c>
      <c r="C680" s="23" t="str">
        <f t="shared" si="20"/>
        <v>Nov</v>
      </c>
      <c r="D680" s="23" t="str">
        <f t="shared" si="21"/>
        <v>2024</v>
      </c>
      <c r="E680" t="s">
        <v>2531</v>
      </c>
      <c r="F680" s="24" t="s">
        <v>41</v>
      </c>
      <c r="G680" s="17">
        <v>3</v>
      </c>
      <c r="H680" s="19">
        <v>163.13</v>
      </c>
      <c r="I680" t="s">
        <v>888</v>
      </c>
      <c r="J680" s="24" t="s">
        <v>60</v>
      </c>
      <c r="K680" s="24" t="s">
        <v>19</v>
      </c>
      <c r="L680" t="s">
        <v>2532</v>
      </c>
      <c r="M680" s="17">
        <v>5</v>
      </c>
      <c r="N680" t="s">
        <v>81</v>
      </c>
      <c r="O680" s="24" t="s">
        <v>45</v>
      </c>
      <c r="P680" s="19">
        <v>489.39</v>
      </c>
      <c r="Q680" s="26" t="str">
        <f>IF(OR(P680&lt;'Descriptive Statistics'!$H$17,P680&gt;'Descriptive Statistics'!$H$18),"Potential Outlier","Within Range")</f>
        <v>Within Range</v>
      </c>
      <c r="R680" s="26" t="str">
        <f>IF(OR(G680&lt;'Descriptive Statistics'!$I$17,G680&gt;'Descriptive Statistics'!$I$18),"Potential Outlier","Within Range")</f>
        <v>Within Range</v>
      </c>
      <c r="S680" s="26" t="str">
        <f>IF(OR(H680&lt;'Descriptive Statistics'!$J$17,H680&gt;'Descriptive Statistics'!$J$18),"Potential Outlier","Within Range")</f>
        <v>Within Range</v>
      </c>
    </row>
    <row r="681" hidden="1" spans="1:19">
      <c r="A681" t="s">
        <v>2533</v>
      </c>
      <c r="B681" s="23">
        <v>44959</v>
      </c>
      <c r="C681" s="23" t="str">
        <f t="shared" si="20"/>
        <v>Feb</v>
      </c>
      <c r="D681" s="23" t="str">
        <f t="shared" si="21"/>
        <v>2023</v>
      </c>
      <c r="E681" t="s">
        <v>2534</v>
      </c>
      <c r="F681" s="24" t="s">
        <v>32</v>
      </c>
      <c r="G681" s="17">
        <v>3</v>
      </c>
      <c r="H681" s="19">
        <v>360.66</v>
      </c>
      <c r="I681" t="s">
        <v>1564</v>
      </c>
      <c r="J681" s="24" t="s">
        <v>27</v>
      </c>
      <c r="K681" s="24" t="s">
        <v>43</v>
      </c>
      <c r="L681" t="s">
        <v>2535</v>
      </c>
      <c r="M681" s="17">
        <v>5</v>
      </c>
      <c r="N681" t="s">
        <v>37</v>
      </c>
      <c r="O681" s="24" t="s">
        <v>22</v>
      </c>
      <c r="P681" s="19">
        <v>1081.98</v>
      </c>
      <c r="Q681" s="26" t="str">
        <f>IF(OR(P681&lt;'Descriptive Statistics'!$H$17,P681&gt;'Descriptive Statistics'!$H$18),"Potential Outlier","Within Range")</f>
        <v>Within Range</v>
      </c>
      <c r="R681" s="26" t="str">
        <f>IF(OR(G681&lt;'Descriptive Statistics'!$I$17,G681&gt;'Descriptive Statistics'!$I$18),"Potential Outlier","Within Range")</f>
        <v>Within Range</v>
      </c>
      <c r="S681" s="26" t="str">
        <f>IF(OR(H681&lt;'Descriptive Statistics'!$J$17,H681&gt;'Descriptive Statistics'!$J$18),"Potential Outlier","Within Range")</f>
        <v>Within Range</v>
      </c>
    </row>
    <row r="682" hidden="1" spans="1:19">
      <c r="A682" t="s">
        <v>2536</v>
      </c>
      <c r="B682" s="23">
        <v>45165</v>
      </c>
      <c r="C682" s="23" t="str">
        <f t="shared" si="20"/>
        <v>Aug</v>
      </c>
      <c r="D682" s="23" t="str">
        <f t="shared" si="21"/>
        <v>2023</v>
      </c>
      <c r="E682" t="s">
        <v>2537</v>
      </c>
      <c r="F682" s="24" t="s">
        <v>16</v>
      </c>
      <c r="G682" s="17">
        <v>3</v>
      </c>
      <c r="H682" s="19">
        <v>463.39</v>
      </c>
      <c r="I682" t="s">
        <v>2538</v>
      </c>
      <c r="J682" s="24" t="s">
        <v>34</v>
      </c>
      <c r="K682" s="24" t="s">
        <v>43</v>
      </c>
      <c r="L682" t="s">
        <v>2539</v>
      </c>
      <c r="M682" s="17">
        <v>3</v>
      </c>
      <c r="N682" t="s">
        <v>4295</v>
      </c>
      <c r="O682" s="24" t="s">
        <v>45</v>
      </c>
      <c r="P682" s="19">
        <v>1390.17</v>
      </c>
      <c r="Q682" s="26" t="str">
        <f>IF(OR(P682&lt;'Descriptive Statistics'!$H$17,P682&gt;'Descriptive Statistics'!$H$18),"Potential Outlier","Within Range")</f>
        <v>Within Range</v>
      </c>
      <c r="R682" s="26" t="str">
        <f>IF(OR(G682&lt;'Descriptive Statistics'!$I$17,G682&gt;'Descriptive Statistics'!$I$18),"Potential Outlier","Within Range")</f>
        <v>Within Range</v>
      </c>
      <c r="S682" s="26" t="str">
        <f>IF(OR(H682&lt;'Descriptive Statistics'!$J$17,H682&gt;'Descriptive Statistics'!$J$18),"Potential Outlier","Within Range")</f>
        <v>Within Range</v>
      </c>
    </row>
    <row r="683" hidden="1" spans="1:19">
      <c r="A683" t="s">
        <v>2540</v>
      </c>
      <c r="B683" s="23">
        <v>45321</v>
      </c>
      <c r="C683" s="23" t="str">
        <f t="shared" si="20"/>
        <v>Jan</v>
      </c>
      <c r="D683" s="23" t="str">
        <f t="shared" si="21"/>
        <v>2024</v>
      </c>
      <c r="E683" t="s">
        <v>2541</v>
      </c>
      <c r="F683" s="24" t="s">
        <v>32</v>
      </c>
      <c r="G683" s="17">
        <v>1</v>
      </c>
      <c r="H683" s="19">
        <v>155.27</v>
      </c>
      <c r="I683" t="s">
        <v>2542</v>
      </c>
      <c r="J683" s="24" t="s">
        <v>18</v>
      </c>
      <c r="K683" s="24" t="s">
        <v>19</v>
      </c>
      <c r="L683" t="s">
        <v>2543</v>
      </c>
      <c r="M683" s="17">
        <v>6</v>
      </c>
      <c r="N683" t="s">
        <v>4295</v>
      </c>
      <c r="O683" s="24" t="s">
        <v>38</v>
      </c>
      <c r="P683" s="19">
        <v>155.27</v>
      </c>
      <c r="Q683" s="26" t="str">
        <f>IF(OR(P683&lt;'Descriptive Statistics'!$H$17,P683&gt;'Descriptive Statistics'!$H$18),"Potential Outlier","Within Range")</f>
        <v>Within Range</v>
      </c>
      <c r="R683" s="26" t="str">
        <f>IF(OR(G683&lt;'Descriptive Statistics'!$I$17,G683&gt;'Descriptive Statistics'!$I$18),"Potential Outlier","Within Range")</f>
        <v>Within Range</v>
      </c>
      <c r="S683" s="26" t="str">
        <f>IF(OR(H683&lt;'Descriptive Statistics'!$J$17,H683&gt;'Descriptive Statistics'!$J$18),"Potential Outlier","Within Range")</f>
        <v>Within Range</v>
      </c>
    </row>
    <row r="684" hidden="1" spans="1:19">
      <c r="A684" t="s">
        <v>2544</v>
      </c>
      <c r="B684" s="23">
        <v>45130</v>
      </c>
      <c r="C684" s="23" t="str">
        <f t="shared" si="20"/>
        <v>Jul</v>
      </c>
      <c r="D684" s="23" t="str">
        <f t="shared" si="21"/>
        <v>2023</v>
      </c>
      <c r="E684" t="s">
        <v>2545</v>
      </c>
      <c r="F684" s="24" t="s">
        <v>16</v>
      </c>
      <c r="G684" s="17">
        <v>3</v>
      </c>
      <c r="H684" s="19">
        <v>509.42</v>
      </c>
      <c r="I684" t="s">
        <v>1827</v>
      </c>
      <c r="J684" s="24" t="s">
        <v>34</v>
      </c>
      <c r="K684" s="24" t="s">
        <v>35</v>
      </c>
      <c r="L684" t="s">
        <v>2546</v>
      </c>
      <c r="M684" s="17">
        <v>5</v>
      </c>
      <c r="N684" t="s">
        <v>37</v>
      </c>
      <c r="O684" s="24" t="s">
        <v>76</v>
      </c>
      <c r="P684" s="19">
        <v>1528.26</v>
      </c>
      <c r="Q684" s="26" t="str">
        <f>IF(OR(P684&lt;'Descriptive Statistics'!$H$17,P684&gt;'Descriptive Statistics'!$H$18),"Potential Outlier","Within Range")</f>
        <v>Within Range</v>
      </c>
      <c r="R684" s="26" t="str">
        <f>IF(OR(G684&lt;'Descriptive Statistics'!$I$17,G684&gt;'Descriptive Statistics'!$I$18),"Potential Outlier","Within Range")</f>
        <v>Within Range</v>
      </c>
      <c r="S684" s="26" t="str">
        <f>IF(OR(H684&lt;'Descriptive Statistics'!$J$17,H684&gt;'Descriptive Statistics'!$J$18),"Potential Outlier","Within Range")</f>
        <v>Within Range</v>
      </c>
    </row>
    <row r="685" hidden="1" spans="1:19">
      <c r="A685" t="s">
        <v>2547</v>
      </c>
      <c r="B685" s="23">
        <v>45795</v>
      </c>
      <c r="C685" s="23" t="str">
        <f t="shared" si="20"/>
        <v>May</v>
      </c>
      <c r="D685" s="23" t="str">
        <f t="shared" si="21"/>
        <v>2025</v>
      </c>
      <c r="E685" t="s">
        <v>2548</v>
      </c>
      <c r="F685" s="24" t="s">
        <v>73</v>
      </c>
      <c r="G685" s="17">
        <v>4</v>
      </c>
      <c r="H685" s="19">
        <v>652.48</v>
      </c>
      <c r="I685" t="s">
        <v>2549</v>
      </c>
      <c r="J685" s="24" t="s">
        <v>65</v>
      </c>
      <c r="K685" s="24" t="s">
        <v>89</v>
      </c>
      <c r="L685" t="s">
        <v>2550</v>
      </c>
      <c r="M685" s="17">
        <v>5</v>
      </c>
      <c r="N685" t="s">
        <v>37</v>
      </c>
      <c r="O685" s="24" t="s">
        <v>22</v>
      </c>
      <c r="P685" s="19">
        <v>2609.92</v>
      </c>
      <c r="Q685" s="26" t="str">
        <f>IF(OR(P685&lt;'Descriptive Statistics'!$H$17,P685&gt;'Descriptive Statistics'!$H$18),"Potential Outlier","Within Range")</f>
        <v>Within Range</v>
      </c>
      <c r="R685" s="26" t="str">
        <f>IF(OR(G685&lt;'Descriptive Statistics'!$I$17,G685&gt;'Descriptive Statistics'!$I$18),"Potential Outlier","Within Range")</f>
        <v>Within Range</v>
      </c>
      <c r="S685" s="26" t="str">
        <f>IF(OR(H685&lt;'Descriptive Statistics'!$J$17,H685&gt;'Descriptive Statistics'!$J$18),"Potential Outlier","Within Range")</f>
        <v>Within Range</v>
      </c>
    </row>
    <row r="686" hidden="1" spans="1:19">
      <c r="A686" t="s">
        <v>2551</v>
      </c>
      <c r="B686" s="23">
        <v>45557</v>
      </c>
      <c r="C686" s="23" t="str">
        <f t="shared" si="20"/>
        <v>Sep</v>
      </c>
      <c r="D686" s="23" t="str">
        <f t="shared" si="21"/>
        <v>2024</v>
      </c>
      <c r="E686" t="s">
        <v>2552</v>
      </c>
      <c r="F686" s="24" t="s">
        <v>48</v>
      </c>
      <c r="G686" s="17">
        <v>4</v>
      </c>
      <c r="H686" s="19">
        <v>34.84</v>
      </c>
      <c r="I686" t="s">
        <v>2553</v>
      </c>
      <c r="J686" s="24" t="s">
        <v>34</v>
      </c>
      <c r="K686" s="24" t="s">
        <v>19</v>
      </c>
      <c r="L686" t="s">
        <v>2554</v>
      </c>
      <c r="M686" s="17">
        <v>8</v>
      </c>
      <c r="N686" t="s">
        <v>4295</v>
      </c>
      <c r="O686" s="24" t="s">
        <v>38</v>
      </c>
      <c r="P686" s="19">
        <v>139.36</v>
      </c>
      <c r="Q686" s="26" t="str">
        <f>IF(OR(P686&lt;'Descriptive Statistics'!$H$17,P686&gt;'Descriptive Statistics'!$H$18),"Potential Outlier","Within Range")</f>
        <v>Within Range</v>
      </c>
      <c r="R686" s="26" t="str">
        <f>IF(OR(G686&lt;'Descriptive Statistics'!$I$17,G686&gt;'Descriptive Statistics'!$I$18),"Potential Outlier","Within Range")</f>
        <v>Within Range</v>
      </c>
      <c r="S686" s="26" t="str">
        <f>IF(OR(H686&lt;'Descriptive Statistics'!$J$17,H686&gt;'Descriptive Statistics'!$J$18),"Potential Outlier","Within Range")</f>
        <v>Within Range</v>
      </c>
    </row>
    <row r="687" hidden="1" spans="1:19">
      <c r="A687" t="s">
        <v>2555</v>
      </c>
      <c r="B687" s="23">
        <v>45695</v>
      </c>
      <c r="C687" s="23" t="str">
        <f t="shared" si="20"/>
        <v>Feb</v>
      </c>
      <c r="D687" s="23" t="str">
        <f t="shared" si="21"/>
        <v>2025</v>
      </c>
      <c r="E687" t="s">
        <v>2556</v>
      </c>
      <c r="F687" s="24" t="s">
        <v>73</v>
      </c>
      <c r="G687" s="17">
        <v>1</v>
      </c>
      <c r="H687" s="19">
        <v>234.37</v>
      </c>
      <c r="I687" t="s">
        <v>2557</v>
      </c>
      <c r="J687" s="24" t="s">
        <v>18</v>
      </c>
      <c r="K687" s="24" t="s">
        <v>19</v>
      </c>
      <c r="L687" t="s">
        <v>2558</v>
      </c>
      <c r="M687" s="17">
        <v>5</v>
      </c>
      <c r="N687" t="s">
        <v>37</v>
      </c>
      <c r="O687" s="24" t="s">
        <v>38</v>
      </c>
      <c r="P687" s="19">
        <v>234.37</v>
      </c>
      <c r="Q687" s="26" t="str">
        <f>IF(OR(P687&lt;'Descriptive Statistics'!$H$17,P687&gt;'Descriptive Statistics'!$H$18),"Potential Outlier","Within Range")</f>
        <v>Within Range</v>
      </c>
      <c r="R687" s="26" t="str">
        <f>IF(OR(G687&lt;'Descriptive Statistics'!$I$17,G687&gt;'Descriptive Statistics'!$I$18),"Potential Outlier","Within Range")</f>
        <v>Within Range</v>
      </c>
      <c r="S687" s="26" t="str">
        <f>IF(OR(H687&lt;'Descriptive Statistics'!$J$17,H687&gt;'Descriptive Statistics'!$J$18),"Potential Outlier","Within Range")</f>
        <v>Within Range</v>
      </c>
    </row>
    <row r="688" hidden="1" spans="1:19">
      <c r="A688" t="s">
        <v>2559</v>
      </c>
      <c r="B688" s="23">
        <v>45208</v>
      </c>
      <c r="C688" s="23" t="str">
        <f t="shared" si="20"/>
        <v>Oct</v>
      </c>
      <c r="D688" s="23" t="str">
        <f t="shared" si="21"/>
        <v>2023</v>
      </c>
      <c r="E688" t="s">
        <v>2560</v>
      </c>
      <c r="F688" s="24" t="s">
        <v>73</v>
      </c>
      <c r="G688" s="17">
        <v>3</v>
      </c>
      <c r="H688" s="19">
        <v>53.6</v>
      </c>
      <c r="I688" t="s">
        <v>2561</v>
      </c>
      <c r="J688" s="24" t="s">
        <v>65</v>
      </c>
      <c r="K688" s="24" t="s">
        <v>89</v>
      </c>
      <c r="L688" t="s">
        <v>2562</v>
      </c>
      <c r="M688" s="17">
        <v>4</v>
      </c>
      <c r="N688" t="s">
        <v>81</v>
      </c>
      <c r="O688" s="24" t="s">
        <v>45</v>
      </c>
      <c r="P688" s="19">
        <v>160.8</v>
      </c>
      <c r="Q688" s="26" t="str">
        <f>IF(OR(P688&lt;'Descriptive Statistics'!$H$17,P688&gt;'Descriptive Statistics'!$H$18),"Potential Outlier","Within Range")</f>
        <v>Within Range</v>
      </c>
      <c r="R688" s="26" t="str">
        <f>IF(OR(G688&lt;'Descriptive Statistics'!$I$17,G688&gt;'Descriptive Statistics'!$I$18),"Potential Outlier","Within Range")</f>
        <v>Within Range</v>
      </c>
      <c r="S688" s="26" t="str">
        <f>IF(OR(H688&lt;'Descriptive Statistics'!$J$17,H688&gt;'Descriptive Statistics'!$J$18),"Potential Outlier","Within Range")</f>
        <v>Within Range</v>
      </c>
    </row>
    <row r="689" hidden="1" spans="1:19">
      <c r="A689" t="s">
        <v>2563</v>
      </c>
      <c r="B689" s="23">
        <v>45182</v>
      </c>
      <c r="C689" s="23" t="str">
        <f t="shared" si="20"/>
        <v>Sep</v>
      </c>
      <c r="D689" s="23" t="str">
        <f t="shared" si="21"/>
        <v>2023</v>
      </c>
      <c r="E689" t="s">
        <v>2564</v>
      </c>
      <c r="F689" s="24" t="s">
        <v>32</v>
      </c>
      <c r="G689" s="17">
        <v>1</v>
      </c>
      <c r="H689" s="19">
        <v>332.09</v>
      </c>
      <c r="I689" t="s">
        <v>2565</v>
      </c>
      <c r="J689" s="24" t="s">
        <v>60</v>
      </c>
      <c r="K689" s="24" t="s">
        <v>43</v>
      </c>
      <c r="L689" t="s">
        <v>2566</v>
      </c>
      <c r="M689" s="17">
        <v>5</v>
      </c>
      <c r="N689" t="s">
        <v>37</v>
      </c>
      <c r="O689" s="24" t="s">
        <v>22</v>
      </c>
      <c r="P689" s="19">
        <v>332.09</v>
      </c>
      <c r="Q689" s="26" t="str">
        <f>IF(OR(P689&lt;'Descriptive Statistics'!$H$17,P689&gt;'Descriptive Statistics'!$H$18),"Potential Outlier","Within Range")</f>
        <v>Within Range</v>
      </c>
      <c r="R689" s="26" t="str">
        <f>IF(OR(G689&lt;'Descriptive Statistics'!$I$17,G689&gt;'Descriptive Statistics'!$I$18),"Potential Outlier","Within Range")</f>
        <v>Within Range</v>
      </c>
      <c r="S689" s="26" t="str">
        <f>IF(OR(H689&lt;'Descriptive Statistics'!$J$17,H689&gt;'Descriptive Statistics'!$J$18),"Potential Outlier","Within Range")</f>
        <v>Within Range</v>
      </c>
    </row>
    <row r="690" hidden="1" spans="1:19">
      <c r="A690" t="s">
        <v>2567</v>
      </c>
      <c r="B690" s="23">
        <v>45357</v>
      </c>
      <c r="C690" s="23" t="str">
        <f t="shared" si="20"/>
        <v>Mar</v>
      </c>
      <c r="D690" s="23" t="str">
        <f t="shared" si="21"/>
        <v>2024</v>
      </c>
      <c r="E690" t="s">
        <v>2568</v>
      </c>
      <c r="F690" s="24" t="s">
        <v>16</v>
      </c>
      <c r="G690" s="17">
        <v>4</v>
      </c>
      <c r="H690" s="19">
        <v>593.22</v>
      </c>
      <c r="I690" t="s">
        <v>2311</v>
      </c>
      <c r="J690" s="24" t="s">
        <v>34</v>
      </c>
      <c r="K690" s="24" t="s">
        <v>35</v>
      </c>
      <c r="L690" t="s">
        <v>2569</v>
      </c>
      <c r="M690" s="17">
        <v>8</v>
      </c>
      <c r="N690" t="s">
        <v>81</v>
      </c>
      <c r="O690" s="24" t="s">
        <v>45</v>
      </c>
      <c r="P690" s="19">
        <v>2372.88</v>
      </c>
      <c r="Q690" s="26" t="str">
        <f>IF(OR(P690&lt;'Descriptive Statistics'!$H$17,P690&gt;'Descriptive Statistics'!$H$18),"Potential Outlier","Within Range")</f>
        <v>Within Range</v>
      </c>
      <c r="R690" s="26" t="str">
        <f>IF(OR(G690&lt;'Descriptive Statistics'!$I$17,G690&gt;'Descriptive Statistics'!$I$18),"Potential Outlier","Within Range")</f>
        <v>Within Range</v>
      </c>
      <c r="S690" s="26" t="str">
        <f>IF(OR(H690&lt;'Descriptive Statistics'!$J$17,H690&gt;'Descriptive Statistics'!$J$18),"Potential Outlier","Within Range")</f>
        <v>Within Range</v>
      </c>
    </row>
    <row r="691" hidden="1" spans="1:19">
      <c r="A691" t="s">
        <v>2570</v>
      </c>
      <c r="B691" s="23">
        <v>45167</v>
      </c>
      <c r="C691" s="23" t="str">
        <f t="shared" si="20"/>
        <v>Aug</v>
      </c>
      <c r="D691" s="23" t="str">
        <f t="shared" si="21"/>
        <v>2023</v>
      </c>
      <c r="E691" t="s">
        <v>2571</v>
      </c>
      <c r="F691" s="24" t="s">
        <v>32</v>
      </c>
      <c r="G691" s="17">
        <v>2</v>
      </c>
      <c r="H691" s="19">
        <v>444.84</v>
      </c>
      <c r="I691" t="s">
        <v>2572</v>
      </c>
      <c r="J691" s="24" t="s">
        <v>27</v>
      </c>
      <c r="K691" s="24" t="s">
        <v>19</v>
      </c>
      <c r="L691" t="s">
        <v>2573</v>
      </c>
      <c r="M691" s="17">
        <v>7</v>
      </c>
      <c r="N691" t="s">
        <v>4295</v>
      </c>
      <c r="O691" s="24" t="s">
        <v>45</v>
      </c>
      <c r="P691" s="19">
        <v>889.68</v>
      </c>
      <c r="Q691" s="26" t="str">
        <f>IF(OR(P691&lt;'Descriptive Statistics'!$H$17,P691&gt;'Descriptive Statistics'!$H$18),"Potential Outlier","Within Range")</f>
        <v>Within Range</v>
      </c>
      <c r="R691" s="26" t="str">
        <f>IF(OR(G691&lt;'Descriptive Statistics'!$I$17,G691&gt;'Descriptive Statistics'!$I$18),"Potential Outlier","Within Range")</f>
        <v>Within Range</v>
      </c>
      <c r="S691" s="26" t="str">
        <f>IF(OR(H691&lt;'Descriptive Statistics'!$J$17,H691&gt;'Descriptive Statistics'!$J$18),"Potential Outlier","Within Range")</f>
        <v>Within Range</v>
      </c>
    </row>
    <row r="692" hidden="1" spans="1:19">
      <c r="A692" t="s">
        <v>2574</v>
      </c>
      <c r="B692" s="23">
        <v>45485</v>
      </c>
      <c r="C692" s="23" t="str">
        <f t="shared" si="20"/>
        <v>Jul</v>
      </c>
      <c r="D692" s="23" t="str">
        <f t="shared" si="21"/>
        <v>2024</v>
      </c>
      <c r="E692" t="s">
        <v>2575</v>
      </c>
      <c r="F692" s="24" t="s">
        <v>16</v>
      </c>
      <c r="G692" s="17">
        <v>1</v>
      </c>
      <c r="H692" s="19">
        <v>24.48</v>
      </c>
      <c r="I692" t="s">
        <v>181</v>
      </c>
      <c r="J692" s="24" t="s">
        <v>60</v>
      </c>
      <c r="K692" s="24" t="s">
        <v>43</v>
      </c>
      <c r="L692" t="s">
        <v>2576</v>
      </c>
      <c r="M692" s="17">
        <v>1</v>
      </c>
      <c r="N692" t="s">
        <v>4295</v>
      </c>
      <c r="O692" s="24" t="s">
        <v>22</v>
      </c>
      <c r="P692" s="19">
        <v>24.48</v>
      </c>
      <c r="Q692" s="26" t="str">
        <f>IF(OR(P692&lt;'Descriptive Statistics'!$H$17,P692&gt;'Descriptive Statistics'!$H$18),"Potential Outlier","Within Range")</f>
        <v>Within Range</v>
      </c>
      <c r="R692" s="26" t="str">
        <f>IF(OR(G692&lt;'Descriptive Statistics'!$I$17,G692&gt;'Descriptive Statistics'!$I$18),"Potential Outlier","Within Range")</f>
        <v>Within Range</v>
      </c>
      <c r="S692" s="26" t="str">
        <f>IF(OR(H692&lt;'Descriptive Statistics'!$J$17,H692&gt;'Descriptive Statistics'!$J$18),"Potential Outlier","Within Range")</f>
        <v>Within Range</v>
      </c>
    </row>
    <row r="693" hidden="1" spans="1:19">
      <c r="A693" t="s">
        <v>2577</v>
      </c>
      <c r="B693" s="23">
        <v>45620</v>
      </c>
      <c r="C693" s="23" t="str">
        <f t="shared" si="20"/>
        <v>Nov</v>
      </c>
      <c r="D693" s="23" t="str">
        <f t="shared" si="21"/>
        <v>2024</v>
      </c>
      <c r="E693" t="s">
        <v>2578</v>
      </c>
      <c r="F693" s="24" t="s">
        <v>58</v>
      </c>
      <c r="G693" s="17">
        <v>3</v>
      </c>
      <c r="H693" s="19">
        <v>239.08</v>
      </c>
      <c r="I693" t="s">
        <v>2579</v>
      </c>
      <c r="J693" s="24" t="s">
        <v>65</v>
      </c>
      <c r="K693" s="24" t="s">
        <v>19</v>
      </c>
      <c r="L693" t="s">
        <v>2580</v>
      </c>
      <c r="M693" s="17">
        <v>8</v>
      </c>
      <c r="N693" t="s">
        <v>4295</v>
      </c>
      <c r="O693" s="24" t="s">
        <v>76</v>
      </c>
      <c r="P693" s="19">
        <v>717.24</v>
      </c>
      <c r="Q693" s="26" t="str">
        <f>IF(OR(P693&lt;'Descriptive Statistics'!$H$17,P693&gt;'Descriptive Statistics'!$H$18),"Potential Outlier","Within Range")</f>
        <v>Within Range</v>
      </c>
      <c r="R693" s="26" t="str">
        <f>IF(OR(G693&lt;'Descriptive Statistics'!$I$17,G693&gt;'Descriptive Statistics'!$I$18),"Potential Outlier","Within Range")</f>
        <v>Within Range</v>
      </c>
      <c r="S693" s="26" t="str">
        <f>IF(OR(H693&lt;'Descriptive Statistics'!$J$17,H693&gt;'Descriptive Statistics'!$J$18),"Potential Outlier","Within Range")</f>
        <v>Within Range</v>
      </c>
    </row>
    <row r="694" hidden="1" spans="1:19">
      <c r="A694" t="s">
        <v>2581</v>
      </c>
      <c r="B694" s="23">
        <v>44949</v>
      </c>
      <c r="C694" s="23" t="str">
        <f t="shared" si="20"/>
        <v>Jan</v>
      </c>
      <c r="D694" s="23" t="str">
        <f t="shared" si="21"/>
        <v>2023</v>
      </c>
      <c r="E694" t="s">
        <v>2582</v>
      </c>
      <c r="F694" s="24" t="s">
        <v>73</v>
      </c>
      <c r="G694" s="17">
        <v>5</v>
      </c>
      <c r="H694" s="19">
        <v>196.84</v>
      </c>
      <c r="I694" t="s">
        <v>1560</v>
      </c>
      <c r="J694" s="24" t="s">
        <v>34</v>
      </c>
      <c r="K694" s="24" t="s">
        <v>50</v>
      </c>
      <c r="L694" t="s">
        <v>2583</v>
      </c>
      <c r="M694" s="17">
        <v>5</v>
      </c>
      <c r="N694" t="s">
        <v>81</v>
      </c>
      <c r="O694" s="24" t="s">
        <v>22</v>
      </c>
      <c r="P694" s="19">
        <v>984.2</v>
      </c>
      <c r="Q694" s="26" t="str">
        <f>IF(OR(P694&lt;'Descriptive Statistics'!$H$17,P694&gt;'Descriptive Statistics'!$H$18),"Potential Outlier","Within Range")</f>
        <v>Within Range</v>
      </c>
      <c r="R694" s="26" t="str">
        <f>IF(OR(G694&lt;'Descriptive Statistics'!$I$17,G694&gt;'Descriptive Statistics'!$I$18),"Potential Outlier","Within Range")</f>
        <v>Within Range</v>
      </c>
      <c r="S694" s="26" t="str">
        <f>IF(OR(H694&lt;'Descriptive Statistics'!$J$17,H694&gt;'Descriptive Statistics'!$J$18),"Potential Outlier","Within Range")</f>
        <v>Within Range</v>
      </c>
    </row>
    <row r="695" hidden="1" spans="1:19">
      <c r="A695" t="s">
        <v>2584</v>
      </c>
      <c r="B695" s="23">
        <v>45728</v>
      </c>
      <c r="C695" s="23" t="str">
        <f t="shared" si="20"/>
        <v>Mar</v>
      </c>
      <c r="D695" s="23" t="str">
        <f t="shared" si="21"/>
        <v>2025</v>
      </c>
      <c r="E695" t="s">
        <v>2585</v>
      </c>
      <c r="F695" s="24" t="s">
        <v>16</v>
      </c>
      <c r="G695" s="17">
        <v>1</v>
      </c>
      <c r="H695" s="19">
        <v>176.58</v>
      </c>
      <c r="I695" t="s">
        <v>2586</v>
      </c>
      <c r="J695" s="24" t="s">
        <v>18</v>
      </c>
      <c r="K695" s="24" t="s">
        <v>43</v>
      </c>
      <c r="L695" t="s">
        <v>2587</v>
      </c>
      <c r="M695" s="17">
        <v>4</v>
      </c>
      <c r="N695" t="s">
        <v>4295</v>
      </c>
      <c r="O695" s="24" t="s">
        <v>29</v>
      </c>
      <c r="P695" s="19">
        <v>176.58</v>
      </c>
      <c r="Q695" s="26" t="str">
        <f>IF(OR(P695&lt;'Descriptive Statistics'!$H$17,P695&gt;'Descriptive Statistics'!$H$18),"Potential Outlier","Within Range")</f>
        <v>Within Range</v>
      </c>
      <c r="R695" s="26" t="str">
        <f>IF(OR(G695&lt;'Descriptive Statistics'!$I$17,G695&gt;'Descriptive Statistics'!$I$18),"Potential Outlier","Within Range")</f>
        <v>Within Range</v>
      </c>
      <c r="S695" s="26" t="str">
        <f>IF(OR(H695&lt;'Descriptive Statistics'!$J$17,H695&gt;'Descriptive Statistics'!$J$18),"Potential Outlier","Within Range")</f>
        <v>Within Range</v>
      </c>
    </row>
    <row r="696" hidden="1" spans="1:19">
      <c r="A696" t="s">
        <v>2588</v>
      </c>
      <c r="B696" s="23">
        <v>45201</v>
      </c>
      <c r="C696" s="23" t="str">
        <f t="shared" si="20"/>
        <v>Oct</v>
      </c>
      <c r="D696" s="23" t="str">
        <f t="shared" si="21"/>
        <v>2023</v>
      </c>
      <c r="E696" t="s">
        <v>2589</v>
      </c>
      <c r="F696" s="24" t="s">
        <v>48</v>
      </c>
      <c r="G696" s="17">
        <v>4</v>
      </c>
      <c r="H696" s="19">
        <v>666.52</v>
      </c>
      <c r="I696" t="s">
        <v>1352</v>
      </c>
      <c r="J696" s="24" t="s">
        <v>65</v>
      </c>
      <c r="K696" s="24" t="s">
        <v>19</v>
      </c>
      <c r="L696" t="s">
        <v>2590</v>
      </c>
      <c r="M696" s="17">
        <v>8</v>
      </c>
      <c r="N696" t="s">
        <v>37</v>
      </c>
      <c r="O696" s="24" t="s">
        <v>38</v>
      </c>
      <c r="P696" s="19">
        <v>2666.08</v>
      </c>
      <c r="Q696" s="26" t="str">
        <f>IF(OR(P696&lt;'Descriptive Statistics'!$H$17,P696&gt;'Descriptive Statistics'!$H$18),"Potential Outlier","Within Range")</f>
        <v>Within Range</v>
      </c>
      <c r="R696" s="26" t="str">
        <f>IF(OR(G696&lt;'Descriptive Statistics'!$I$17,G696&gt;'Descriptive Statistics'!$I$18),"Potential Outlier","Within Range")</f>
        <v>Within Range</v>
      </c>
      <c r="S696" s="26" t="str">
        <f>IF(OR(H696&lt;'Descriptive Statistics'!$J$17,H696&gt;'Descriptive Statistics'!$J$18),"Potential Outlier","Within Range")</f>
        <v>Within Range</v>
      </c>
    </row>
    <row r="697" hidden="1" spans="1:19">
      <c r="A697" t="s">
        <v>2591</v>
      </c>
      <c r="B697" s="23">
        <v>45619</v>
      </c>
      <c r="C697" s="23" t="str">
        <f t="shared" si="20"/>
        <v>Nov</v>
      </c>
      <c r="D697" s="23" t="str">
        <f t="shared" si="21"/>
        <v>2024</v>
      </c>
      <c r="E697" t="s">
        <v>2592</v>
      </c>
      <c r="F697" s="24" t="s">
        <v>48</v>
      </c>
      <c r="G697" s="17">
        <v>5</v>
      </c>
      <c r="H697" s="19">
        <v>101.3</v>
      </c>
      <c r="I697" t="s">
        <v>727</v>
      </c>
      <c r="J697" s="24" t="s">
        <v>27</v>
      </c>
      <c r="K697" s="24" t="s">
        <v>19</v>
      </c>
      <c r="L697" t="s">
        <v>2593</v>
      </c>
      <c r="M697" s="17">
        <v>7</v>
      </c>
      <c r="N697" t="s">
        <v>37</v>
      </c>
      <c r="O697" s="24" t="s">
        <v>38</v>
      </c>
      <c r="P697" s="19">
        <v>506.5</v>
      </c>
      <c r="Q697" s="26" t="str">
        <f>IF(OR(P697&lt;'Descriptive Statistics'!$H$17,P697&gt;'Descriptive Statistics'!$H$18),"Potential Outlier","Within Range")</f>
        <v>Within Range</v>
      </c>
      <c r="R697" s="26" t="str">
        <f>IF(OR(G697&lt;'Descriptive Statistics'!$I$17,G697&gt;'Descriptive Statistics'!$I$18),"Potential Outlier","Within Range")</f>
        <v>Within Range</v>
      </c>
      <c r="S697" s="26" t="str">
        <f>IF(OR(H697&lt;'Descriptive Statistics'!$J$17,H697&gt;'Descriptive Statistics'!$J$18),"Potential Outlier","Within Range")</f>
        <v>Within Range</v>
      </c>
    </row>
    <row r="698" hidden="1" spans="1:19">
      <c r="A698" t="s">
        <v>2594</v>
      </c>
      <c r="B698" s="23">
        <v>45109</v>
      </c>
      <c r="C698" s="23" t="str">
        <f t="shared" si="20"/>
        <v>Jul</v>
      </c>
      <c r="D698" s="23" t="str">
        <f t="shared" si="21"/>
        <v>2023</v>
      </c>
      <c r="E698" t="s">
        <v>2595</v>
      </c>
      <c r="F698" s="24" t="s">
        <v>41</v>
      </c>
      <c r="G698" s="17">
        <v>4</v>
      </c>
      <c r="H698" s="19">
        <v>151.2</v>
      </c>
      <c r="I698" t="s">
        <v>2596</v>
      </c>
      <c r="J698" s="24" t="s">
        <v>60</v>
      </c>
      <c r="K698" s="24" t="s">
        <v>89</v>
      </c>
      <c r="L698" t="s">
        <v>2597</v>
      </c>
      <c r="M698" s="17">
        <v>9</v>
      </c>
      <c r="N698" t="s">
        <v>81</v>
      </c>
      <c r="O698" s="24" t="s">
        <v>45</v>
      </c>
      <c r="P698" s="19">
        <v>604.8</v>
      </c>
      <c r="Q698" s="26" t="str">
        <f>IF(OR(P698&lt;'Descriptive Statistics'!$H$17,P698&gt;'Descriptive Statistics'!$H$18),"Potential Outlier","Within Range")</f>
        <v>Within Range</v>
      </c>
      <c r="R698" s="26" t="str">
        <f>IF(OR(G698&lt;'Descriptive Statistics'!$I$17,G698&gt;'Descriptive Statistics'!$I$18),"Potential Outlier","Within Range")</f>
        <v>Within Range</v>
      </c>
      <c r="S698" s="26" t="str">
        <f>IF(OR(H698&lt;'Descriptive Statistics'!$J$17,H698&gt;'Descriptive Statistics'!$J$18),"Potential Outlier","Within Range")</f>
        <v>Within Range</v>
      </c>
    </row>
    <row r="699" hidden="1" spans="1:19">
      <c r="A699" t="s">
        <v>2598</v>
      </c>
      <c r="B699" s="23">
        <v>45692</v>
      </c>
      <c r="C699" s="23" t="str">
        <f t="shared" si="20"/>
        <v>Feb</v>
      </c>
      <c r="D699" s="23" t="str">
        <f t="shared" si="21"/>
        <v>2025</v>
      </c>
      <c r="E699" t="s">
        <v>2599</v>
      </c>
      <c r="F699" s="24" t="s">
        <v>48</v>
      </c>
      <c r="G699" s="17">
        <v>5</v>
      </c>
      <c r="H699" s="19">
        <v>94.85</v>
      </c>
      <c r="I699" t="s">
        <v>2294</v>
      </c>
      <c r="J699" s="24" t="s">
        <v>65</v>
      </c>
      <c r="K699" s="24" t="s">
        <v>19</v>
      </c>
      <c r="L699" t="s">
        <v>2600</v>
      </c>
      <c r="M699" s="17">
        <v>6</v>
      </c>
      <c r="N699" t="s">
        <v>81</v>
      </c>
      <c r="O699" s="24" t="s">
        <v>38</v>
      </c>
      <c r="P699" s="19">
        <v>474.25</v>
      </c>
      <c r="Q699" s="26" t="str">
        <f>IF(OR(P699&lt;'Descriptive Statistics'!$H$17,P699&gt;'Descriptive Statistics'!$H$18),"Potential Outlier","Within Range")</f>
        <v>Within Range</v>
      </c>
      <c r="R699" s="26" t="str">
        <f>IF(OR(G699&lt;'Descriptive Statistics'!$I$17,G699&gt;'Descriptive Statistics'!$I$18),"Potential Outlier","Within Range")</f>
        <v>Within Range</v>
      </c>
      <c r="S699" s="26" t="str">
        <f>IF(OR(H699&lt;'Descriptive Statistics'!$J$17,H699&gt;'Descriptive Statistics'!$J$18),"Potential Outlier","Within Range")</f>
        <v>Within Range</v>
      </c>
    </row>
    <row r="700" hidden="1" spans="1:19">
      <c r="A700" t="s">
        <v>2601</v>
      </c>
      <c r="B700" s="23">
        <v>44930</v>
      </c>
      <c r="C700" s="23" t="str">
        <f t="shared" si="20"/>
        <v>Jan</v>
      </c>
      <c r="D700" s="23" t="str">
        <f t="shared" si="21"/>
        <v>2023</v>
      </c>
      <c r="E700" t="s">
        <v>2602</v>
      </c>
      <c r="F700" s="24" t="s">
        <v>58</v>
      </c>
      <c r="G700" s="17">
        <v>2</v>
      </c>
      <c r="H700" s="19">
        <v>388.22</v>
      </c>
      <c r="I700" t="s">
        <v>1923</v>
      </c>
      <c r="J700" s="24" t="s">
        <v>65</v>
      </c>
      <c r="K700" s="24" t="s">
        <v>50</v>
      </c>
      <c r="L700" t="s">
        <v>2603</v>
      </c>
      <c r="M700" s="17">
        <v>2</v>
      </c>
      <c r="N700" t="s">
        <v>81</v>
      </c>
      <c r="O700" s="24" t="s">
        <v>22</v>
      </c>
      <c r="P700" s="19">
        <v>776.44</v>
      </c>
      <c r="Q700" s="26" t="str">
        <f>IF(OR(P700&lt;'Descriptive Statistics'!$H$17,P700&gt;'Descriptive Statistics'!$H$18),"Potential Outlier","Within Range")</f>
        <v>Within Range</v>
      </c>
      <c r="R700" s="26" t="str">
        <f>IF(OR(G700&lt;'Descriptive Statistics'!$I$17,G700&gt;'Descriptive Statistics'!$I$18),"Potential Outlier","Within Range")</f>
        <v>Within Range</v>
      </c>
      <c r="S700" s="26" t="str">
        <f>IF(OR(H700&lt;'Descriptive Statistics'!$J$17,H700&gt;'Descriptive Statistics'!$J$18),"Potential Outlier","Within Range")</f>
        <v>Within Range</v>
      </c>
    </row>
    <row r="701" hidden="1" spans="1:19">
      <c r="A701" t="s">
        <v>2604</v>
      </c>
      <c r="B701" s="23">
        <v>45243</v>
      </c>
      <c r="C701" s="23" t="str">
        <f t="shared" si="20"/>
        <v>Nov</v>
      </c>
      <c r="D701" s="23" t="str">
        <f t="shared" si="21"/>
        <v>2023</v>
      </c>
      <c r="E701" t="s">
        <v>2605</v>
      </c>
      <c r="F701" s="24" t="s">
        <v>58</v>
      </c>
      <c r="G701" s="17">
        <v>3</v>
      </c>
      <c r="H701" s="19">
        <v>614.15</v>
      </c>
      <c r="I701" t="s">
        <v>2606</v>
      </c>
      <c r="J701" s="24" t="s">
        <v>60</v>
      </c>
      <c r="K701" s="24" t="s">
        <v>35</v>
      </c>
      <c r="L701" t="s">
        <v>2607</v>
      </c>
      <c r="M701" s="17">
        <v>3</v>
      </c>
      <c r="N701" t="s">
        <v>4295</v>
      </c>
      <c r="O701" s="24" t="s">
        <v>45</v>
      </c>
      <c r="P701" s="19">
        <v>1842.45</v>
      </c>
      <c r="Q701" s="26" t="str">
        <f>IF(OR(P701&lt;'Descriptive Statistics'!$H$17,P701&gt;'Descriptive Statistics'!$H$18),"Potential Outlier","Within Range")</f>
        <v>Within Range</v>
      </c>
      <c r="R701" s="26" t="str">
        <f>IF(OR(G701&lt;'Descriptive Statistics'!$I$17,G701&gt;'Descriptive Statistics'!$I$18),"Potential Outlier","Within Range")</f>
        <v>Within Range</v>
      </c>
      <c r="S701" s="26" t="str">
        <f>IF(OR(H701&lt;'Descriptive Statistics'!$J$17,H701&gt;'Descriptive Statistics'!$J$18),"Potential Outlier","Within Range")</f>
        <v>Within Range</v>
      </c>
    </row>
    <row r="702" hidden="1" spans="1:19">
      <c r="A702" t="s">
        <v>2608</v>
      </c>
      <c r="B702" s="23">
        <v>45560</v>
      </c>
      <c r="C702" s="23" t="str">
        <f t="shared" si="20"/>
        <v>Sep</v>
      </c>
      <c r="D702" s="23" t="str">
        <f t="shared" si="21"/>
        <v>2024</v>
      </c>
      <c r="E702" t="s">
        <v>2609</v>
      </c>
      <c r="F702" s="24" t="s">
        <v>58</v>
      </c>
      <c r="G702" s="17">
        <v>2</v>
      </c>
      <c r="H702" s="19">
        <v>92.91</v>
      </c>
      <c r="I702" t="s">
        <v>2610</v>
      </c>
      <c r="J702" s="24" t="s">
        <v>65</v>
      </c>
      <c r="K702" s="24" t="s">
        <v>43</v>
      </c>
      <c r="L702" t="s">
        <v>2611</v>
      </c>
      <c r="M702" s="17">
        <v>3</v>
      </c>
      <c r="N702" t="s">
        <v>81</v>
      </c>
      <c r="O702" s="24" t="s">
        <v>22</v>
      </c>
      <c r="P702" s="19">
        <v>185.82</v>
      </c>
      <c r="Q702" s="26" t="str">
        <f>IF(OR(P702&lt;'Descriptive Statistics'!$H$17,P702&gt;'Descriptive Statistics'!$H$18),"Potential Outlier","Within Range")</f>
        <v>Within Range</v>
      </c>
      <c r="R702" s="26" t="str">
        <f>IF(OR(G702&lt;'Descriptive Statistics'!$I$17,G702&gt;'Descriptive Statistics'!$I$18),"Potential Outlier","Within Range")</f>
        <v>Within Range</v>
      </c>
      <c r="S702" s="26" t="str">
        <f>IF(OR(H702&lt;'Descriptive Statistics'!$J$17,H702&gt;'Descriptive Statistics'!$J$18),"Potential Outlier","Within Range")</f>
        <v>Within Range</v>
      </c>
    </row>
    <row r="703" hidden="1" spans="1:19">
      <c r="A703" t="s">
        <v>2612</v>
      </c>
      <c r="B703" s="23">
        <v>45466</v>
      </c>
      <c r="C703" s="23" t="str">
        <f t="shared" si="20"/>
        <v>Jun</v>
      </c>
      <c r="D703" s="23" t="str">
        <f t="shared" si="21"/>
        <v>2024</v>
      </c>
      <c r="E703" t="s">
        <v>2613</v>
      </c>
      <c r="F703" s="24" t="s">
        <v>16</v>
      </c>
      <c r="G703" s="17">
        <v>3</v>
      </c>
      <c r="H703" s="19">
        <v>92.22</v>
      </c>
      <c r="I703" t="s">
        <v>490</v>
      </c>
      <c r="J703" s="24" t="s">
        <v>34</v>
      </c>
      <c r="K703" s="24" t="s">
        <v>50</v>
      </c>
      <c r="L703" t="s">
        <v>2614</v>
      </c>
      <c r="M703" s="17">
        <v>5</v>
      </c>
      <c r="N703" t="s">
        <v>37</v>
      </c>
      <c r="O703" s="24" t="s">
        <v>38</v>
      </c>
      <c r="P703" s="19">
        <v>276.66</v>
      </c>
      <c r="Q703" s="26" t="str">
        <f>IF(OR(P703&lt;'Descriptive Statistics'!$H$17,P703&gt;'Descriptive Statistics'!$H$18),"Potential Outlier","Within Range")</f>
        <v>Within Range</v>
      </c>
      <c r="R703" s="26" t="str">
        <f>IF(OR(G703&lt;'Descriptive Statistics'!$I$17,G703&gt;'Descriptive Statistics'!$I$18),"Potential Outlier","Within Range")</f>
        <v>Within Range</v>
      </c>
      <c r="S703" s="26" t="str">
        <f>IF(OR(H703&lt;'Descriptive Statistics'!$J$17,H703&gt;'Descriptive Statistics'!$J$18),"Potential Outlier","Within Range")</f>
        <v>Within Range</v>
      </c>
    </row>
    <row r="704" hidden="1" spans="1:19">
      <c r="A704" t="s">
        <v>2615</v>
      </c>
      <c r="B704" s="23">
        <v>45452</v>
      </c>
      <c r="C704" s="23" t="str">
        <f t="shared" si="20"/>
        <v>Jun</v>
      </c>
      <c r="D704" s="23" t="str">
        <f t="shared" si="21"/>
        <v>2024</v>
      </c>
      <c r="E704" t="s">
        <v>2616</v>
      </c>
      <c r="F704" s="24" t="s">
        <v>48</v>
      </c>
      <c r="G704" s="17">
        <v>3</v>
      </c>
      <c r="H704" s="19">
        <v>562.55</v>
      </c>
      <c r="I704" t="s">
        <v>2311</v>
      </c>
      <c r="J704" s="24" t="s">
        <v>18</v>
      </c>
      <c r="K704" s="24" t="s">
        <v>43</v>
      </c>
      <c r="L704" t="s">
        <v>2617</v>
      </c>
      <c r="M704" s="17">
        <v>6</v>
      </c>
      <c r="N704" t="s">
        <v>4295</v>
      </c>
      <c r="O704" s="24" t="s">
        <v>38</v>
      </c>
      <c r="P704" s="19">
        <v>1687.65</v>
      </c>
      <c r="Q704" s="26" t="str">
        <f>IF(OR(P704&lt;'Descriptive Statistics'!$H$17,P704&gt;'Descriptive Statistics'!$H$18),"Potential Outlier","Within Range")</f>
        <v>Within Range</v>
      </c>
      <c r="R704" s="26" t="str">
        <f>IF(OR(G704&lt;'Descriptive Statistics'!$I$17,G704&gt;'Descriptive Statistics'!$I$18),"Potential Outlier","Within Range")</f>
        <v>Within Range</v>
      </c>
      <c r="S704" s="26" t="str">
        <f>IF(OR(H704&lt;'Descriptive Statistics'!$J$17,H704&gt;'Descriptive Statistics'!$J$18),"Potential Outlier","Within Range")</f>
        <v>Within Range</v>
      </c>
    </row>
    <row r="705" hidden="1" spans="1:19">
      <c r="A705" t="s">
        <v>2618</v>
      </c>
      <c r="B705" s="23">
        <v>45007</v>
      </c>
      <c r="C705" s="23" t="str">
        <f t="shared" si="20"/>
        <v>Mar</v>
      </c>
      <c r="D705" s="23" t="str">
        <f t="shared" si="21"/>
        <v>2023</v>
      </c>
      <c r="E705" t="s">
        <v>2619</v>
      </c>
      <c r="F705" s="24" t="s">
        <v>73</v>
      </c>
      <c r="G705" s="17">
        <v>1</v>
      </c>
      <c r="H705" s="19">
        <v>92.79</v>
      </c>
      <c r="I705" t="s">
        <v>2620</v>
      </c>
      <c r="J705" s="24" t="s">
        <v>65</v>
      </c>
      <c r="K705" s="24" t="s">
        <v>89</v>
      </c>
      <c r="L705" t="s">
        <v>2621</v>
      </c>
      <c r="M705" s="17">
        <v>3</v>
      </c>
      <c r="N705" t="s">
        <v>81</v>
      </c>
      <c r="O705" s="24" t="s">
        <v>38</v>
      </c>
      <c r="P705" s="19">
        <v>92.79</v>
      </c>
      <c r="Q705" s="26" t="str">
        <f>IF(OR(P705&lt;'Descriptive Statistics'!$H$17,P705&gt;'Descriptive Statistics'!$H$18),"Potential Outlier","Within Range")</f>
        <v>Within Range</v>
      </c>
      <c r="R705" s="26" t="str">
        <f>IF(OR(G705&lt;'Descriptive Statistics'!$I$17,G705&gt;'Descriptive Statistics'!$I$18),"Potential Outlier","Within Range")</f>
        <v>Within Range</v>
      </c>
      <c r="S705" s="26" t="str">
        <f>IF(OR(H705&lt;'Descriptive Statistics'!$J$17,H705&gt;'Descriptive Statistics'!$J$18),"Potential Outlier","Within Range")</f>
        <v>Within Range</v>
      </c>
    </row>
    <row r="706" hidden="1" spans="1:19">
      <c r="A706" t="s">
        <v>2622</v>
      </c>
      <c r="B706" s="23">
        <v>45080</v>
      </c>
      <c r="C706" s="23" t="str">
        <f t="shared" ref="C706:C769" si="22">TEXT(B706,"MMM")</f>
        <v>Jun</v>
      </c>
      <c r="D706" s="23" t="str">
        <f t="shared" ref="D706:D769" si="23">TEXT(B706,"YYYY")</f>
        <v>2023</v>
      </c>
      <c r="E706" t="s">
        <v>2623</v>
      </c>
      <c r="F706" s="24" t="s">
        <v>73</v>
      </c>
      <c r="G706" s="17">
        <v>4</v>
      </c>
      <c r="H706" s="19">
        <v>30.27</v>
      </c>
      <c r="I706" t="s">
        <v>663</v>
      </c>
      <c r="J706" s="24" t="s">
        <v>27</v>
      </c>
      <c r="K706" s="24" t="s">
        <v>50</v>
      </c>
      <c r="L706" t="s">
        <v>2624</v>
      </c>
      <c r="M706" s="17">
        <v>9</v>
      </c>
      <c r="N706" t="s">
        <v>37</v>
      </c>
      <c r="O706" s="24" t="s">
        <v>76</v>
      </c>
      <c r="P706" s="19">
        <v>121.08</v>
      </c>
      <c r="Q706" s="26" t="str">
        <f>IF(OR(P706&lt;'Descriptive Statistics'!$H$17,P706&gt;'Descriptive Statistics'!$H$18),"Potential Outlier","Within Range")</f>
        <v>Within Range</v>
      </c>
      <c r="R706" s="26" t="str">
        <f>IF(OR(G706&lt;'Descriptive Statistics'!$I$17,G706&gt;'Descriptive Statistics'!$I$18),"Potential Outlier","Within Range")</f>
        <v>Within Range</v>
      </c>
      <c r="S706" s="26" t="str">
        <f>IF(OR(H706&lt;'Descriptive Statistics'!$J$17,H706&gt;'Descriptive Statistics'!$J$18),"Potential Outlier","Within Range")</f>
        <v>Within Range</v>
      </c>
    </row>
    <row r="707" hidden="1" spans="1:19">
      <c r="A707" t="s">
        <v>2625</v>
      </c>
      <c r="B707" s="23">
        <v>45746</v>
      </c>
      <c r="C707" s="23" t="str">
        <f t="shared" si="22"/>
        <v>Mar</v>
      </c>
      <c r="D707" s="23" t="str">
        <f t="shared" si="23"/>
        <v>2025</v>
      </c>
      <c r="E707" t="s">
        <v>2626</v>
      </c>
      <c r="F707" s="24" t="s">
        <v>16</v>
      </c>
      <c r="G707" s="17">
        <v>2</v>
      </c>
      <c r="H707" s="19">
        <v>49.08</v>
      </c>
      <c r="I707" t="s">
        <v>2627</v>
      </c>
      <c r="J707" s="24" t="s">
        <v>18</v>
      </c>
      <c r="K707" s="24" t="s">
        <v>43</v>
      </c>
      <c r="L707" t="s">
        <v>2628</v>
      </c>
      <c r="M707" s="17">
        <v>7</v>
      </c>
      <c r="N707" t="s">
        <v>37</v>
      </c>
      <c r="O707" s="24" t="s">
        <v>22</v>
      </c>
      <c r="P707" s="19">
        <v>98.16</v>
      </c>
      <c r="Q707" s="26" t="str">
        <f>IF(OR(P707&lt;'Descriptive Statistics'!$H$17,P707&gt;'Descriptive Statistics'!$H$18),"Potential Outlier","Within Range")</f>
        <v>Within Range</v>
      </c>
      <c r="R707" s="26" t="str">
        <f>IF(OR(G707&lt;'Descriptive Statistics'!$I$17,G707&gt;'Descriptive Statistics'!$I$18),"Potential Outlier","Within Range")</f>
        <v>Within Range</v>
      </c>
      <c r="S707" s="26" t="str">
        <f>IF(OR(H707&lt;'Descriptive Statistics'!$J$17,H707&gt;'Descriptive Statistics'!$J$18),"Potential Outlier","Within Range")</f>
        <v>Within Range</v>
      </c>
    </row>
    <row r="708" hidden="1" spans="1:19">
      <c r="A708" t="s">
        <v>2629</v>
      </c>
      <c r="B708" s="23">
        <v>45718</v>
      </c>
      <c r="C708" s="23" t="str">
        <f t="shared" si="22"/>
        <v>Mar</v>
      </c>
      <c r="D708" s="23" t="str">
        <f t="shared" si="23"/>
        <v>2025</v>
      </c>
      <c r="E708" t="s">
        <v>2630</v>
      </c>
      <c r="F708" s="24" t="s">
        <v>73</v>
      </c>
      <c r="G708" s="17">
        <v>5</v>
      </c>
      <c r="H708" s="19">
        <v>228.09</v>
      </c>
      <c r="I708" t="s">
        <v>1470</v>
      </c>
      <c r="J708" s="24" t="s">
        <v>60</v>
      </c>
      <c r="K708" s="24" t="s">
        <v>43</v>
      </c>
      <c r="L708" t="s">
        <v>2631</v>
      </c>
      <c r="M708" s="17">
        <v>9</v>
      </c>
      <c r="N708" t="s">
        <v>37</v>
      </c>
      <c r="O708" s="24" t="s">
        <v>45</v>
      </c>
      <c r="P708" s="19">
        <v>1140.45</v>
      </c>
      <c r="Q708" s="26" t="str">
        <f>IF(OR(P708&lt;'Descriptive Statistics'!$H$17,P708&gt;'Descriptive Statistics'!$H$18),"Potential Outlier","Within Range")</f>
        <v>Within Range</v>
      </c>
      <c r="R708" s="26" t="str">
        <f>IF(OR(G708&lt;'Descriptive Statistics'!$I$17,G708&gt;'Descriptive Statistics'!$I$18),"Potential Outlier","Within Range")</f>
        <v>Within Range</v>
      </c>
      <c r="S708" s="26" t="str">
        <f>IF(OR(H708&lt;'Descriptive Statistics'!$J$17,H708&gt;'Descriptive Statistics'!$J$18),"Potential Outlier","Within Range")</f>
        <v>Within Range</v>
      </c>
    </row>
    <row r="709" hidden="1" spans="1:19">
      <c r="A709" t="s">
        <v>2632</v>
      </c>
      <c r="B709" s="23">
        <v>45597</v>
      </c>
      <c r="C709" s="23" t="str">
        <f t="shared" si="22"/>
        <v>Nov</v>
      </c>
      <c r="D709" s="23" t="str">
        <f t="shared" si="23"/>
        <v>2024</v>
      </c>
      <c r="E709" t="s">
        <v>2633</v>
      </c>
      <c r="F709" s="24" t="s">
        <v>41</v>
      </c>
      <c r="G709" s="17">
        <v>4</v>
      </c>
      <c r="H709" s="19">
        <v>650.04</v>
      </c>
      <c r="I709" t="s">
        <v>367</v>
      </c>
      <c r="J709" s="24" t="s">
        <v>60</v>
      </c>
      <c r="K709" s="24" t="s">
        <v>35</v>
      </c>
      <c r="L709" t="s">
        <v>2634</v>
      </c>
      <c r="M709" s="17">
        <v>6</v>
      </c>
      <c r="N709" t="s">
        <v>21</v>
      </c>
      <c r="O709" s="24" t="s">
        <v>45</v>
      </c>
      <c r="P709" s="19">
        <v>2600.16</v>
      </c>
      <c r="Q709" s="26" t="str">
        <f>IF(OR(P709&lt;'Descriptive Statistics'!$H$17,P709&gt;'Descriptive Statistics'!$H$18),"Potential Outlier","Within Range")</f>
        <v>Within Range</v>
      </c>
      <c r="R709" s="26" t="str">
        <f>IF(OR(G709&lt;'Descriptive Statistics'!$I$17,G709&gt;'Descriptive Statistics'!$I$18),"Potential Outlier","Within Range")</f>
        <v>Within Range</v>
      </c>
      <c r="S709" s="26" t="str">
        <f>IF(OR(H709&lt;'Descriptive Statistics'!$J$17,H709&gt;'Descriptive Statistics'!$J$18),"Potential Outlier","Within Range")</f>
        <v>Within Range</v>
      </c>
    </row>
    <row r="710" hidden="1" spans="1:19">
      <c r="A710" t="s">
        <v>2635</v>
      </c>
      <c r="B710" s="23">
        <v>45720</v>
      </c>
      <c r="C710" s="23" t="str">
        <f t="shared" si="22"/>
        <v>Mar</v>
      </c>
      <c r="D710" s="23" t="str">
        <f t="shared" si="23"/>
        <v>2025</v>
      </c>
      <c r="E710" t="s">
        <v>2636</v>
      </c>
      <c r="F710" s="24" t="s">
        <v>48</v>
      </c>
      <c r="G710" s="17">
        <v>1</v>
      </c>
      <c r="H710" s="19">
        <v>665.11</v>
      </c>
      <c r="I710" t="s">
        <v>2294</v>
      </c>
      <c r="J710" s="24" t="s">
        <v>65</v>
      </c>
      <c r="K710" s="24" t="s">
        <v>89</v>
      </c>
      <c r="L710" t="s">
        <v>2637</v>
      </c>
      <c r="M710" s="17">
        <v>3</v>
      </c>
      <c r="N710" t="s">
        <v>37</v>
      </c>
      <c r="O710" s="24" t="s">
        <v>22</v>
      </c>
      <c r="P710" s="19">
        <v>665.11</v>
      </c>
      <c r="Q710" s="26" t="str">
        <f>IF(OR(P710&lt;'Descriptive Statistics'!$H$17,P710&gt;'Descriptive Statistics'!$H$18),"Potential Outlier","Within Range")</f>
        <v>Within Range</v>
      </c>
      <c r="R710" s="26" t="str">
        <f>IF(OR(G710&lt;'Descriptive Statistics'!$I$17,G710&gt;'Descriptive Statistics'!$I$18),"Potential Outlier","Within Range")</f>
        <v>Within Range</v>
      </c>
      <c r="S710" s="26" t="str">
        <f>IF(OR(H710&lt;'Descriptive Statistics'!$J$17,H710&gt;'Descriptive Statistics'!$J$18),"Potential Outlier","Within Range")</f>
        <v>Within Range</v>
      </c>
    </row>
    <row r="711" hidden="1" spans="1:19">
      <c r="A711" t="s">
        <v>2638</v>
      </c>
      <c r="B711" s="23">
        <v>45633</v>
      </c>
      <c r="C711" s="23" t="str">
        <f t="shared" si="22"/>
        <v>Dec</v>
      </c>
      <c r="D711" s="23" t="str">
        <f t="shared" si="23"/>
        <v>2024</v>
      </c>
      <c r="E711" t="s">
        <v>2639</v>
      </c>
      <c r="F711" s="24" t="s">
        <v>73</v>
      </c>
      <c r="G711" s="17">
        <v>1</v>
      </c>
      <c r="H711" s="19">
        <v>386.03</v>
      </c>
      <c r="I711" t="s">
        <v>2640</v>
      </c>
      <c r="J711" s="24" t="s">
        <v>27</v>
      </c>
      <c r="K711" s="24" t="s">
        <v>89</v>
      </c>
      <c r="L711" t="s">
        <v>2641</v>
      </c>
      <c r="M711" s="17">
        <v>4</v>
      </c>
      <c r="N711" t="s">
        <v>37</v>
      </c>
      <c r="O711" s="24" t="s">
        <v>76</v>
      </c>
      <c r="P711" s="19">
        <v>386.03</v>
      </c>
      <c r="Q711" s="26" t="str">
        <f>IF(OR(P711&lt;'Descriptive Statistics'!$H$17,P711&gt;'Descriptive Statistics'!$H$18),"Potential Outlier","Within Range")</f>
        <v>Within Range</v>
      </c>
      <c r="R711" s="26" t="str">
        <f>IF(OR(G711&lt;'Descriptive Statistics'!$I$17,G711&gt;'Descriptive Statistics'!$I$18),"Potential Outlier","Within Range")</f>
        <v>Within Range</v>
      </c>
      <c r="S711" s="26" t="str">
        <f>IF(OR(H711&lt;'Descriptive Statistics'!$J$17,H711&gt;'Descriptive Statistics'!$J$18),"Potential Outlier","Within Range")</f>
        <v>Within Range</v>
      </c>
    </row>
    <row r="712" hidden="1" spans="1:19">
      <c r="A712" t="s">
        <v>2642</v>
      </c>
      <c r="B712" s="23">
        <v>45495</v>
      </c>
      <c r="C712" s="23" t="str">
        <f t="shared" si="22"/>
        <v>Jul</v>
      </c>
      <c r="D712" s="23" t="str">
        <f t="shared" si="23"/>
        <v>2024</v>
      </c>
      <c r="E712" t="s">
        <v>2643</v>
      </c>
      <c r="F712" s="24" t="s">
        <v>58</v>
      </c>
      <c r="G712" s="17">
        <v>5</v>
      </c>
      <c r="H712" s="19">
        <v>21.54</v>
      </c>
      <c r="I712" t="s">
        <v>2644</v>
      </c>
      <c r="J712" s="24" t="s">
        <v>60</v>
      </c>
      <c r="K712" s="24" t="s">
        <v>43</v>
      </c>
      <c r="L712" t="s">
        <v>2645</v>
      </c>
      <c r="M712" s="17">
        <v>10</v>
      </c>
      <c r="N712" t="s">
        <v>4295</v>
      </c>
      <c r="O712" s="24" t="s">
        <v>76</v>
      </c>
      <c r="P712" s="19">
        <v>107.7</v>
      </c>
      <c r="Q712" s="26" t="str">
        <f>IF(OR(P712&lt;'Descriptive Statistics'!$H$17,P712&gt;'Descriptive Statistics'!$H$18),"Potential Outlier","Within Range")</f>
        <v>Within Range</v>
      </c>
      <c r="R712" s="26" t="str">
        <f>IF(OR(G712&lt;'Descriptive Statistics'!$I$17,G712&gt;'Descriptive Statistics'!$I$18),"Potential Outlier","Within Range")</f>
        <v>Within Range</v>
      </c>
      <c r="S712" s="26" t="str">
        <f>IF(OR(H712&lt;'Descriptive Statistics'!$J$17,H712&gt;'Descriptive Statistics'!$J$18),"Potential Outlier","Within Range")</f>
        <v>Within Range</v>
      </c>
    </row>
    <row r="713" hidden="1" spans="1:19">
      <c r="A713" t="s">
        <v>2646</v>
      </c>
      <c r="B713" s="23">
        <v>45477</v>
      </c>
      <c r="C713" s="23" t="str">
        <f t="shared" si="22"/>
        <v>Jul</v>
      </c>
      <c r="D713" s="23" t="str">
        <f t="shared" si="23"/>
        <v>2024</v>
      </c>
      <c r="E713" t="s">
        <v>2647</v>
      </c>
      <c r="F713" s="24" t="s">
        <v>32</v>
      </c>
      <c r="G713" s="17">
        <v>2</v>
      </c>
      <c r="H713" s="19">
        <v>475.78</v>
      </c>
      <c r="I713" t="s">
        <v>2648</v>
      </c>
      <c r="J713" s="24" t="s">
        <v>27</v>
      </c>
      <c r="K713" s="24" t="s">
        <v>19</v>
      </c>
      <c r="L713" t="s">
        <v>2649</v>
      </c>
      <c r="M713" s="17">
        <v>2</v>
      </c>
      <c r="N713" t="s">
        <v>81</v>
      </c>
      <c r="O713" s="24" t="s">
        <v>76</v>
      </c>
      <c r="P713" s="19">
        <v>951.56</v>
      </c>
      <c r="Q713" s="26" t="str">
        <f>IF(OR(P713&lt;'Descriptive Statistics'!$H$17,P713&gt;'Descriptive Statistics'!$H$18),"Potential Outlier","Within Range")</f>
        <v>Within Range</v>
      </c>
      <c r="R713" s="26" t="str">
        <f>IF(OR(G713&lt;'Descriptive Statistics'!$I$17,G713&gt;'Descriptive Statistics'!$I$18),"Potential Outlier","Within Range")</f>
        <v>Within Range</v>
      </c>
      <c r="S713" s="26" t="str">
        <f>IF(OR(H713&lt;'Descriptive Statistics'!$J$17,H713&gt;'Descriptive Statistics'!$J$18),"Potential Outlier","Within Range")</f>
        <v>Within Range</v>
      </c>
    </row>
    <row r="714" hidden="1" spans="1:19">
      <c r="A714" t="s">
        <v>2650</v>
      </c>
      <c r="B714" s="23">
        <v>45300</v>
      </c>
      <c r="C714" s="23" t="str">
        <f t="shared" si="22"/>
        <v>Jan</v>
      </c>
      <c r="D714" s="23" t="str">
        <f t="shared" si="23"/>
        <v>2024</v>
      </c>
      <c r="E714" t="s">
        <v>2119</v>
      </c>
      <c r="F714" s="24" t="s">
        <v>32</v>
      </c>
      <c r="G714" s="17">
        <v>2</v>
      </c>
      <c r="H714" s="19">
        <v>68.4</v>
      </c>
      <c r="I714" t="s">
        <v>2651</v>
      </c>
      <c r="J714" s="24" t="s">
        <v>60</v>
      </c>
      <c r="K714" s="24" t="s">
        <v>89</v>
      </c>
      <c r="L714" t="s">
        <v>2652</v>
      </c>
      <c r="M714" s="17">
        <v>7</v>
      </c>
      <c r="N714" t="s">
        <v>37</v>
      </c>
      <c r="O714" s="24" t="s">
        <v>38</v>
      </c>
      <c r="P714" s="19">
        <v>136.8</v>
      </c>
      <c r="Q714" s="26" t="str">
        <f>IF(OR(P714&lt;'Descriptive Statistics'!$H$17,P714&gt;'Descriptive Statistics'!$H$18),"Potential Outlier","Within Range")</f>
        <v>Within Range</v>
      </c>
      <c r="R714" s="26" t="str">
        <f>IF(OR(G714&lt;'Descriptive Statistics'!$I$17,G714&gt;'Descriptive Statistics'!$I$18),"Potential Outlier","Within Range")</f>
        <v>Within Range</v>
      </c>
      <c r="S714" s="26" t="str">
        <f>IF(OR(H714&lt;'Descriptive Statistics'!$J$17,H714&gt;'Descriptive Statistics'!$J$18),"Potential Outlier","Within Range")</f>
        <v>Within Range</v>
      </c>
    </row>
    <row r="715" hidden="1" spans="1:19">
      <c r="A715" t="s">
        <v>2653</v>
      </c>
      <c r="B715" s="23">
        <v>45829</v>
      </c>
      <c r="C715" s="23" t="str">
        <f t="shared" si="22"/>
        <v>Jun</v>
      </c>
      <c r="D715" s="23" t="str">
        <f t="shared" si="23"/>
        <v>2025</v>
      </c>
      <c r="E715" t="s">
        <v>2654</v>
      </c>
      <c r="F715" s="24" t="s">
        <v>32</v>
      </c>
      <c r="G715" s="17">
        <v>4</v>
      </c>
      <c r="H715" s="19">
        <v>532.49</v>
      </c>
      <c r="I715" t="s">
        <v>2557</v>
      </c>
      <c r="J715" s="24" t="s">
        <v>27</v>
      </c>
      <c r="K715" s="24" t="s">
        <v>35</v>
      </c>
      <c r="L715" t="s">
        <v>2655</v>
      </c>
      <c r="M715" s="17">
        <v>6</v>
      </c>
      <c r="N715" t="s">
        <v>21</v>
      </c>
      <c r="O715" s="24" t="s">
        <v>45</v>
      </c>
      <c r="P715" s="19">
        <v>2129.96</v>
      </c>
      <c r="Q715" s="26" t="str">
        <f>IF(OR(P715&lt;'Descriptive Statistics'!$H$17,P715&gt;'Descriptive Statistics'!$H$18),"Potential Outlier","Within Range")</f>
        <v>Within Range</v>
      </c>
      <c r="R715" s="26" t="str">
        <f>IF(OR(G715&lt;'Descriptive Statistics'!$I$17,G715&gt;'Descriptive Statistics'!$I$18),"Potential Outlier","Within Range")</f>
        <v>Within Range</v>
      </c>
      <c r="S715" s="26" t="str">
        <f>IF(OR(H715&lt;'Descriptive Statistics'!$J$17,H715&gt;'Descriptive Statistics'!$J$18),"Potential Outlier","Within Range")</f>
        <v>Within Range</v>
      </c>
    </row>
    <row r="716" hidden="1" spans="1:19">
      <c r="A716" t="s">
        <v>2656</v>
      </c>
      <c r="B716" s="23">
        <v>45037</v>
      </c>
      <c r="C716" s="23" t="str">
        <f t="shared" si="22"/>
        <v>Apr</v>
      </c>
      <c r="D716" s="23" t="str">
        <f t="shared" si="23"/>
        <v>2023</v>
      </c>
      <c r="E716" t="s">
        <v>2657</v>
      </c>
      <c r="F716" s="24" t="s">
        <v>58</v>
      </c>
      <c r="G716" s="17">
        <v>1</v>
      </c>
      <c r="H716" s="19">
        <v>51.73</v>
      </c>
      <c r="I716" t="s">
        <v>1176</v>
      </c>
      <c r="J716" s="24" t="s">
        <v>18</v>
      </c>
      <c r="K716" s="24" t="s">
        <v>89</v>
      </c>
      <c r="L716" t="s">
        <v>2658</v>
      </c>
      <c r="M716" s="17">
        <v>1</v>
      </c>
      <c r="N716" t="s">
        <v>37</v>
      </c>
      <c r="O716" s="24" t="s">
        <v>45</v>
      </c>
      <c r="P716" s="19">
        <v>51.73</v>
      </c>
      <c r="Q716" s="26" t="str">
        <f>IF(OR(P716&lt;'Descriptive Statistics'!$H$17,P716&gt;'Descriptive Statistics'!$H$18),"Potential Outlier","Within Range")</f>
        <v>Within Range</v>
      </c>
      <c r="R716" s="26" t="str">
        <f>IF(OR(G716&lt;'Descriptive Statistics'!$I$17,G716&gt;'Descriptive Statistics'!$I$18),"Potential Outlier","Within Range")</f>
        <v>Within Range</v>
      </c>
      <c r="S716" s="26" t="str">
        <f>IF(OR(H716&lt;'Descriptive Statistics'!$J$17,H716&gt;'Descriptive Statistics'!$J$18),"Potential Outlier","Within Range")</f>
        <v>Within Range</v>
      </c>
    </row>
    <row r="717" hidden="1" spans="1:19">
      <c r="A717" t="s">
        <v>2659</v>
      </c>
      <c r="B717" s="23">
        <v>45499</v>
      </c>
      <c r="C717" s="23" t="str">
        <f t="shared" si="22"/>
        <v>Jul</v>
      </c>
      <c r="D717" s="23" t="str">
        <f t="shared" si="23"/>
        <v>2024</v>
      </c>
      <c r="E717" t="s">
        <v>2660</v>
      </c>
      <c r="F717" s="24" t="s">
        <v>48</v>
      </c>
      <c r="G717" s="17">
        <v>3</v>
      </c>
      <c r="H717" s="19">
        <v>653.63</v>
      </c>
      <c r="I717" t="s">
        <v>2661</v>
      </c>
      <c r="J717" s="24" t="s">
        <v>27</v>
      </c>
      <c r="K717" s="24" t="s">
        <v>50</v>
      </c>
      <c r="L717" t="s">
        <v>2662</v>
      </c>
      <c r="M717" s="17">
        <v>7</v>
      </c>
      <c r="N717" t="s">
        <v>37</v>
      </c>
      <c r="O717" s="24" t="s">
        <v>38</v>
      </c>
      <c r="P717" s="19">
        <v>1960.89</v>
      </c>
      <c r="Q717" s="26" t="str">
        <f>IF(OR(P717&lt;'Descriptive Statistics'!$H$17,P717&gt;'Descriptive Statistics'!$H$18),"Potential Outlier","Within Range")</f>
        <v>Within Range</v>
      </c>
      <c r="R717" s="26" t="str">
        <f>IF(OR(G717&lt;'Descriptive Statistics'!$I$17,G717&gt;'Descriptive Statistics'!$I$18),"Potential Outlier","Within Range")</f>
        <v>Within Range</v>
      </c>
      <c r="S717" s="26" t="str">
        <f>IF(OR(H717&lt;'Descriptive Statistics'!$J$17,H717&gt;'Descriptive Statistics'!$J$18),"Potential Outlier","Within Range")</f>
        <v>Within Range</v>
      </c>
    </row>
    <row r="718" hidden="1" spans="1:19">
      <c r="A718" t="s">
        <v>2663</v>
      </c>
      <c r="B718" s="23">
        <v>45456</v>
      </c>
      <c r="C718" s="23" t="str">
        <f t="shared" si="22"/>
        <v>Jun</v>
      </c>
      <c r="D718" s="23" t="str">
        <f t="shared" si="23"/>
        <v>2024</v>
      </c>
      <c r="E718" t="s">
        <v>2664</v>
      </c>
      <c r="F718" s="24" t="s">
        <v>41</v>
      </c>
      <c r="G718" s="17">
        <v>3</v>
      </c>
      <c r="H718" s="19">
        <v>454.29</v>
      </c>
      <c r="I718" t="s">
        <v>113</v>
      </c>
      <c r="J718" s="24" t="s">
        <v>34</v>
      </c>
      <c r="K718" s="24" t="s">
        <v>89</v>
      </c>
      <c r="L718" t="s">
        <v>2665</v>
      </c>
      <c r="M718" s="17">
        <v>4</v>
      </c>
      <c r="N718" t="s">
        <v>81</v>
      </c>
      <c r="O718" s="24" t="s">
        <v>76</v>
      </c>
      <c r="P718" s="19">
        <v>1362.87</v>
      </c>
      <c r="Q718" s="26" t="str">
        <f>IF(OR(P718&lt;'Descriptive Statistics'!$H$17,P718&gt;'Descriptive Statistics'!$H$18),"Potential Outlier","Within Range")</f>
        <v>Within Range</v>
      </c>
      <c r="R718" s="26" t="str">
        <f>IF(OR(G718&lt;'Descriptive Statistics'!$I$17,G718&gt;'Descriptive Statistics'!$I$18),"Potential Outlier","Within Range")</f>
        <v>Within Range</v>
      </c>
      <c r="S718" s="26" t="str">
        <f>IF(OR(H718&lt;'Descriptive Statistics'!$J$17,H718&gt;'Descriptive Statistics'!$J$18),"Potential Outlier","Within Range")</f>
        <v>Within Range</v>
      </c>
    </row>
    <row r="719" hidden="1" spans="1:19">
      <c r="A719" t="s">
        <v>2666</v>
      </c>
      <c r="B719" s="23">
        <v>45215</v>
      </c>
      <c r="C719" s="23" t="str">
        <f t="shared" si="22"/>
        <v>Oct</v>
      </c>
      <c r="D719" s="23" t="str">
        <f t="shared" si="23"/>
        <v>2023</v>
      </c>
      <c r="E719" t="s">
        <v>2667</v>
      </c>
      <c r="F719" s="24" t="s">
        <v>41</v>
      </c>
      <c r="G719" s="17">
        <v>3</v>
      </c>
      <c r="H719" s="19">
        <v>122.11</v>
      </c>
      <c r="I719" t="s">
        <v>2668</v>
      </c>
      <c r="J719" s="24" t="s">
        <v>27</v>
      </c>
      <c r="K719" s="24" t="s">
        <v>50</v>
      </c>
      <c r="L719" t="s">
        <v>2669</v>
      </c>
      <c r="M719" s="17">
        <v>4</v>
      </c>
      <c r="N719" t="s">
        <v>81</v>
      </c>
      <c r="O719" s="24" t="s">
        <v>38</v>
      </c>
      <c r="P719" s="19">
        <v>366.33</v>
      </c>
      <c r="Q719" s="26" t="str">
        <f>IF(OR(P719&lt;'Descriptive Statistics'!$H$17,P719&gt;'Descriptive Statistics'!$H$18),"Potential Outlier","Within Range")</f>
        <v>Within Range</v>
      </c>
      <c r="R719" s="26" t="str">
        <f>IF(OR(G719&lt;'Descriptive Statistics'!$I$17,G719&gt;'Descriptive Statistics'!$I$18),"Potential Outlier","Within Range")</f>
        <v>Within Range</v>
      </c>
      <c r="S719" s="26" t="str">
        <f>IF(OR(H719&lt;'Descriptive Statistics'!$J$17,H719&gt;'Descriptive Statistics'!$J$18),"Potential Outlier","Within Range")</f>
        <v>Within Range</v>
      </c>
    </row>
    <row r="720" hidden="1" spans="1:19">
      <c r="A720" t="s">
        <v>2670</v>
      </c>
      <c r="B720" s="23">
        <v>45024</v>
      </c>
      <c r="C720" s="23" t="str">
        <f t="shared" si="22"/>
        <v>Apr</v>
      </c>
      <c r="D720" s="23" t="str">
        <f t="shared" si="23"/>
        <v>2023</v>
      </c>
      <c r="E720" t="s">
        <v>2671</v>
      </c>
      <c r="F720" s="24" t="s">
        <v>58</v>
      </c>
      <c r="G720" s="17">
        <v>4</v>
      </c>
      <c r="H720" s="19">
        <v>64.74</v>
      </c>
      <c r="I720" t="s">
        <v>2672</v>
      </c>
      <c r="J720" s="24" t="s">
        <v>60</v>
      </c>
      <c r="K720" s="24" t="s">
        <v>35</v>
      </c>
      <c r="L720" t="s">
        <v>2673</v>
      </c>
      <c r="M720" s="17">
        <v>8</v>
      </c>
      <c r="N720" t="s">
        <v>21</v>
      </c>
      <c r="O720" s="24" t="s">
        <v>76</v>
      </c>
      <c r="P720" s="19">
        <v>258.96</v>
      </c>
      <c r="Q720" s="26" t="str">
        <f>IF(OR(P720&lt;'Descriptive Statistics'!$H$17,P720&gt;'Descriptive Statistics'!$H$18),"Potential Outlier","Within Range")</f>
        <v>Within Range</v>
      </c>
      <c r="R720" s="26" t="str">
        <f>IF(OR(G720&lt;'Descriptive Statistics'!$I$17,G720&gt;'Descriptive Statistics'!$I$18),"Potential Outlier","Within Range")</f>
        <v>Within Range</v>
      </c>
      <c r="S720" s="26" t="str">
        <f>IF(OR(H720&lt;'Descriptive Statistics'!$J$17,H720&gt;'Descriptive Statistics'!$J$18),"Potential Outlier","Within Range")</f>
        <v>Within Range</v>
      </c>
    </row>
    <row r="721" hidden="1" spans="1:19">
      <c r="A721" t="s">
        <v>2674</v>
      </c>
      <c r="B721" s="23">
        <v>45312</v>
      </c>
      <c r="C721" s="23" t="str">
        <f t="shared" si="22"/>
        <v>Jan</v>
      </c>
      <c r="D721" s="23" t="str">
        <f t="shared" si="23"/>
        <v>2024</v>
      </c>
      <c r="E721" t="s">
        <v>2675</v>
      </c>
      <c r="F721" s="24" t="s">
        <v>58</v>
      </c>
      <c r="G721" s="17">
        <v>2</v>
      </c>
      <c r="H721" s="19">
        <v>681.06</v>
      </c>
      <c r="I721" t="s">
        <v>2676</v>
      </c>
      <c r="J721" s="24" t="s">
        <v>18</v>
      </c>
      <c r="K721" s="24" t="s">
        <v>19</v>
      </c>
      <c r="L721" t="s">
        <v>2677</v>
      </c>
      <c r="M721" s="17">
        <v>3</v>
      </c>
      <c r="N721" t="s">
        <v>37</v>
      </c>
      <c r="O721" s="24" t="s">
        <v>45</v>
      </c>
      <c r="P721" s="19">
        <v>1362.12</v>
      </c>
      <c r="Q721" s="26" t="str">
        <f>IF(OR(P721&lt;'Descriptive Statistics'!$H$17,P721&gt;'Descriptive Statistics'!$H$18),"Potential Outlier","Within Range")</f>
        <v>Within Range</v>
      </c>
      <c r="R721" s="26" t="str">
        <f>IF(OR(G721&lt;'Descriptive Statistics'!$I$17,G721&gt;'Descriptive Statistics'!$I$18),"Potential Outlier","Within Range")</f>
        <v>Within Range</v>
      </c>
      <c r="S721" s="26" t="str">
        <f>IF(OR(H721&lt;'Descriptive Statistics'!$J$17,H721&gt;'Descriptive Statistics'!$J$18),"Potential Outlier","Within Range")</f>
        <v>Within Range</v>
      </c>
    </row>
    <row r="722" hidden="1" spans="1:19">
      <c r="A722" t="s">
        <v>2678</v>
      </c>
      <c r="B722" s="23">
        <v>45190</v>
      </c>
      <c r="C722" s="23" t="str">
        <f t="shared" si="22"/>
        <v>Sep</v>
      </c>
      <c r="D722" s="23" t="str">
        <f t="shared" si="23"/>
        <v>2023</v>
      </c>
      <c r="E722" t="s">
        <v>2679</v>
      </c>
      <c r="F722" s="24" t="s">
        <v>73</v>
      </c>
      <c r="G722" s="17">
        <v>5</v>
      </c>
      <c r="H722" s="19">
        <v>128.95</v>
      </c>
      <c r="I722" t="s">
        <v>2680</v>
      </c>
      <c r="J722" s="24" t="s">
        <v>65</v>
      </c>
      <c r="K722" s="24" t="s">
        <v>89</v>
      </c>
      <c r="L722" t="s">
        <v>2681</v>
      </c>
      <c r="M722" s="17">
        <v>10</v>
      </c>
      <c r="N722" t="s">
        <v>37</v>
      </c>
      <c r="O722" s="24" t="s">
        <v>22</v>
      </c>
      <c r="P722" s="19">
        <v>644.75</v>
      </c>
      <c r="Q722" s="26" t="str">
        <f>IF(OR(P722&lt;'Descriptive Statistics'!$H$17,P722&gt;'Descriptive Statistics'!$H$18),"Potential Outlier","Within Range")</f>
        <v>Within Range</v>
      </c>
      <c r="R722" s="26" t="str">
        <f>IF(OR(G722&lt;'Descriptive Statistics'!$I$17,G722&gt;'Descriptive Statistics'!$I$18),"Potential Outlier","Within Range")</f>
        <v>Within Range</v>
      </c>
      <c r="S722" s="26" t="str">
        <f>IF(OR(H722&lt;'Descriptive Statistics'!$J$17,H722&gt;'Descriptive Statistics'!$J$18),"Potential Outlier","Within Range")</f>
        <v>Within Range</v>
      </c>
    </row>
    <row r="723" hidden="1" spans="1:19">
      <c r="A723" t="s">
        <v>2682</v>
      </c>
      <c r="B723" s="23">
        <v>45369</v>
      </c>
      <c r="C723" s="23" t="str">
        <f t="shared" si="22"/>
        <v>Mar</v>
      </c>
      <c r="D723" s="23" t="str">
        <f t="shared" si="23"/>
        <v>2024</v>
      </c>
      <c r="E723" t="s">
        <v>2683</v>
      </c>
      <c r="F723" s="24" t="s">
        <v>73</v>
      </c>
      <c r="G723" s="17">
        <v>2</v>
      </c>
      <c r="H723" s="19">
        <v>118.59</v>
      </c>
      <c r="I723" t="s">
        <v>2684</v>
      </c>
      <c r="J723" s="24" t="s">
        <v>34</v>
      </c>
      <c r="K723" s="24" t="s">
        <v>50</v>
      </c>
      <c r="L723" t="s">
        <v>2685</v>
      </c>
      <c r="M723" s="17">
        <v>2</v>
      </c>
      <c r="N723" t="s">
        <v>4295</v>
      </c>
      <c r="O723" s="24" t="s">
        <v>38</v>
      </c>
      <c r="P723" s="19">
        <v>237.18</v>
      </c>
      <c r="Q723" s="26" t="str">
        <f>IF(OR(P723&lt;'Descriptive Statistics'!$H$17,P723&gt;'Descriptive Statistics'!$H$18),"Potential Outlier","Within Range")</f>
        <v>Within Range</v>
      </c>
      <c r="R723" s="26" t="str">
        <f>IF(OR(G723&lt;'Descriptive Statistics'!$I$17,G723&gt;'Descriptive Statistics'!$I$18),"Potential Outlier","Within Range")</f>
        <v>Within Range</v>
      </c>
      <c r="S723" s="26" t="str">
        <f>IF(OR(H723&lt;'Descriptive Statistics'!$J$17,H723&gt;'Descriptive Statistics'!$J$18),"Potential Outlier","Within Range")</f>
        <v>Within Range</v>
      </c>
    </row>
    <row r="724" hidden="1" spans="1:19">
      <c r="A724" t="s">
        <v>2686</v>
      </c>
      <c r="B724" s="23">
        <v>45611</v>
      </c>
      <c r="C724" s="23" t="str">
        <f t="shared" si="22"/>
        <v>Nov</v>
      </c>
      <c r="D724" s="23" t="str">
        <f t="shared" si="23"/>
        <v>2024</v>
      </c>
      <c r="E724" t="s">
        <v>2687</v>
      </c>
      <c r="F724" s="24" t="s">
        <v>48</v>
      </c>
      <c r="G724" s="17">
        <v>1</v>
      </c>
      <c r="H724" s="19">
        <v>95.1</v>
      </c>
      <c r="I724" t="s">
        <v>1137</v>
      </c>
      <c r="J724" s="24" t="s">
        <v>60</v>
      </c>
      <c r="K724" s="24" t="s">
        <v>89</v>
      </c>
      <c r="L724" t="s">
        <v>2688</v>
      </c>
      <c r="M724" s="17">
        <v>1</v>
      </c>
      <c r="N724" t="s">
        <v>81</v>
      </c>
      <c r="O724" s="24" t="s">
        <v>22</v>
      </c>
      <c r="P724" s="19">
        <v>95.1</v>
      </c>
      <c r="Q724" s="26" t="str">
        <f>IF(OR(P724&lt;'Descriptive Statistics'!$H$17,P724&gt;'Descriptive Statistics'!$H$18),"Potential Outlier","Within Range")</f>
        <v>Within Range</v>
      </c>
      <c r="R724" s="26" t="str">
        <f>IF(OR(G724&lt;'Descriptive Statistics'!$I$17,G724&gt;'Descriptive Statistics'!$I$18),"Potential Outlier","Within Range")</f>
        <v>Within Range</v>
      </c>
      <c r="S724" s="26" t="str">
        <f>IF(OR(H724&lt;'Descriptive Statistics'!$J$17,H724&gt;'Descriptive Statistics'!$J$18),"Potential Outlier","Within Range")</f>
        <v>Within Range</v>
      </c>
    </row>
    <row r="725" hidden="1" spans="1:19">
      <c r="A725" t="s">
        <v>2689</v>
      </c>
      <c r="B725" s="23">
        <v>45269</v>
      </c>
      <c r="C725" s="23" t="str">
        <f t="shared" si="22"/>
        <v>Dec</v>
      </c>
      <c r="D725" s="23" t="str">
        <f t="shared" si="23"/>
        <v>2023</v>
      </c>
      <c r="E725" t="s">
        <v>2690</v>
      </c>
      <c r="F725" s="24" t="s">
        <v>73</v>
      </c>
      <c r="G725" s="17">
        <v>3</v>
      </c>
      <c r="H725" s="19">
        <v>54.95</v>
      </c>
      <c r="I725" t="s">
        <v>297</v>
      </c>
      <c r="J725" s="24" t="s">
        <v>65</v>
      </c>
      <c r="K725" s="24" t="s">
        <v>43</v>
      </c>
      <c r="L725" t="s">
        <v>2691</v>
      </c>
      <c r="M725" s="17">
        <v>8</v>
      </c>
      <c r="N725" t="s">
        <v>21</v>
      </c>
      <c r="O725" s="24" t="s">
        <v>29</v>
      </c>
      <c r="P725" s="19">
        <v>164.85</v>
      </c>
      <c r="Q725" s="26" t="str">
        <f>IF(OR(P725&lt;'Descriptive Statistics'!$H$17,P725&gt;'Descriptive Statistics'!$H$18),"Potential Outlier","Within Range")</f>
        <v>Within Range</v>
      </c>
      <c r="R725" s="26" t="str">
        <f>IF(OR(G725&lt;'Descriptive Statistics'!$I$17,G725&gt;'Descriptive Statistics'!$I$18),"Potential Outlier","Within Range")</f>
        <v>Within Range</v>
      </c>
      <c r="S725" s="26" t="str">
        <f>IF(OR(H725&lt;'Descriptive Statistics'!$J$17,H725&gt;'Descriptive Statistics'!$J$18),"Potential Outlier","Within Range")</f>
        <v>Within Range</v>
      </c>
    </row>
    <row r="726" hidden="1" spans="1:19">
      <c r="A726" t="s">
        <v>2692</v>
      </c>
      <c r="B726" s="23">
        <v>45583</v>
      </c>
      <c r="C726" s="23" t="str">
        <f t="shared" si="22"/>
        <v>Oct</v>
      </c>
      <c r="D726" s="23" t="str">
        <f t="shared" si="23"/>
        <v>2024</v>
      </c>
      <c r="E726" t="s">
        <v>2693</v>
      </c>
      <c r="F726" s="24" t="s">
        <v>48</v>
      </c>
      <c r="G726" s="17">
        <v>3</v>
      </c>
      <c r="H726" s="19">
        <v>136.97</v>
      </c>
      <c r="I726" t="s">
        <v>1210</v>
      </c>
      <c r="J726" s="24" t="s">
        <v>34</v>
      </c>
      <c r="K726" s="24" t="s">
        <v>43</v>
      </c>
      <c r="L726" t="s">
        <v>2694</v>
      </c>
      <c r="M726" s="17">
        <v>4</v>
      </c>
      <c r="N726" t="s">
        <v>37</v>
      </c>
      <c r="O726" s="24" t="s">
        <v>29</v>
      </c>
      <c r="P726" s="19">
        <v>410.91</v>
      </c>
      <c r="Q726" s="26" t="str">
        <f>IF(OR(P726&lt;'Descriptive Statistics'!$H$17,P726&gt;'Descriptive Statistics'!$H$18),"Potential Outlier","Within Range")</f>
        <v>Within Range</v>
      </c>
      <c r="R726" s="26" t="str">
        <f>IF(OR(G726&lt;'Descriptive Statistics'!$I$17,G726&gt;'Descriptive Statistics'!$I$18),"Potential Outlier","Within Range")</f>
        <v>Within Range</v>
      </c>
      <c r="S726" s="26" t="str">
        <f>IF(OR(H726&lt;'Descriptive Statistics'!$J$17,H726&gt;'Descriptive Statistics'!$J$18),"Potential Outlier","Within Range")</f>
        <v>Within Range</v>
      </c>
    </row>
    <row r="727" hidden="1" spans="1:19">
      <c r="A727" t="s">
        <v>2695</v>
      </c>
      <c r="B727" s="23">
        <v>44997</v>
      </c>
      <c r="C727" s="23" t="str">
        <f t="shared" si="22"/>
        <v>Mar</v>
      </c>
      <c r="D727" s="23" t="str">
        <f t="shared" si="23"/>
        <v>2023</v>
      </c>
      <c r="E727" t="s">
        <v>2696</v>
      </c>
      <c r="F727" s="24" t="s">
        <v>41</v>
      </c>
      <c r="G727" s="17">
        <v>2</v>
      </c>
      <c r="H727" s="19">
        <v>194.85</v>
      </c>
      <c r="I727" t="s">
        <v>1897</v>
      </c>
      <c r="J727" s="24" t="s">
        <v>60</v>
      </c>
      <c r="K727" s="24" t="s">
        <v>43</v>
      </c>
      <c r="L727" t="s">
        <v>2697</v>
      </c>
      <c r="M727" s="17">
        <v>5</v>
      </c>
      <c r="N727" t="s">
        <v>4295</v>
      </c>
      <c r="O727" s="24" t="s">
        <v>29</v>
      </c>
      <c r="P727" s="19">
        <v>389.7</v>
      </c>
      <c r="Q727" s="26" t="str">
        <f>IF(OR(P727&lt;'Descriptive Statistics'!$H$17,P727&gt;'Descriptive Statistics'!$H$18),"Potential Outlier","Within Range")</f>
        <v>Within Range</v>
      </c>
      <c r="R727" s="26" t="str">
        <f>IF(OR(G727&lt;'Descriptive Statistics'!$I$17,G727&gt;'Descriptive Statistics'!$I$18),"Potential Outlier","Within Range")</f>
        <v>Within Range</v>
      </c>
      <c r="S727" s="26" t="str">
        <f>IF(OR(H727&lt;'Descriptive Statistics'!$J$17,H727&gt;'Descriptive Statistics'!$J$18),"Potential Outlier","Within Range")</f>
        <v>Within Range</v>
      </c>
    </row>
    <row r="728" hidden="1" spans="1:19">
      <c r="A728" t="s">
        <v>2698</v>
      </c>
      <c r="B728" s="23">
        <v>45590</v>
      </c>
      <c r="C728" s="23" t="str">
        <f t="shared" si="22"/>
        <v>Oct</v>
      </c>
      <c r="D728" s="23" t="str">
        <f t="shared" si="23"/>
        <v>2024</v>
      </c>
      <c r="E728" t="s">
        <v>2699</v>
      </c>
      <c r="F728" s="24" t="s">
        <v>58</v>
      </c>
      <c r="G728" s="17">
        <v>4</v>
      </c>
      <c r="H728" s="19">
        <v>583.02</v>
      </c>
      <c r="I728" t="s">
        <v>2700</v>
      </c>
      <c r="J728" s="24" t="s">
        <v>27</v>
      </c>
      <c r="K728" s="24" t="s">
        <v>50</v>
      </c>
      <c r="L728" t="s">
        <v>2701</v>
      </c>
      <c r="M728" s="17">
        <v>4</v>
      </c>
      <c r="N728" t="s">
        <v>37</v>
      </c>
      <c r="O728" s="24" t="s">
        <v>45</v>
      </c>
      <c r="P728" s="19">
        <v>2332.08</v>
      </c>
      <c r="Q728" s="26" t="str">
        <f>IF(OR(P728&lt;'Descriptive Statistics'!$H$17,P728&gt;'Descriptive Statistics'!$H$18),"Potential Outlier","Within Range")</f>
        <v>Within Range</v>
      </c>
      <c r="R728" s="26" t="str">
        <f>IF(OR(G728&lt;'Descriptive Statistics'!$I$17,G728&gt;'Descriptive Statistics'!$I$18),"Potential Outlier","Within Range")</f>
        <v>Within Range</v>
      </c>
      <c r="S728" s="26" t="str">
        <f>IF(OR(H728&lt;'Descriptive Statistics'!$J$17,H728&gt;'Descriptive Statistics'!$J$18),"Potential Outlier","Within Range")</f>
        <v>Within Range</v>
      </c>
    </row>
    <row r="729" hidden="1" spans="1:19">
      <c r="A729" t="s">
        <v>2702</v>
      </c>
      <c r="B729" s="23">
        <v>45564</v>
      </c>
      <c r="C729" s="23" t="str">
        <f t="shared" si="22"/>
        <v>Sep</v>
      </c>
      <c r="D729" s="23" t="str">
        <f t="shared" si="23"/>
        <v>2024</v>
      </c>
      <c r="E729" t="s">
        <v>2703</v>
      </c>
      <c r="F729" s="24" t="s">
        <v>41</v>
      </c>
      <c r="G729" s="17">
        <v>5</v>
      </c>
      <c r="H729" s="19">
        <v>95.75</v>
      </c>
      <c r="I729" t="s">
        <v>1660</v>
      </c>
      <c r="J729" s="24" t="s">
        <v>27</v>
      </c>
      <c r="K729" s="24" t="s">
        <v>19</v>
      </c>
      <c r="L729" t="s">
        <v>2704</v>
      </c>
      <c r="M729" s="17">
        <v>8</v>
      </c>
      <c r="N729" t="s">
        <v>21</v>
      </c>
      <c r="O729" s="24" t="s">
        <v>22</v>
      </c>
      <c r="P729" s="19">
        <v>478.75</v>
      </c>
      <c r="Q729" s="26" t="str">
        <f>IF(OR(P729&lt;'Descriptive Statistics'!$H$17,P729&gt;'Descriptive Statistics'!$H$18),"Potential Outlier","Within Range")</f>
        <v>Within Range</v>
      </c>
      <c r="R729" s="26" t="str">
        <f>IF(OR(G729&lt;'Descriptive Statistics'!$I$17,G729&gt;'Descriptive Statistics'!$I$18),"Potential Outlier","Within Range")</f>
        <v>Within Range</v>
      </c>
      <c r="S729" s="26" t="str">
        <f>IF(OR(H729&lt;'Descriptive Statistics'!$J$17,H729&gt;'Descriptive Statistics'!$J$18),"Potential Outlier","Within Range")</f>
        <v>Within Range</v>
      </c>
    </row>
    <row r="730" hidden="1" spans="1:19">
      <c r="A730" t="s">
        <v>2705</v>
      </c>
      <c r="B730" s="23">
        <v>45502</v>
      </c>
      <c r="C730" s="23" t="str">
        <f t="shared" si="22"/>
        <v>Jul</v>
      </c>
      <c r="D730" s="23" t="str">
        <f t="shared" si="23"/>
        <v>2024</v>
      </c>
      <c r="E730" t="s">
        <v>2706</v>
      </c>
      <c r="F730" s="24" t="s">
        <v>73</v>
      </c>
      <c r="G730" s="17">
        <v>4</v>
      </c>
      <c r="H730" s="19">
        <v>325.76</v>
      </c>
      <c r="I730" t="s">
        <v>2707</v>
      </c>
      <c r="J730" s="24" t="s">
        <v>60</v>
      </c>
      <c r="K730" s="24" t="s">
        <v>19</v>
      </c>
      <c r="L730" t="s">
        <v>2708</v>
      </c>
      <c r="M730" s="17">
        <v>8</v>
      </c>
      <c r="N730" t="s">
        <v>81</v>
      </c>
      <c r="O730" s="24" t="s">
        <v>38</v>
      </c>
      <c r="P730" s="19">
        <v>1303.04</v>
      </c>
      <c r="Q730" s="26" t="str">
        <f>IF(OR(P730&lt;'Descriptive Statistics'!$H$17,P730&gt;'Descriptive Statistics'!$H$18),"Potential Outlier","Within Range")</f>
        <v>Within Range</v>
      </c>
      <c r="R730" s="26" t="str">
        <f>IF(OR(G730&lt;'Descriptive Statistics'!$I$17,G730&gt;'Descriptive Statistics'!$I$18),"Potential Outlier","Within Range")</f>
        <v>Within Range</v>
      </c>
      <c r="S730" s="26" t="str">
        <f>IF(OR(H730&lt;'Descriptive Statistics'!$J$17,H730&gt;'Descriptive Statistics'!$J$18),"Potential Outlier","Within Range")</f>
        <v>Within Range</v>
      </c>
    </row>
    <row r="731" hidden="1" spans="1:19">
      <c r="A731" t="s">
        <v>2709</v>
      </c>
      <c r="B731" s="23">
        <v>45177</v>
      </c>
      <c r="C731" s="23" t="str">
        <f t="shared" si="22"/>
        <v>Sep</v>
      </c>
      <c r="D731" s="23" t="str">
        <f t="shared" si="23"/>
        <v>2023</v>
      </c>
      <c r="E731" t="s">
        <v>2710</v>
      </c>
      <c r="F731" s="24" t="s">
        <v>25</v>
      </c>
      <c r="G731" s="17">
        <v>4</v>
      </c>
      <c r="H731" s="19">
        <v>186.41</v>
      </c>
      <c r="I731" t="s">
        <v>663</v>
      </c>
      <c r="J731" s="24" t="s">
        <v>60</v>
      </c>
      <c r="K731" s="24" t="s">
        <v>89</v>
      </c>
      <c r="L731" t="s">
        <v>2711</v>
      </c>
      <c r="M731" s="17">
        <v>6</v>
      </c>
      <c r="N731" t="s">
        <v>21</v>
      </c>
      <c r="O731" s="24" t="s">
        <v>76</v>
      </c>
      <c r="P731" s="19">
        <v>745.64</v>
      </c>
      <c r="Q731" s="26" t="str">
        <f>IF(OR(P731&lt;'Descriptive Statistics'!$H$17,P731&gt;'Descriptive Statistics'!$H$18),"Potential Outlier","Within Range")</f>
        <v>Within Range</v>
      </c>
      <c r="R731" s="26" t="str">
        <f>IF(OR(G731&lt;'Descriptive Statistics'!$I$17,G731&gt;'Descriptive Statistics'!$I$18),"Potential Outlier","Within Range")</f>
        <v>Within Range</v>
      </c>
      <c r="S731" s="26" t="str">
        <f>IF(OR(H731&lt;'Descriptive Statistics'!$J$17,H731&gt;'Descriptive Statistics'!$J$18),"Potential Outlier","Within Range")</f>
        <v>Within Range</v>
      </c>
    </row>
    <row r="732" hidden="1" spans="1:19">
      <c r="A732" t="s">
        <v>2712</v>
      </c>
      <c r="B732" s="23">
        <v>45710</v>
      </c>
      <c r="C732" s="23" t="str">
        <f t="shared" si="22"/>
        <v>Feb</v>
      </c>
      <c r="D732" s="23" t="str">
        <f t="shared" si="23"/>
        <v>2025</v>
      </c>
      <c r="E732" t="s">
        <v>2713</v>
      </c>
      <c r="F732" s="24" t="s">
        <v>25</v>
      </c>
      <c r="G732" s="17">
        <v>1</v>
      </c>
      <c r="H732" s="19">
        <v>474.6</v>
      </c>
      <c r="I732" t="s">
        <v>972</v>
      </c>
      <c r="J732" s="24" t="s">
        <v>18</v>
      </c>
      <c r="K732" s="24" t="s">
        <v>50</v>
      </c>
      <c r="L732" t="s">
        <v>2714</v>
      </c>
      <c r="M732" s="17">
        <v>4</v>
      </c>
      <c r="N732" t="s">
        <v>21</v>
      </c>
      <c r="O732" s="24" t="s">
        <v>38</v>
      </c>
      <c r="P732" s="19">
        <v>474.6</v>
      </c>
      <c r="Q732" s="26" t="str">
        <f>IF(OR(P732&lt;'Descriptive Statistics'!$H$17,P732&gt;'Descriptive Statistics'!$H$18),"Potential Outlier","Within Range")</f>
        <v>Within Range</v>
      </c>
      <c r="R732" s="26" t="str">
        <f>IF(OR(G732&lt;'Descriptive Statistics'!$I$17,G732&gt;'Descriptive Statistics'!$I$18),"Potential Outlier","Within Range")</f>
        <v>Within Range</v>
      </c>
      <c r="S732" s="26" t="str">
        <f>IF(OR(H732&lt;'Descriptive Statistics'!$J$17,H732&gt;'Descriptive Statistics'!$J$18),"Potential Outlier","Within Range")</f>
        <v>Within Range</v>
      </c>
    </row>
    <row r="733" hidden="1" spans="1:19">
      <c r="A733" t="s">
        <v>2715</v>
      </c>
      <c r="B733" s="23">
        <v>45450</v>
      </c>
      <c r="C733" s="23" t="str">
        <f t="shared" si="22"/>
        <v>Jun</v>
      </c>
      <c r="D733" s="23" t="str">
        <f t="shared" si="23"/>
        <v>2024</v>
      </c>
      <c r="E733" t="s">
        <v>2716</v>
      </c>
      <c r="F733" s="24" t="s">
        <v>48</v>
      </c>
      <c r="G733" s="17">
        <v>5</v>
      </c>
      <c r="H733" s="19">
        <v>584.46</v>
      </c>
      <c r="I733" t="s">
        <v>2717</v>
      </c>
      <c r="J733" s="24" t="s">
        <v>34</v>
      </c>
      <c r="K733" s="24" t="s">
        <v>43</v>
      </c>
      <c r="L733" t="s">
        <v>2718</v>
      </c>
      <c r="M733" s="17">
        <v>8</v>
      </c>
      <c r="N733" t="s">
        <v>4295</v>
      </c>
      <c r="O733" s="24" t="s">
        <v>38</v>
      </c>
      <c r="P733" s="19">
        <v>2922.3</v>
      </c>
      <c r="Q733" s="26" t="str">
        <f>IF(OR(P733&lt;'Descriptive Statistics'!$H$17,P733&gt;'Descriptive Statistics'!$H$18),"Potential Outlier","Within Range")</f>
        <v>Within Range</v>
      </c>
      <c r="R733" s="26" t="str">
        <f>IF(OR(G733&lt;'Descriptive Statistics'!$I$17,G733&gt;'Descriptive Statistics'!$I$18),"Potential Outlier","Within Range")</f>
        <v>Within Range</v>
      </c>
      <c r="S733" s="26" t="str">
        <f>IF(OR(H733&lt;'Descriptive Statistics'!$J$17,H733&gt;'Descriptive Statistics'!$J$18),"Potential Outlier","Within Range")</f>
        <v>Within Range</v>
      </c>
    </row>
    <row r="734" hidden="1" spans="1:19">
      <c r="A734" t="s">
        <v>2719</v>
      </c>
      <c r="B734" s="23">
        <v>45723</v>
      </c>
      <c r="C734" s="23" t="str">
        <f t="shared" si="22"/>
        <v>Mar</v>
      </c>
      <c r="D734" s="23" t="str">
        <f t="shared" si="23"/>
        <v>2025</v>
      </c>
      <c r="E734" t="s">
        <v>2720</v>
      </c>
      <c r="F734" s="24" t="s">
        <v>58</v>
      </c>
      <c r="G734" s="17">
        <v>1</v>
      </c>
      <c r="H734" s="19">
        <v>132.05</v>
      </c>
      <c r="I734" t="s">
        <v>2572</v>
      </c>
      <c r="J734" s="24" t="s">
        <v>27</v>
      </c>
      <c r="K734" s="24" t="s">
        <v>50</v>
      </c>
      <c r="L734" t="s">
        <v>2721</v>
      </c>
      <c r="M734" s="17">
        <v>2</v>
      </c>
      <c r="N734" t="s">
        <v>4295</v>
      </c>
      <c r="O734" s="24" t="s">
        <v>76</v>
      </c>
      <c r="P734" s="19">
        <v>132.05</v>
      </c>
      <c r="Q734" s="26" t="str">
        <f>IF(OR(P734&lt;'Descriptive Statistics'!$H$17,P734&gt;'Descriptive Statistics'!$H$18),"Potential Outlier","Within Range")</f>
        <v>Within Range</v>
      </c>
      <c r="R734" s="26" t="str">
        <f>IF(OR(G734&lt;'Descriptive Statistics'!$I$17,G734&gt;'Descriptive Statistics'!$I$18),"Potential Outlier","Within Range")</f>
        <v>Within Range</v>
      </c>
      <c r="S734" s="26" t="str">
        <f>IF(OR(H734&lt;'Descriptive Statistics'!$J$17,H734&gt;'Descriptive Statistics'!$J$18),"Potential Outlier","Within Range")</f>
        <v>Within Range</v>
      </c>
    </row>
    <row r="735" hidden="1" spans="1:19">
      <c r="A735" t="s">
        <v>2722</v>
      </c>
      <c r="B735" s="23">
        <v>45264</v>
      </c>
      <c r="C735" s="23" t="str">
        <f t="shared" si="22"/>
        <v>Dec</v>
      </c>
      <c r="D735" s="23" t="str">
        <f t="shared" si="23"/>
        <v>2023</v>
      </c>
      <c r="E735" t="s">
        <v>2723</v>
      </c>
      <c r="F735" s="24" t="s">
        <v>32</v>
      </c>
      <c r="G735" s="17">
        <v>4</v>
      </c>
      <c r="H735" s="19">
        <v>494.84</v>
      </c>
      <c r="I735" t="s">
        <v>2538</v>
      </c>
      <c r="J735" s="24" t="s">
        <v>65</v>
      </c>
      <c r="K735" s="24" t="s">
        <v>43</v>
      </c>
      <c r="L735" t="s">
        <v>2724</v>
      </c>
      <c r="M735" s="17">
        <v>8</v>
      </c>
      <c r="N735" t="s">
        <v>21</v>
      </c>
      <c r="O735" s="24" t="s">
        <v>38</v>
      </c>
      <c r="P735" s="19">
        <v>1979.36</v>
      </c>
      <c r="Q735" s="26" t="str">
        <f>IF(OR(P735&lt;'Descriptive Statistics'!$H$17,P735&gt;'Descriptive Statistics'!$H$18),"Potential Outlier","Within Range")</f>
        <v>Within Range</v>
      </c>
      <c r="R735" s="26" t="str">
        <f>IF(OR(G735&lt;'Descriptive Statistics'!$I$17,G735&gt;'Descriptive Statistics'!$I$18),"Potential Outlier","Within Range")</f>
        <v>Within Range</v>
      </c>
      <c r="S735" s="26" t="str">
        <f>IF(OR(H735&lt;'Descriptive Statistics'!$J$17,H735&gt;'Descriptive Statistics'!$J$18),"Potential Outlier","Within Range")</f>
        <v>Within Range</v>
      </c>
    </row>
    <row r="736" hidden="1" spans="1:19">
      <c r="A736" t="s">
        <v>2725</v>
      </c>
      <c r="B736" s="23">
        <v>45314</v>
      </c>
      <c r="C736" s="23" t="str">
        <f t="shared" si="22"/>
        <v>Jan</v>
      </c>
      <c r="D736" s="23" t="str">
        <f t="shared" si="23"/>
        <v>2024</v>
      </c>
      <c r="E736" t="s">
        <v>2726</v>
      </c>
      <c r="F736" s="24" t="s">
        <v>48</v>
      </c>
      <c r="G736" s="17">
        <v>4</v>
      </c>
      <c r="H736" s="19">
        <v>224.61</v>
      </c>
      <c r="I736" t="s">
        <v>1147</v>
      </c>
      <c r="J736" s="24" t="s">
        <v>34</v>
      </c>
      <c r="K736" s="24" t="s">
        <v>43</v>
      </c>
      <c r="L736" t="s">
        <v>2727</v>
      </c>
      <c r="M736" s="17">
        <v>6</v>
      </c>
      <c r="N736" t="s">
        <v>81</v>
      </c>
      <c r="O736" s="24" t="s">
        <v>45</v>
      </c>
      <c r="P736" s="19">
        <v>898.44</v>
      </c>
      <c r="Q736" s="26" t="str">
        <f>IF(OR(P736&lt;'Descriptive Statistics'!$H$17,P736&gt;'Descriptive Statistics'!$H$18),"Potential Outlier","Within Range")</f>
        <v>Within Range</v>
      </c>
      <c r="R736" s="26" t="str">
        <f>IF(OR(G736&lt;'Descriptive Statistics'!$I$17,G736&gt;'Descriptive Statistics'!$I$18),"Potential Outlier","Within Range")</f>
        <v>Within Range</v>
      </c>
      <c r="S736" s="26" t="str">
        <f>IF(OR(H736&lt;'Descriptive Statistics'!$J$17,H736&gt;'Descriptive Statistics'!$J$18),"Potential Outlier","Within Range")</f>
        <v>Within Range</v>
      </c>
    </row>
    <row r="737" hidden="1" spans="1:19">
      <c r="A737" t="s">
        <v>2728</v>
      </c>
      <c r="B737" s="23">
        <v>45471</v>
      </c>
      <c r="C737" s="23" t="str">
        <f t="shared" si="22"/>
        <v>Jun</v>
      </c>
      <c r="D737" s="23" t="str">
        <f t="shared" si="23"/>
        <v>2024</v>
      </c>
      <c r="E737" t="s">
        <v>2729</v>
      </c>
      <c r="F737" s="24" t="s">
        <v>16</v>
      </c>
      <c r="G737" s="17">
        <v>4</v>
      </c>
      <c r="H737" s="19">
        <v>44.07</v>
      </c>
      <c r="I737" t="s">
        <v>1542</v>
      </c>
      <c r="J737" s="24" t="s">
        <v>18</v>
      </c>
      <c r="K737" s="24" t="s">
        <v>89</v>
      </c>
      <c r="L737" t="s">
        <v>2730</v>
      </c>
      <c r="M737" s="17">
        <v>6</v>
      </c>
      <c r="N737" t="s">
        <v>4295</v>
      </c>
      <c r="O737" s="24" t="s">
        <v>38</v>
      </c>
      <c r="P737" s="19">
        <v>176.28</v>
      </c>
      <c r="Q737" s="26" t="str">
        <f>IF(OR(P737&lt;'Descriptive Statistics'!$H$17,P737&gt;'Descriptive Statistics'!$H$18),"Potential Outlier","Within Range")</f>
        <v>Within Range</v>
      </c>
      <c r="R737" s="26" t="str">
        <f>IF(OR(G737&lt;'Descriptive Statistics'!$I$17,G737&gt;'Descriptive Statistics'!$I$18),"Potential Outlier","Within Range")</f>
        <v>Within Range</v>
      </c>
      <c r="S737" s="26" t="str">
        <f>IF(OR(H737&lt;'Descriptive Statistics'!$J$17,H737&gt;'Descriptive Statistics'!$J$18),"Potential Outlier","Within Range")</f>
        <v>Within Range</v>
      </c>
    </row>
    <row r="738" hidden="1" spans="1:19">
      <c r="A738" t="s">
        <v>2731</v>
      </c>
      <c r="B738" s="23">
        <v>45331</v>
      </c>
      <c r="C738" s="23" t="str">
        <f t="shared" si="22"/>
        <v>Feb</v>
      </c>
      <c r="D738" s="23" t="str">
        <f t="shared" si="23"/>
        <v>2024</v>
      </c>
      <c r="E738" t="s">
        <v>2732</v>
      </c>
      <c r="F738" s="24" t="s">
        <v>16</v>
      </c>
      <c r="G738" s="17">
        <v>5</v>
      </c>
      <c r="H738" s="19">
        <v>418.53</v>
      </c>
      <c r="I738" t="s">
        <v>1945</v>
      </c>
      <c r="J738" s="24" t="s">
        <v>34</v>
      </c>
      <c r="K738" s="24" t="s">
        <v>89</v>
      </c>
      <c r="L738" t="s">
        <v>2733</v>
      </c>
      <c r="M738" s="17">
        <v>6</v>
      </c>
      <c r="N738" t="s">
        <v>37</v>
      </c>
      <c r="O738" s="24" t="s">
        <v>76</v>
      </c>
      <c r="P738" s="19">
        <v>2092.65</v>
      </c>
      <c r="Q738" s="26" t="str">
        <f>IF(OR(P738&lt;'Descriptive Statistics'!$H$17,P738&gt;'Descriptive Statistics'!$H$18),"Potential Outlier","Within Range")</f>
        <v>Within Range</v>
      </c>
      <c r="R738" s="26" t="str">
        <f>IF(OR(G738&lt;'Descriptive Statistics'!$I$17,G738&gt;'Descriptive Statistics'!$I$18),"Potential Outlier","Within Range")</f>
        <v>Within Range</v>
      </c>
      <c r="S738" s="26" t="str">
        <f>IF(OR(H738&lt;'Descriptive Statistics'!$J$17,H738&gt;'Descriptive Statistics'!$J$18),"Potential Outlier","Within Range")</f>
        <v>Within Range</v>
      </c>
    </row>
    <row r="739" hidden="1" spans="1:19">
      <c r="A739" t="s">
        <v>2734</v>
      </c>
      <c r="B739" s="23">
        <v>45294</v>
      </c>
      <c r="C739" s="23" t="str">
        <f t="shared" si="22"/>
        <v>Jan</v>
      </c>
      <c r="D739" s="23" t="str">
        <f t="shared" si="23"/>
        <v>2024</v>
      </c>
      <c r="E739" t="s">
        <v>2735</v>
      </c>
      <c r="F739" s="24" t="s">
        <v>25</v>
      </c>
      <c r="G739" s="17">
        <v>4</v>
      </c>
      <c r="H739" s="19">
        <v>532.87</v>
      </c>
      <c r="I739" t="s">
        <v>2736</v>
      </c>
      <c r="J739" s="24" t="s">
        <v>65</v>
      </c>
      <c r="K739" s="24" t="s">
        <v>89</v>
      </c>
      <c r="L739" t="s">
        <v>2737</v>
      </c>
      <c r="M739" s="17">
        <v>9</v>
      </c>
      <c r="N739" t="s">
        <v>37</v>
      </c>
      <c r="O739" s="24" t="s">
        <v>22</v>
      </c>
      <c r="P739" s="19">
        <v>2131.48</v>
      </c>
      <c r="Q739" s="26" t="str">
        <f>IF(OR(P739&lt;'Descriptive Statistics'!$H$17,P739&gt;'Descriptive Statistics'!$H$18),"Potential Outlier","Within Range")</f>
        <v>Within Range</v>
      </c>
      <c r="R739" s="26" t="str">
        <f>IF(OR(G739&lt;'Descriptive Statistics'!$I$17,G739&gt;'Descriptive Statistics'!$I$18),"Potential Outlier","Within Range")</f>
        <v>Within Range</v>
      </c>
      <c r="S739" s="26" t="str">
        <f>IF(OR(H739&lt;'Descriptive Statistics'!$J$17,H739&gt;'Descriptive Statistics'!$J$18),"Potential Outlier","Within Range")</f>
        <v>Within Range</v>
      </c>
    </row>
    <row r="740" hidden="1" spans="1:19">
      <c r="A740" t="s">
        <v>2738</v>
      </c>
      <c r="B740" s="23">
        <v>45812</v>
      </c>
      <c r="C740" s="23" t="str">
        <f t="shared" si="22"/>
        <v>Jun</v>
      </c>
      <c r="D740" s="23" t="str">
        <f t="shared" si="23"/>
        <v>2025</v>
      </c>
      <c r="E740" t="s">
        <v>2739</v>
      </c>
      <c r="F740" s="24" t="s">
        <v>25</v>
      </c>
      <c r="G740" s="17">
        <v>2</v>
      </c>
      <c r="H740" s="19">
        <v>485.37</v>
      </c>
      <c r="I740" t="s">
        <v>2740</v>
      </c>
      <c r="J740" s="24" t="s">
        <v>34</v>
      </c>
      <c r="K740" s="24" t="s">
        <v>19</v>
      </c>
      <c r="L740" t="s">
        <v>2741</v>
      </c>
      <c r="M740" s="17">
        <v>5</v>
      </c>
      <c r="N740" t="s">
        <v>21</v>
      </c>
      <c r="O740" s="24" t="s">
        <v>38</v>
      </c>
      <c r="P740" s="19">
        <v>970.74</v>
      </c>
      <c r="Q740" s="26" t="str">
        <f>IF(OR(P740&lt;'Descriptive Statistics'!$H$17,P740&gt;'Descriptive Statistics'!$H$18),"Potential Outlier","Within Range")</f>
        <v>Within Range</v>
      </c>
      <c r="R740" s="26" t="str">
        <f>IF(OR(G740&lt;'Descriptive Statistics'!$I$17,G740&gt;'Descriptive Statistics'!$I$18),"Potential Outlier","Within Range")</f>
        <v>Within Range</v>
      </c>
      <c r="S740" s="26" t="str">
        <f>IF(OR(H740&lt;'Descriptive Statistics'!$J$17,H740&gt;'Descriptive Statistics'!$J$18),"Potential Outlier","Within Range")</f>
        <v>Within Range</v>
      </c>
    </row>
    <row r="741" hidden="1" spans="1:19">
      <c r="A741" t="s">
        <v>2742</v>
      </c>
      <c r="B741" s="23">
        <v>45456</v>
      </c>
      <c r="C741" s="23" t="str">
        <f t="shared" si="22"/>
        <v>Jun</v>
      </c>
      <c r="D741" s="23" t="str">
        <f t="shared" si="23"/>
        <v>2024</v>
      </c>
      <c r="E741" t="s">
        <v>2743</v>
      </c>
      <c r="F741" s="24" t="s">
        <v>25</v>
      </c>
      <c r="G741" s="17">
        <v>4</v>
      </c>
      <c r="H741" s="19">
        <v>386.73</v>
      </c>
      <c r="I741" t="s">
        <v>553</v>
      </c>
      <c r="J741" s="24" t="s">
        <v>65</v>
      </c>
      <c r="K741" s="24" t="s">
        <v>50</v>
      </c>
      <c r="L741" t="s">
        <v>2744</v>
      </c>
      <c r="M741" s="17">
        <v>4</v>
      </c>
      <c r="N741" t="s">
        <v>21</v>
      </c>
      <c r="O741" s="24" t="s">
        <v>45</v>
      </c>
      <c r="P741" s="19">
        <v>1546.92</v>
      </c>
      <c r="Q741" s="26" t="str">
        <f>IF(OR(P741&lt;'Descriptive Statistics'!$H$17,P741&gt;'Descriptive Statistics'!$H$18),"Potential Outlier","Within Range")</f>
        <v>Within Range</v>
      </c>
      <c r="R741" s="26" t="str">
        <f>IF(OR(G741&lt;'Descriptive Statistics'!$I$17,G741&gt;'Descriptive Statistics'!$I$18),"Potential Outlier","Within Range")</f>
        <v>Within Range</v>
      </c>
      <c r="S741" s="26" t="str">
        <f>IF(OR(H741&lt;'Descriptive Statistics'!$J$17,H741&gt;'Descriptive Statistics'!$J$18),"Potential Outlier","Within Range")</f>
        <v>Within Range</v>
      </c>
    </row>
    <row r="742" hidden="1" spans="1:19">
      <c r="A742" t="s">
        <v>2745</v>
      </c>
      <c r="B742" s="23">
        <v>45493</v>
      </c>
      <c r="C742" s="23" t="str">
        <f t="shared" si="22"/>
        <v>Jul</v>
      </c>
      <c r="D742" s="23" t="str">
        <f t="shared" si="23"/>
        <v>2024</v>
      </c>
      <c r="E742" t="s">
        <v>2746</v>
      </c>
      <c r="F742" s="24" t="s">
        <v>73</v>
      </c>
      <c r="G742" s="17">
        <v>2</v>
      </c>
      <c r="H742" s="19">
        <v>377.47</v>
      </c>
      <c r="I742" t="s">
        <v>1670</v>
      </c>
      <c r="J742" s="24" t="s">
        <v>65</v>
      </c>
      <c r="K742" s="24" t="s">
        <v>89</v>
      </c>
      <c r="L742" t="s">
        <v>2747</v>
      </c>
      <c r="M742" s="17">
        <v>7</v>
      </c>
      <c r="N742" t="s">
        <v>4295</v>
      </c>
      <c r="O742" s="24" t="s">
        <v>76</v>
      </c>
      <c r="P742" s="19">
        <v>754.94</v>
      </c>
      <c r="Q742" s="26" t="str">
        <f>IF(OR(P742&lt;'Descriptive Statistics'!$H$17,P742&gt;'Descriptive Statistics'!$H$18),"Potential Outlier","Within Range")</f>
        <v>Within Range</v>
      </c>
      <c r="R742" s="26" t="str">
        <f>IF(OR(G742&lt;'Descriptive Statistics'!$I$17,G742&gt;'Descriptive Statistics'!$I$18),"Potential Outlier","Within Range")</f>
        <v>Within Range</v>
      </c>
      <c r="S742" s="26" t="str">
        <f>IF(OR(H742&lt;'Descriptive Statistics'!$J$17,H742&gt;'Descriptive Statistics'!$J$18),"Potential Outlier","Within Range")</f>
        <v>Within Range</v>
      </c>
    </row>
    <row r="743" hidden="1" spans="1:19">
      <c r="A743" t="s">
        <v>2748</v>
      </c>
      <c r="B743" s="23">
        <v>45680</v>
      </c>
      <c r="C743" s="23" t="str">
        <f t="shared" si="22"/>
        <v>Jan</v>
      </c>
      <c r="D743" s="23" t="str">
        <f t="shared" si="23"/>
        <v>2025</v>
      </c>
      <c r="E743" t="s">
        <v>2749</v>
      </c>
      <c r="F743" s="24" t="s">
        <v>16</v>
      </c>
      <c r="G743" s="17">
        <v>5</v>
      </c>
      <c r="H743" s="19">
        <v>332.64</v>
      </c>
      <c r="I743" t="s">
        <v>2750</v>
      </c>
      <c r="J743" s="24" t="s">
        <v>60</v>
      </c>
      <c r="K743" s="24" t="s">
        <v>50</v>
      </c>
      <c r="L743" t="s">
        <v>2751</v>
      </c>
      <c r="M743" s="17">
        <v>10</v>
      </c>
      <c r="N743" t="s">
        <v>4295</v>
      </c>
      <c r="O743" s="24" t="s">
        <v>29</v>
      </c>
      <c r="P743" s="19">
        <v>1663.2</v>
      </c>
      <c r="Q743" s="26" t="str">
        <f>IF(OR(P743&lt;'Descriptive Statistics'!$H$17,P743&gt;'Descriptive Statistics'!$H$18),"Potential Outlier","Within Range")</f>
        <v>Within Range</v>
      </c>
      <c r="R743" s="26" t="str">
        <f>IF(OR(G743&lt;'Descriptive Statistics'!$I$17,G743&gt;'Descriptive Statistics'!$I$18),"Potential Outlier","Within Range")</f>
        <v>Within Range</v>
      </c>
      <c r="S743" s="26" t="str">
        <f>IF(OR(H743&lt;'Descriptive Statistics'!$J$17,H743&gt;'Descriptive Statistics'!$J$18),"Potential Outlier","Within Range")</f>
        <v>Within Range</v>
      </c>
    </row>
    <row r="744" hidden="1" spans="1:19">
      <c r="A744" t="s">
        <v>2752</v>
      </c>
      <c r="B744" s="23">
        <v>45626</v>
      </c>
      <c r="C744" s="23" t="str">
        <f t="shared" si="22"/>
        <v>Nov</v>
      </c>
      <c r="D744" s="23" t="str">
        <f t="shared" si="23"/>
        <v>2024</v>
      </c>
      <c r="E744" t="s">
        <v>2753</v>
      </c>
      <c r="F744" s="24" t="s">
        <v>58</v>
      </c>
      <c r="G744" s="17">
        <v>3</v>
      </c>
      <c r="H744" s="19">
        <v>699.93</v>
      </c>
      <c r="I744" t="s">
        <v>1198</v>
      </c>
      <c r="J744" s="24" t="s">
        <v>65</v>
      </c>
      <c r="K744" s="24" t="s">
        <v>43</v>
      </c>
      <c r="L744" t="s">
        <v>2754</v>
      </c>
      <c r="M744" s="17">
        <v>7</v>
      </c>
      <c r="N744" t="s">
        <v>21</v>
      </c>
      <c r="O744" s="24" t="s">
        <v>76</v>
      </c>
      <c r="P744" s="19">
        <v>2099.79</v>
      </c>
      <c r="Q744" s="26" t="str">
        <f>IF(OR(P744&lt;'Descriptive Statistics'!$H$17,P744&gt;'Descriptive Statistics'!$H$18),"Potential Outlier","Within Range")</f>
        <v>Within Range</v>
      </c>
      <c r="R744" s="26" t="str">
        <f>IF(OR(G744&lt;'Descriptive Statistics'!$I$17,G744&gt;'Descriptive Statistics'!$I$18),"Potential Outlier","Within Range")</f>
        <v>Within Range</v>
      </c>
      <c r="S744" s="26" t="str">
        <f>IF(OR(H744&lt;'Descriptive Statistics'!$J$17,H744&gt;'Descriptive Statistics'!$J$18),"Potential Outlier","Within Range")</f>
        <v>Within Range</v>
      </c>
    </row>
    <row r="745" hidden="1" spans="1:19">
      <c r="A745" t="s">
        <v>2755</v>
      </c>
      <c r="B745" s="23">
        <v>45565</v>
      </c>
      <c r="C745" s="23" t="str">
        <f t="shared" si="22"/>
        <v>Sep</v>
      </c>
      <c r="D745" s="23" t="str">
        <f t="shared" si="23"/>
        <v>2024</v>
      </c>
      <c r="E745" t="s">
        <v>2756</v>
      </c>
      <c r="F745" s="24" t="s">
        <v>16</v>
      </c>
      <c r="G745" s="17">
        <v>1</v>
      </c>
      <c r="H745" s="19">
        <v>576.35</v>
      </c>
      <c r="I745" t="s">
        <v>193</v>
      </c>
      <c r="J745" s="24" t="s">
        <v>60</v>
      </c>
      <c r="K745" s="24" t="s">
        <v>43</v>
      </c>
      <c r="L745" t="s">
        <v>2757</v>
      </c>
      <c r="M745" s="17">
        <v>1</v>
      </c>
      <c r="N745" t="s">
        <v>81</v>
      </c>
      <c r="O745" s="24" t="s">
        <v>22</v>
      </c>
      <c r="P745" s="19">
        <v>576.35</v>
      </c>
      <c r="Q745" s="26" t="str">
        <f>IF(OR(P745&lt;'Descriptive Statistics'!$H$17,P745&gt;'Descriptive Statistics'!$H$18),"Potential Outlier","Within Range")</f>
        <v>Within Range</v>
      </c>
      <c r="R745" s="26" t="str">
        <f>IF(OR(G745&lt;'Descriptive Statistics'!$I$17,G745&gt;'Descriptive Statistics'!$I$18),"Potential Outlier","Within Range")</f>
        <v>Within Range</v>
      </c>
      <c r="S745" s="26" t="str">
        <f>IF(OR(H745&lt;'Descriptive Statistics'!$J$17,H745&gt;'Descriptive Statistics'!$J$18),"Potential Outlier","Within Range")</f>
        <v>Within Range</v>
      </c>
    </row>
    <row r="746" hidden="1" spans="1:19">
      <c r="A746" t="s">
        <v>2758</v>
      </c>
      <c r="B746" s="23">
        <v>45455</v>
      </c>
      <c r="C746" s="23" t="str">
        <f t="shared" si="22"/>
        <v>Jun</v>
      </c>
      <c r="D746" s="23" t="str">
        <f t="shared" si="23"/>
        <v>2024</v>
      </c>
      <c r="E746" t="s">
        <v>2759</v>
      </c>
      <c r="F746" s="24" t="s">
        <v>32</v>
      </c>
      <c r="G746" s="17">
        <v>2</v>
      </c>
      <c r="H746" s="19">
        <v>461.37</v>
      </c>
      <c r="I746" t="s">
        <v>2760</v>
      </c>
      <c r="J746" s="24" t="s">
        <v>65</v>
      </c>
      <c r="K746" s="24" t="s">
        <v>50</v>
      </c>
      <c r="L746" t="s">
        <v>2761</v>
      </c>
      <c r="M746" s="17">
        <v>5</v>
      </c>
      <c r="N746" t="s">
        <v>21</v>
      </c>
      <c r="O746" s="24" t="s">
        <v>76</v>
      </c>
      <c r="P746" s="19">
        <v>922.74</v>
      </c>
      <c r="Q746" s="26" t="str">
        <f>IF(OR(P746&lt;'Descriptive Statistics'!$H$17,P746&gt;'Descriptive Statistics'!$H$18),"Potential Outlier","Within Range")</f>
        <v>Within Range</v>
      </c>
      <c r="R746" s="26" t="str">
        <f>IF(OR(G746&lt;'Descriptive Statistics'!$I$17,G746&gt;'Descriptive Statistics'!$I$18),"Potential Outlier","Within Range")</f>
        <v>Within Range</v>
      </c>
      <c r="S746" s="26" t="str">
        <f>IF(OR(H746&lt;'Descriptive Statistics'!$J$17,H746&gt;'Descriptive Statistics'!$J$18),"Potential Outlier","Within Range")</f>
        <v>Within Range</v>
      </c>
    </row>
    <row r="747" hidden="1" spans="1:19">
      <c r="A747" t="s">
        <v>2762</v>
      </c>
      <c r="B747" s="23">
        <v>44987</v>
      </c>
      <c r="C747" s="23" t="str">
        <f t="shared" si="22"/>
        <v>Mar</v>
      </c>
      <c r="D747" s="23" t="str">
        <f t="shared" si="23"/>
        <v>2023</v>
      </c>
      <c r="E747" t="s">
        <v>2763</v>
      </c>
      <c r="F747" s="24" t="s">
        <v>48</v>
      </c>
      <c r="G747" s="17">
        <v>4</v>
      </c>
      <c r="H747" s="19">
        <v>111.3</v>
      </c>
      <c r="I747" t="s">
        <v>2764</v>
      </c>
      <c r="J747" s="24" t="s">
        <v>18</v>
      </c>
      <c r="K747" s="24" t="s">
        <v>89</v>
      </c>
      <c r="L747" t="s">
        <v>2765</v>
      </c>
      <c r="M747" s="17">
        <v>7</v>
      </c>
      <c r="N747" t="s">
        <v>37</v>
      </c>
      <c r="O747" s="24" t="s">
        <v>38</v>
      </c>
      <c r="P747" s="19">
        <v>445.2</v>
      </c>
      <c r="Q747" s="26" t="str">
        <f>IF(OR(P747&lt;'Descriptive Statistics'!$H$17,P747&gt;'Descriptive Statistics'!$H$18),"Potential Outlier","Within Range")</f>
        <v>Within Range</v>
      </c>
      <c r="R747" s="26" t="str">
        <f>IF(OR(G747&lt;'Descriptive Statistics'!$I$17,G747&gt;'Descriptive Statistics'!$I$18),"Potential Outlier","Within Range")</f>
        <v>Within Range</v>
      </c>
      <c r="S747" s="26" t="str">
        <f>IF(OR(H747&lt;'Descriptive Statistics'!$J$17,H747&gt;'Descriptive Statistics'!$J$18),"Potential Outlier","Within Range")</f>
        <v>Within Range</v>
      </c>
    </row>
    <row r="748" hidden="1" spans="1:19">
      <c r="A748" t="s">
        <v>2766</v>
      </c>
      <c r="B748" s="23">
        <v>45712</v>
      </c>
      <c r="C748" s="23" t="str">
        <f t="shared" si="22"/>
        <v>Feb</v>
      </c>
      <c r="D748" s="23" t="str">
        <f t="shared" si="23"/>
        <v>2025</v>
      </c>
      <c r="E748" t="s">
        <v>2767</v>
      </c>
      <c r="F748" s="24" t="s">
        <v>73</v>
      </c>
      <c r="G748" s="17">
        <v>3</v>
      </c>
      <c r="H748" s="19">
        <v>661.89</v>
      </c>
      <c r="I748" t="s">
        <v>2768</v>
      </c>
      <c r="J748" s="24" t="s">
        <v>27</v>
      </c>
      <c r="K748" s="24" t="s">
        <v>35</v>
      </c>
      <c r="L748" t="s">
        <v>2769</v>
      </c>
      <c r="M748" s="17">
        <v>6</v>
      </c>
      <c r="N748" t="s">
        <v>81</v>
      </c>
      <c r="O748" s="24" t="s">
        <v>29</v>
      </c>
      <c r="P748" s="19">
        <v>1985.67</v>
      </c>
      <c r="Q748" s="26" t="str">
        <f>IF(OR(P748&lt;'Descriptive Statistics'!$H$17,P748&gt;'Descriptive Statistics'!$H$18),"Potential Outlier","Within Range")</f>
        <v>Within Range</v>
      </c>
      <c r="R748" s="26" t="str">
        <f>IF(OR(G748&lt;'Descriptive Statistics'!$I$17,G748&gt;'Descriptive Statistics'!$I$18),"Potential Outlier","Within Range")</f>
        <v>Within Range</v>
      </c>
      <c r="S748" s="26" t="str">
        <f>IF(OR(H748&lt;'Descriptive Statistics'!$J$17,H748&gt;'Descriptive Statistics'!$J$18),"Potential Outlier","Within Range")</f>
        <v>Within Range</v>
      </c>
    </row>
    <row r="749" hidden="1" spans="1:19">
      <c r="A749" t="s">
        <v>2770</v>
      </c>
      <c r="B749" s="23">
        <v>45728</v>
      </c>
      <c r="C749" s="23" t="str">
        <f t="shared" si="22"/>
        <v>Mar</v>
      </c>
      <c r="D749" s="23" t="str">
        <f t="shared" si="23"/>
        <v>2025</v>
      </c>
      <c r="E749" t="s">
        <v>2771</v>
      </c>
      <c r="F749" s="24" t="s">
        <v>32</v>
      </c>
      <c r="G749" s="17">
        <v>2</v>
      </c>
      <c r="H749" s="19">
        <v>259.58</v>
      </c>
      <c r="I749" t="s">
        <v>2772</v>
      </c>
      <c r="J749" s="24" t="s">
        <v>18</v>
      </c>
      <c r="K749" s="24" t="s">
        <v>50</v>
      </c>
      <c r="L749" t="s">
        <v>2773</v>
      </c>
      <c r="M749" s="17">
        <v>7</v>
      </c>
      <c r="N749" t="s">
        <v>37</v>
      </c>
      <c r="O749" s="24" t="s">
        <v>22</v>
      </c>
      <c r="P749" s="19">
        <v>519.16</v>
      </c>
      <c r="Q749" s="26" t="str">
        <f>IF(OR(P749&lt;'Descriptive Statistics'!$H$17,P749&gt;'Descriptive Statistics'!$H$18),"Potential Outlier","Within Range")</f>
        <v>Within Range</v>
      </c>
      <c r="R749" s="26" t="str">
        <f>IF(OR(G749&lt;'Descriptive Statistics'!$I$17,G749&gt;'Descriptive Statistics'!$I$18),"Potential Outlier","Within Range")</f>
        <v>Within Range</v>
      </c>
      <c r="S749" s="26" t="str">
        <f>IF(OR(H749&lt;'Descriptive Statistics'!$J$17,H749&gt;'Descriptive Statistics'!$J$18),"Potential Outlier","Within Range")</f>
        <v>Within Range</v>
      </c>
    </row>
    <row r="750" hidden="1" spans="1:19">
      <c r="A750" t="s">
        <v>2774</v>
      </c>
      <c r="B750" s="23">
        <v>45488</v>
      </c>
      <c r="C750" s="23" t="str">
        <f t="shared" si="22"/>
        <v>Jul</v>
      </c>
      <c r="D750" s="23" t="str">
        <f t="shared" si="23"/>
        <v>2024</v>
      </c>
      <c r="E750" t="s">
        <v>2775</v>
      </c>
      <c r="F750" s="24" t="s">
        <v>32</v>
      </c>
      <c r="G750" s="17">
        <v>3</v>
      </c>
      <c r="H750" s="19">
        <v>70.81</v>
      </c>
      <c r="I750" t="s">
        <v>1908</v>
      </c>
      <c r="J750" s="24" t="s">
        <v>34</v>
      </c>
      <c r="K750" s="24" t="s">
        <v>19</v>
      </c>
      <c r="L750" t="s">
        <v>2776</v>
      </c>
      <c r="M750" s="17">
        <v>8</v>
      </c>
      <c r="N750" t="s">
        <v>37</v>
      </c>
      <c r="O750" s="24" t="s">
        <v>29</v>
      </c>
      <c r="P750" s="19">
        <v>212.43</v>
      </c>
      <c r="Q750" s="26" t="str">
        <f>IF(OR(P750&lt;'Descriptive Statistics'!$H$17,P750&gt;'Descriptive Statistics'!$H$18),"Potential Outlier","Within Range")</f>
        <v>Within Range</v>
      </c>
      <c r="R750" s="26" t="str">
        <f>IF(OR(G750&lt;'Descriptive Statistics'!$I$17,G750&gt;'Descriptive Statistics'!$I$18),"Potential Outlier","Within Range")</f>
        <v>Within Range</v>
      </c>
      <c r="S750" s="26" t="str">
        <f>IF(OR(H750&lt;'Descriptive Statistics'!$J$17,H750&gt;'Descriptive Statistics'!$J$18),"Potential Outlier","Within Range")</f>
        <v>Within Range</v>
      </c>
    </row>
    <row r="751" hidden="1" spans="1:19">
      <c r="A751" t="s">
        <v>2777</v>
      </c>
      <c r="B751" s="23">
        <v>45760</v>
      </c>
      <c r="C751" s="23" t="str">
        <f t="shared" si="22"/>
        <v>Apr</v>
      </c>
      <c r="D751" s="23" t="str">
        <f t="shared" si="23"/>
        <v>2025</v>
      </c>
      <c r="E751" t="s">
        <v>2778</v>
      </c>
      <c r="F751" s="24" t="s">
        <v>58</v>
      </c>
      <c r="G751" s="17">
        <v>1</v>
      </c>
      <c r="H751" s="19">
        <v>518.39</v>
      </c>
      <c r="I751" t="s">
        <v>2779</v>
      </c>
      <c r="J751" s="24" t="s">
        <v>18</v>
      </c>
      <c r="K751" s="24" t="s">
        <v>89</v>
      </c>
      <c r="L751" t="s">
        <v>2780</v>
      </c>
      <c r="M751" s="17">
        <v>4</v>
      </c>
      <c r="N751" t="s">
        <v>37</v>
      </c>
      <c r="O751" s="24" t="s">
        <v>22</v>
      </c>
      <c r="P751" s="19">
        <v>518.39</v>
      </c>
      <c r="Q751" s="26" t="str">
        <f>IF(OR(P751&lt;'Descriptive Statistics'!$H$17,P751&gt;'Descriptive Statistics'!$H$18),"Potential Outlier","Within Range")</f>
        <v>Within Range</v>
      </c>
      <c r="R751" s="26" t="str">
        <f>IF(OR(G751&lt;'Descriptive Statistics'!$I$17,G751&gt;'Descriptive Statistics'!$I$18),"Potential Outlier","Within Range")</f>
        <v>Within Range</v>
      </c>
      <c r="S751" s="26" t="str">
        <f>IF(OR(H751&lt;'Descriptive Statistics'!$J$17,H751&gt;'Descriptive Statistics'!$J$18),"Potential Outlier","Within Range")</f>
        <v>Within Range</v>
      </c>
    </row>
    <row r="752" hidden="1" spans="1:19">
      <c r="A752" t="s">
        <v>2781</v>
      </c>
      <c r="B752" s="23">
        <v>44940</v>
      </c>
      <c r="C752" s="23" t="str">
        <f t="shared" si="22"/>
        <v>Jan</v>
      </c>
      <c r="D752" s="23" t="str">
        <f t="shared" si="23"/>
        <v>2023</v>
      </c>
      <c r="E752" t="s">
        <v>2782</v>
      </c>
      <c r="F752" s="24" t="s">
        <v>32</v>
      </c>
      <c r="G752" s="17">
        <v>4</v>
      </c>
      <c r="H752" s="19">
        <v>145.41</v>
      </c>
      <c r="I752" t="s">
        <v>2783</v>
      </c>
      <c r="J752" s="24" t="s">
        <v>34</v>
      </c>
      <c r="K752" s="24" t="s">
        <v>43</v>
      </c>
      <c r="L752" t="s">
        <v>2784</v>
      </c>
      <c r="M752" s="17">
        <v>7</v>
      </c>
      <c r="N752" t="s">
        <v>37</v>
      </c>
      <c r="O752" s="24" t="s">
        <v>38</v>
      </c>
      <c r="P752" s="19">
        <v>581.64</v>
      </c>
      <c r="Q752" s="26" t="str">
        <f>IF(OR(P752&lt;'Descriptive Statistics'!$H$17,P752&gt;'Descriptive Statistics'!$H$18),"Potential Outlier","Within Range")</f>
        <v>Within Range</v>
      </c>
      <c r="R752" s="26" t="str">
        <f>IF(OR(G752&lt;'Descriptive Statistics'!$I$17,G752&gt;'Descriptive Statistics'!$I$18),"Potential Outlier","Within Range")</f>
        <v>Within Range</v>
      </c>
      <c r="S752" s="26" t="str">
        <f>IF(OR(H752&lt;'Descriptive Statistics'!$J$17,H752&gt;'Descriptive Statistics'!$J$18),"Potential Outlier","Within Range")</f>
        <v>Within Range</v>
      </c>
    </row>
    <row r="753" hidden="1" spans="1:19">
      <c r="A753" t="s">
        <v>2785</v>
      </c>
      <c r="B753" s="23">
        <v>44950</v>
      </c>
      <c r="C753" s="23" t="str">
        <f t="shared" si="22"/>
        <v>Jan</v>
      </c>
      <c r="D753" s="23" t="str">
        <f t="shared" si="23"/>
        <v>2023</v>
      </c>
      <c r="E753" t="s">
        <v>2786</v>
      </c>
      <c r="F753" s="24" t="s">
        <v>32</v>
      </c>
      <c r="G753" s="17">
        <v>2</v>
      </c>
      <c r="H753" s="19">
        <v>599.86</v>
      </c>
      <c r="I753" t="s">
        <v>2787</v>
      </c>
      <c r="J753" s="24" t="s">
        <v>60</v>
      </c>
      <c r="K753" s="24" t="s">
        <v>89</v>
      </c>
      <c r="L753" t="s">
        <v>2788</v>
      </c>
      <c r="M753" s="17">
        <v>7</v>
      </c>
      <c r="N753" t="s">
        <v>37</v>
      </c>
      <c r="O753" s="24" t="s">
        <v>45</v>
      </c>
      <c r="P753" s="19">
        <v>1199.72</v>
      </c>
      <c r="Q753" s="26" t="str">
        <f>IF(OR(P753&lt;'Descriptive Statistics'!$H$17,P753&gt;'Descriptive Statistics'!$H$18),"Potential Outlier","Within Range")</f>
        <v>Within Range</v>
      </c>
      <c r="R753" s="26" t="str">
        <f>IF(OR(G753&lt;'Descriptive Statistics'!$I$17,G753&gt;'Descriptive Statistics'!$I$18),"Potential Outlier","Within Range")</f>
        <v>Within Range</v>
      </c>
      <c r="S753" s="26" t="str">
        <f>IF(OR(H753&lt;'Descriptive Statistics'!$J$17,H753&gt;'Descriptive Statistics'!$J$18),"Potential Outlier","Within Range")</f>
        <v>Within Range</v>
      </c>
    </row>
    <row r="754" hidden="1" spans="1:19">
      <c r="A754" t="s">
        <v>2789</v>
      </c>
      <c r="B754" s="23">
        <v>45568</v>
      </c>
      <c r="C754" s="23" t="str">
        <f t="shared" si="22"/>
        <v>Oct</v>
      </c>
      <c r="D754" s="23" t="str">
        <f t="shared" si="23"/>
        <v>2024</v>
      </c>
      <c r="E754" t="s">
        <v>2790</v>
      </c>
      <c r="F754" s="24" t="s">
        <v>25</v>
      </c>
      <c r="G754" s="17">
        <v>4</v>
      </c>
      <c r="H754" s="19">
        <v>429.37</v>
      </c>
      <c r="I754" t="s">
        <v>1113</v>
      </c>
      <c r="J754" s="24" t="s">
        <v>34</v>
      </c>
      <c r="K754" s="24" t="s">
        <v>50</v>
      </c>
      <c r="L754" t="s">
        <v>2791</v>
      </c>
      <c r="M754" s="17">
        <v>8</v>
      </c>
      <c r="N754" t="s">
        <v>37</v>
      </c>
      <c r="O754" s="24" t="s">
        <v>76</v>
      </c>
      <c r="P754" s="19">
        <v>1717.48</v>
      </c>
      <c r="Q754" s="26" t="str">
        <f>IF(OR(P754&lt;'Descriptive Statistics'!$H$17,P754&gt;'Descriptive Statistics'!$H$18),"Potential Outlier","Within Range")</f>
        <v>Within Range</v>
      </c>
      <c r="R754" s="26" t="str">
        <f>IF(OR(G754&lt;'Descriptive Statistics'!$I$17,G754&gt;'Descriptive Statistics'!$I$18),"Potential Outlier","Within Range")</f>
        <v>Within Range</v>
      </c>
      <c r="S754" s="26" t="str">
        <f>IF(OR(H754&lt;'Descriptive Statistics'!$J$17,H754&gt;'Descriptive Statistics'!$J$18),"Potential Outlier","Within Range")</f>
        <v>Within Range</v>
      </c>
    </row>
    <row r="755" hidden="1" spans="1:19">
      <c r="A755" t="s">
        <v>2792</v>
      </c>
      <c r="B755" s="23">
        <v>45406</v>
      </c>
      <c r="C755" s="23" t="str">
        <f t="shared" si="22"/>
        <v>Apr</v>
      </c>
      <c r="D755" s="23" t="str">
        <f t="shared" si="23"/>
        <v>2024</v>
      </c>
      <c r="E755" t="s">
        <v>2793</v>
      </c>
      <c r="F755" s="24" t="s">
        <v>25</v>
      </c>
      <c r="G755" s="17">
        <v>2</v>
      </c>
      <c r="H755" s="19">
        <v>241.49</v>
      </c>
      <c r="I755" t="s">
        <v>2794</v>
      </c>
      <c r="J755" s="24" t="s">
        <v>18</v>
      </c>
      <c r="K755" s="24" t="s">
        <v>43</v>
      </c>
      <c r="L755" t="s">
        <v>2795</v>
      </c>
      <c r="M755" s="17">
        <v>7</v>
      </c>
      <c r="N755" t="s">
        <v>37</v>
      </c>
      <c r="O755" s="24" t="s">
        <v>22</v>
      </c>
      <c r="P755" s="19">
        <v>482.98</v>
      </c>
      <c r="Q755" s="26" t="str">
        <f>IF(OR(P755&lt;'Descriptive Statistics'!$H$17,P755&gt;'Descriptive Statistics'!$H$18),"Potential Outlier","Within Range")</f>
        <v>Within Range</v>
      </c>
      <c r="R755" s="26" t="str">
        <f>IF(OR(G755&lt;'Descriptive Statistics'!$I$17,G755&gt;'Descriptive Statistics'!$I$18),"Potential Outlier","Within Range")</f>
        <v>Within Range</v>
      </c>
      <c r="S755" s="26" t="str">
        <f>IF(OR(H755&lt;'Descriptive Statistics'!$J$17,H755&gt;'Descriptive Statistics'!$J$18),"Potential Outlier","Within Range")</f>
        <v>Within Range</v>
      </c>
    </row>
    <row r="756" hidden="1" spans="1:19">
      <c r="A756" t="s">
        <v>2796</v>
      </c>
      <c r="B756" s="23">
        <v>45808</v>
      </c>
      <c r="C756" s="23" t="str">
        <f t="shared" si="22"/>
        <v>May</v>
      </c>
      <c r="D756" s="23" t="str">
        <f t="shared" si="23"/>
        <v>2025</v>
      </c>
      <c r="E756" t="s">
        <v>2797</v>
      </c>
      <c r="F756" s="24" t="s">
        <v>48</v>
      </c>
      <c r="G756" s="17">
        <v>2</v>
      </c>
      <c r="H756" s="19">
        <v>452.05</v>
      </c>
      <c r="I756" t="s">
        <v>2798</v>
      </c>
      <c r="J756" s="24" t="s">
        <v>34</v>
      </c>
      <c r="K756" s="24" t="s">
        <v>43</v>
      </c>
      <c r="L756" t="s">
        <v>2799</v>
      </c>
      <c r="M756" s="17">
        <v>3</v>
      </c>
      <c r="N756" t="s">
        <v>81</v>
      </c>
      <c r="O756" s="24" t="s">
        <v>38</v>
      </c>
      <c r="P756" s="19">
        <v>904.1</v>
      </c>
      <c r="Q756" s="26" t="str">
        <f>IF(OR(P756&lt;'Descriptive Statistics'!$H$17,P756&gt;'Descriptive Statistics'!$H$18),"Potential Outlier","Within Range")</f>
        <v>Within Range</v>
      </c>
      <c r="R756" s="26" t="str">
        <f>IF(OR(G756&lt;'Descriptive Statistics'!$I$17,G756&gt;'Descriptive Statistics'!$I$18),"Potential Outlier","Within Range")</f>
        <v>Within Range</v>
      </c>
      <c r="S756" s="26" t="str">
        <f>IF(OR(H756&lt;'Descriptive Statistics'!$J$17,H756&gt;'Descriptive Statistics'!$J$18),"Potential Outlier","Within Range")</f>
        <v>Within Range</v>
      </c>
    </row>
    <row r="757" hidden="1" spans="1:19">
      <c r="A757" t="s">
        <v>2800</v>
      </c>
      <c r="B757" s="23">
        <v>45090</v>
      </c>
      <c r="C757" s="23" t="str">
        <f t="shared" si="22"/>
        <v>Jun</v>
      </c>
      <c r="D757" s="23" t="str">
        <f t="shared" si="23"/>
        <v>2023</v>
      </c>
      <c r="E757" t="s">
        <v>2801</v>
      </c>
      <c r="F757" s="24" t="s">
        <v>73</v>
      </c>
      <c r="G757" s="17">
        <v>3</v>
      </c>
      <c r="H757" s="19">
        <v>336.71</v>
      </c>
      <c r="I757" t="s">
        <v>2802</v>
      </c>
      <c r="J757" s="24" t="s">
        <v>34</v>
      </c>
      <c r="K757" s="24" t="s">
        <v>89</v>
      </c>
      <c r="L757" t="s">
        <v>2803</v>
      </c>
      <c r="M757" s="17">
        <v>4</v>
      </c>
      <c r="N757" t="s">
        <v>4295</v>
      </c>
      <c r="O757" s="24" t="s">
        <v>38</v>
      </c>
      <c r="P757" s="19">
        <v>1010.13</v>
      </c>
      <c r="Q757" s="26" t="str">
        <f>IF(OR(P757&lt;'Descriptive Statistics'!$H$17,P757&gt;'Descriptive Statistics'!$H$18),"Potential Outlier","Within Range")</f>
        <v>Within Range</v>
      </c>
      <c r="R757" s="26" t="str">
        <f>IF(OR(G757&lt;'Descriptive Statistics'!$I$17,G757&gt;'Descriptive Statistics'!$I$18),"Potential Outlier","Within Range")</f>
        <v>Within Range</v>
      </c>
      <c r="S757" s="26" t="str">
        <f>IF(OR(H757&lt;'Descriptive Statistics'!$J$17,H757&gt;'Descriptive Statistics'!$J$18),"Potential Outlier","Within Range")</f>
        <v>Within Range</v>
      </c>
    </row>
    <row r="758" hidden="1" spans="1:19">
      <c r="A758" t="s">
        <v>2804</v>
      </c>
      <c r="B758" s="23">
        <v>45470</v>
      </c>
      <c r="C758" s="23" t="str">
        <f t="shared" si="22"/>
        <v>Jun</v>
      </c>
      <c r="D758" s="23" t="str">
        <f t="shared" si="23"/>
        <v>2024</v>
      </c>
      <c r="E758" t="s">
        <v>2805</v>
      </c>
      <c r="F758" s="24" t="s">
        <v>25</v>
      </c>
      <c r="G758" s="17">
        <v>1</v>
      </c>
      <c r="H758" s="19">
        <v>283.69</v>
      </c>
      <c r="I758" t="s">
        <v>269</v>
      </c>
      <c r="J758" s="24" t="s">
        <v>60</v>
      </c>
      <c r="K758" s="24" t="s">
        <v>19</v>
      </c>
      <c r="L758" t="s">
        <v>2806</v>
      </c>
      <c r="M758" s="17">
        <v>6</v>
      </c>
      <c r="N758" t="s">
        <v>4295</v>
      </c>
      <c r="O758" s="24" t="s">
        <v>76</v>
      </c>
      <c r="P758" s="19">
        <v>283.69</v>
      </c>
      <c r="Q758" s="26" t="str">
        <f>IF(OR(P758&lt;'Descriptive Statistics'!$H$17,P758&gt;'Descriptive Statistics'!$H$18),"Potential Outlier","Within Range")</f>
        <v>Within Range</v>
      </c>
      <c r="R758" s="26" t="str">
        <f>IF(OR(G758&lt;'Descriptive Statistics'!$I$17,G758&gt;'Descriptive Statistics'!$I$18),"Potential Outlier","Within Range")</f>
        <v>Within Range</v>
      </c>
      <c r="S758" s="26" t="str">
        <f>IF(OR(H758&lt;'Descriptive Statistics'!$J$17,H758&gt;'Descriptive Statistics'!$J$18),"Potential Outlier","Within Range")</f>
        <v>Within Range</v>
      </c>
    </row>
    <row r="759" hidden="1" spans="1:19">
      <c r="A759" t="s">
        <v>2807</v>
      </c>
      <c r="B759" s="23">
        <v>45344</v>
      </c>
      <c r="C759" s="23" t="str">
        <f t="shared" si="22"/>
        <v>Feb</v>
      </c>
      <c r="D759" s="23" t="str">
        <f t="shared" si="23"/>
        <v>2024</v>
      </c>
      <c r="E759" t="s">
        <v>2808</v>
      </c>
      <c r="F759" s="24" t="s">
        <v>73</v>
      </c>
      <c r="G759" s="17">
        <v>1</v>
      </c>
      <c r="H759" s="19">
        <v>157.72</v>
      </c>
      <c r="I759" t="s">
        <v>779</v>
      </c>
      <c r="J759" s="24" t="s">
        <v>18</v>
      </c>
      <c r="K759" s="24" t="s">
        <v>50</v>
      </c>
      <c r="L759" t="s">
        <v>2809</v>
      </c>
      <c r="M759" s="17">
        <v>2</v>
      </c>
      <c r="N759" t="s">
        <v>37</v>
      </c>
      <c r="O759" s="24" t="s">
        <v>76</v>
      </c>
      <c r="P759" s="19">
        <v>157.72</v>
      </c>
      <c r="Q759" s="26" t="str">
        <f>IF(OR(P759&lt;'Descriptive Statistics'!$H$17,P759&gt;'Descriptive Statistics'!$H$18),"Potential Outlier","Within Range")</f>
        <v>Within Range</v>
      </c>
      <c r="R759" s="26" t="str">
        <f>IF(OR(G759&lt;'Descriptive Statistics'!$I$17,G759&gt;'Descriptive Statistics'!$I$18),"Potential Outlier","Within Range")</f>
        <v>Within Range</v>
      </c>
      <c r="S759" s="26" t="str">
        <f>IF(OR(H759&lt;'Descriptive Statistics'!$J$17,H759&gt;'Descriptive Statistics'!$J$18),"Potential Outlier","Within Range")</f>
        <v>Within Range</v>
      </c>
    </row>
    <row r="760" hidden="1" spans="1:19">
      <c r="A760" t="s">
        <v>2810</v>
      </c>
      <c r="B760" s="23">
        <v>45011</v>
      </c>
      <c r="C760" s="23" t="str">
        <f t="shared" si="22"/>
        <v>Mar</v>
      </c>
      <c r="D760" s="23" t="str">
        <f t="shared" si="23"/>
        <v>2023</v>
      </c>
      <c r="E760" t="s">
        <v>2811</v>
      </c>
      <c r="F760" s="24" t="s">
        <v>32</v>
      </c>
      <c r="G760" s="17">
        <v>3</v>
      </c>
      <c r="H760" s="19">
        <v>624.84</v>
      </c>
      <c r="I760" t="s">
        <v>335</v>
      </c>
      <c r="J760" s="24" t="s">
        <v>34</v>
      </c>
      <c r="K760" s="24" t="s">
        <v>35</v>
      </c>
      <c r="L760" t="s">
        <v>2812</v>
      </c>
      <c r="M760" s="17">
        <v>8</v>
      </c>
      <c r="N760" t="s">
        <v>81</v>
      </c>
      <c r="O760" s="24" t="s">
        <v>45</v>
      </c>
      <c r="P760" s="19">
        <v>1874.52</v>
      </c>
      <c r="Q760" s="26" t="str">
        <f>IF(OR(P760&lt;'Descriptive Statistics'!$H$17,P760&gt;'Descriptive Statistics'!$H$18),"Potential Outlier","Within Range")</f>
        <v>Within Range</v>
      </c>
      <c r="R760" s="26" t="str">
        <f>IF(OR(G760&lt;'Descriptive Statistics'!$I$17,G760&gt;'Descriptive Statistics'!$I$18),"Potential Outlier","Within Range")</f>
        <v>Within Range</v>
      </c>
      <c r="S760" s="26" t="str">
        <f>IF(OR(H760&lt;'Descriptive Statistics'!$J$17,H760&gt;'Descriptive Statistics'!$J$18),"Potential Outlier","Within Range")</f>
        <v>Within Range</v>
      </c>
    </row>
    <row r="761" hidden="1" spans="1:19">
      <c r="A761" t="s">
        <v>2813</v>
      </c>
      <c r="B761" s="23">
        <v>45131</v>
      </c>
      <c r="C761" s="23" t="str">
        <f t="shared" si="22"/>
        <v>Jul</v>
      </c>
      <c r="D761" s="23" t="str">
        <f t="shared" si="23"/>
        <v>2023</v>
      </c>
      <c r="E761" t="s">
        <v>2814</v>
      </c>
      <c r="F761" s="24" t="s">
        <v>73</v>
      </c>
      <c r="G761" s="17">
        <v>3</v>
      </c>
      <c r="H761" s="19">
        <v>308.01</v>
      </c>
      <c r="I761" t="s">
        <v>2815</v>
      </c>
      <c r="J761" s="24" t="s">
        <v>65</v>
      </c>
      <c r="K761" s="24" t="s">
        <v>89</v>
      </c>
      <c r="L761" t="s">
        <v>2816</v>
      </c>
      <c r="M761" s="17">
        <v>3</v>
      </c>
      <c r="N761" t="s">
        <v>37</v>
      </c>
      <c r="O761" s="24" t="s">
        <v>45</v>
      </c>
      <c r="P761" s="19">
        <v>924.03</v>
      </c>
      <c r="Q761" s="26" t="str">
        <f>IF(OR(P761&lt;'Descriptive Statistics'!$H$17,P761&gt;'Descriptive Statistics'!$H$18),"Potential Outlier","Within Range")</f>
        <v>Within Range</v>
      </c>
      <c r="R761" s="26" t="str">
        <f>IF(OR(G761&lt;'Descriptive Statistics'!$I$17,G761&gt;'Descriptive Statistics'!$I$18),"Potential Outlier","Within Range")</f>
        <v>Within Range</v>
      </c>
      <c r="S761" s="26" t="str">
        <f>IF(OR(H761&lt;'Descriptive Statistics'!$J$17,H761&gt;'Descriptive Statistics'!$J$18),"Potential Outlier","Within Range")</f>
        <v>Within Range</v>
      </c>
    </row>
    <row r="762" hidden="1" spans="1:19">
      <c r="A762" t="s">
        <v>2817</v>
      </c>
      <c r="B762" s="23">
        <v>45706</v>
      </c>
      <c r="C762" s="23" t="str">
        <f t="shared" si="22"/>
        <v>Feb</v>
      </c>
      <c r="D762" s="23" t="str">
        <f t="shared" si="23"/>
        <v>2025</v>
      </c>
      <c r="E762" t="s">
        <v>2818</v>
      </c>
      <c r="F762" s="24" t="s">
        <v>73</v>
      </c>
      <c r="G762" s="17">
        <v>1</v>
      </c>
      <c r="H762" s="19">
        <v>39.56</v>
      </c>
      <c r="I762" t="s">
        <v>735</v>
      </c>
      <c r="J762" s="24" t="s">
        <v>18</v>
      </c>
      <c r="K762" s="24" t="s">
        <v>35</v>
      </c>
      <c r="L762" t="s">
        <v>2819</v>
      </c>
      <c r="M762" s="17">
        <v>5</v>
      </c>
      <c r="N762" t="s">
        <v>4295</v>
      </c>
      <c r="O762" s="24" t="s">
        <v>76</v>
      </c>
      <c r="P762" s="19">
        <v>39.56</v>
      </c>
      <c r="Q762" s="26" t="str">
        <f>IF(OR(P762&lt;'Descriptive Statistics'!$H$17,P762&gt;'Descriptive Statistics'!$H$18),"Potential Outlier","Within Range")</f>
        <v>Within Range</v>
      </c>
      <c r="R762" s="26" t="str">
        <f>IF(OR(G762&lt;'Descriptive Statistics'!$I$17,G762&gt;'Descriptive Statistics'!$I$18),"Potential Outlier","Within Range")</f>
        <v>Within Range</v>
      </c>
      <c r="S762" s="26" t="str">
        <f>IF(OR(H762&lt;'Descriptive Statistics'!$J$17,H762&gt;'Descriptive Statistics'!$J$18),"Potential Outlier","Within Range")</f>
        <v>Within Range</v>
      </c>
    </row>
    <row r="763" hidden="1" spans="1:19">
      <c r="A763" t="s">
        <v>2820</v>
      </c>
      <c r="B763" s="23">
        <v>45079</v>
      </c>
      <c r="C763" s="23" t="str">
        <f t="shared" si="22"/>
        <v>Jun</v>
      </c>
      <c r="D763" s="23" t="str">
        <f t="shared" si="23"/>
        <v>2023</v>
      </c>
      <c r="E763" t="s">
        <v>2821</v>
      </c>
      <c r="F763" s="24" t="s">
        <v>73</v>
      </c>
      <c r="G763" s="17">
        <v>4</v>
      </c>
      <c r="H763" s="19">
        <v>37.76</v>
      </c>
      <c r="I763" t="s">
        <v>2822</v>
      </c>
      <c r="J763" s="24" t="s">
        <v>18</v>
      </c>
      <c r="K763" s="24" t="s">
        <v>50</v>
      </c>
      <c r="L763" t="s">
        <v>2823</v>
      </c>
      <c r="M763" s="17">
        <v>7</v>
      </c>
      <c r="N763" t="s">
        <v>4295</v>
      </c>
      <c r="O763" s="24" t="s">
        <v>76</v>
      </c>
      <c r="P763" s="19">
        <v>151.04</v>
      </c>
      <c r="Q763" s="26" t="str">
        <f>IF(OR(P763&lt;'Descriptive Statistics'!$H$17,P763&gt;'Descriptive Statistics'!$H$18),"Potential Outlier","Within Range")</f>
        <v>Within Range</v>
      </c>
      <c r="R763" s="26" t="str">
        <f>IF(OR(G763&lt;'Descriptive Statistics'!$I$17,G763&gt;'Descriptive Statistics'!$I$18),"Potential Outlier","Within Range")</f>
        <v>Within Range</v>
      </c>
      <c r="S763" s="26" t="str">
        <f>IF(OR(H763&lt;'Descriptive Statistics'!$J$17,H763&gt;'Descriptive Statistics'!$J$18),"Potential Outlier","Within Range")</f>
        <v>Within Range</v>
      </c>
    </row>
    <row r="764" hidden="1" spans="1:19">
      <c r="A764" t="s">
        <v>2824</v>
      </c>
      <c r="B764" s="23">
        <v>45552</v>
      </c>
      <c r="C764" s="23" t="str">
        <f t="shared" si="22"/>
        <v>Sep</v>
      </c>
      <c r="D764" s="23" t="str">
        <f t="shared" si="23"/>
        <v>2024</v>
      </c>
      <c r="E764" t="s">
        <v>2825</v>
      </c>
      <c r="F764" s="24" t="s">
        <v>25</v>
      </c>
      <c r="G764" s="17">
        <v>3</v>
      </c>
      <c r="H764" s="19">
        <v>76.96</v>
      </c>
      <c r="I764" t="s">
        <v>395</v>
      </c>
      <c r="J764" s="24" t="s">
        <v>65</v>
      </c>
      <c r="K764" s="24" t="s">
        <v>43</v>
      </c>
      <c r="L764" t="s">
        <v>2826</v>
      </c>
      <c r="M764" s="17">
        <v>8</v>
      </c>
      <c r="N764" t="s">
        <v>37</v>
      </c>
      <c r="O764" s="24" t="s">
        <v>38</v>
      </c>
      <c r="P764" s="19">
        <v>230.88</v>
      </c>
      <c r="Q764" s="26" t="str">
        <f>IF(OR(P764&lt;'Descriptive Statistics'!$H$17,P764&gt;'Descriptive Statistics'!$H$18),"Potential Outlier","Within Range")</f>
        <v>Within Range</v>
      </c>
      <c r="R764" s="26" t="str">
        <f>IF(OR(G764&lt;'Descriptive Statistics'!$I$17,G764&gt;'Descriptive Statistics'!$I$18),"Potential Outlier","Within Range")</f>
        <v>Within Range</v>
      </c>
      <c r="S764" s="26" t="str">
        <f>IF(OR(H764&lt;'Descriptive Statistics'!$J$17,H764&gt;'Descriptive Statistics'!$J$18),"Potential Outlier","Within Range")</f>
        <v>Within Range</v>
      </c>
    </row>
    <row r="765" hidden="1" spans="1:19">
      <c r="A765" t="s">
        <v>2827</v>
      </c>
      <c r="B765" s="23">
        <v>45022</v>
      </c>
      <c r="C765" s="23" t="str">
        <f t="shared" si="22"/>
        <v>Apr</v>
      </c>
      <c r="D765" s="23" t="str">
        <f t="shared" si="23"/>
        <v>2023</v>
      </c>
      <c r="E765" t="s">
        <v>2828</v>
      </c>
      <c r="F765" s="24" t="s">
        <v>58</v>
      </c>
      <c r="G765" s="17">
        <v>1</v>
      </c>
      <c r="H765" s="19">
        <v>569.96</v>
      </c>
      <c r="I765" t="s">
        <v>426</v>
      </c>
      <c r="J765" s="24" t="s">
        <v>27</v>
      </c>
      <c r="K765" s="24" t="s">
        <v>50</v>
      </c>
      <c r="L765" t="s">
        <v>2829</v>
      </c>
      <c r="M765" s="17">
        <v>4</v>
      </c>
      <c r="N765" t="s">
        <v>37</v>
      </c>
      <c r="O765" s="24" t="s">
        <v>38</v>
      </c>
      <c r="P765" s="19">
        <v>569.96</v>
      </c>
      <c r="Q765" s="26" t="str">
        <f>IF(OR(P765&lt;'Descriptive Statistics'!$H$17,P765&gt;'Descriptive Statistics'!$H$18),"Potential Outlier","Within Range")</f>
        <v>Within Range</v>
      </c>
      <c r="R765" s="26" t="str">
        <f>IF(OR(G765&lt;'Descriptive Statistics'!$I$17,G765&gt;'Descriptive Statistics'!$I$18),"Potential Outlier","Within Range")</f>
        <v>Within Range</v>
      </c>
      <c r="S765" s="26" t="str">
        <f>IF(OR(H765&lt;'Descriptive Statistics'!$J$17,H765&gt;'Descriptive Statistics'!$J$18),"Potential Outlier","Within Range")</f>
        <v>Within Range</v>
      </c>
    </row>
    <row r="766" hidden="1" spans="1:19">
      <c r="A766" t="s">
        <v>2830</v>
      </c>
      <c r="B766" s="23">
        <v>45361</v>
      </c>
      <c r="C766" s="23" t="str">
        <f t="shared" si="22"/>
        <v>Mar</v>
      </c>
      <c r="D766" s="23" t="str">
        <f t="shared" si="23"/>
        <v>2024</v>
      </c>
      <c r="E766" t="s">
        <v>2831</v>
      </c>
      <c r="F766" s="24" t="s">
        <v>58</v>
      </c>
      <c r="G766" s="17">
        <v>5</v>
      </c>
      <c r="H766" s="19">
        <v>627.43</v>
      </c>
      <c r="I766" t="s">
        <v>715</v>
      </c>
      <c r="J766" s="24" t="s">
        <v>34</v>
      </c>
      <c r="K766" s="24" t="s">
        <v>35</v>
      </c>
      <c r="L766" t="s">
        <v>2832</v>
      </c>
      <c r="M766" s="17">
        <v>10</v>
      </c>
      <c r="N766" t="s">
        <v>37</v>
      </c>
      <c r="O766" s="24" t="s">
        <v>38</v>
      </c>
      <c r="P766" s="19">
        <v>3137.15</v>
      </c>
      <c r="Q766" s="26" t="str">
        <f>IF(OR(P766&lt;'Descriptive Statistics'!$H$17,P766&gt;'Descriptive Statistics'!$H$18),"Potential Outlier","Within Range")</f>
        <v>Within Range</v>
      </c>
      <c r="R766" s="26" t="str">
        <f>IF(OR(G766&lt;'Descriptive Statistics'!$I$17,G766&gt;'Descriptive Statistics'!$I$18),"Potential Outlier","Within Range")</f>
        <v>Within Range</v>
      </c>
      <c r="S766" s="26" t="str">
        <f>IF(OR(H766&lt;'Descriptive Statistics'!$J$17,H766&gt;'Descriptive Statistics'!$J$18),"Potential Outlier","Within Range")</f>
        <v>Within Range</v>
      </c>
    </row>
    <row r="767" hidden="1" spans="1:19">
      <c r="A767" t="s">
        <v>2833</v>
      </c>
      <c r="B767" s="23">
        <v>45205</v>
      </c>
      <c r="C767" s="23" t="str">
        <f t="shared" si="22"/>
        <v>Oct</v>
      </c>
      <c r="D767" s="23" t="str">
        <f t="shared" si="23"/>
        <v>2023</v>
      </c>
      <c r="E767" t="s">
        <v>2834</v>
      </c>
      <c r="F767" s="24" t="s">
        <v>58</v>
      </c>
      <c r="G767" s="17">
        <v>2</v>
      </c>
      <c r="H767" s="19">
        <v>534.91</v>
      </c>
      <c r="I767" t="s">
        <v>2661</v>
      </c>
      <c r="J767" s="24" t="s">
        <v>18</v>
      </c>
      <c r="K767" s="24" t="s">
        <v>43</v>
      </c>
      <c r="L767" t="s">
        <v>2835</v>
      </c>
      <c r="M767" s="17">
        <v>5</v>
      </c>
      <c r="N767" t="s">
        <v>21</v>
      </c>
      <c r="O767" s="24" t="s">
        <v>76</v>
      </c>
      <c r="P767" s="19">
        <v>1069.82</v>
      </c>
      <c r="Q767" s="26" t="str">
        <f>IF(OR(P767&lt;'Descriptive Statistics'!$H$17,P767&gt;'Descriptive Statistics'!$H$18),"Potential Outlier","Within Range")</f>
        <v>Within Range</v>
      </c>
      <c r="R767" s="26" t="str">
        <f>IF(OR(G767&lt;'Descriptive Statistics'!$I$17,G767&gt;'Descriptive Statistics'!$I$18),"Potential Outlier","Within Range")</f>
        <v>Within Range</v>
      </c>
      <c r="S767" s="26" t="str">
        <f>IF(OR(H767&lt;'Descriptive Statistics'!$J$17,H767&gt;'Descriptive Statistics'!$J$18),"Potential Outlier","Within Range")</f>
        <v>Within Range</v>
      </c>
    </row>
    <row r="768" hidden="1" spans="1:19">
      <c r="A768" t="s">
        <v>2836</v>
      </c>
      <c r="B768" s="23">
        <v>44948</v>
      </c>
      <c r="C768" s="23" t="str">
        <f t="shared" si="22"/>
        <v>Jan</v>
      </c>
      <c r="D768" s="23" t="str">
        <f t="shared" si="23"/>
        <v>2023</v>
      </c>
      <c r="E768" t="s">
        <v>2837</v>
      </c>
      <c r="F768" s="24" t="s">
        <v>48</v>
      </c>
      <c r="G768" s="17">
        <v>2</v>
      </c>
      <c r="H768" s="19">
        <v>278.88</v>
      </c>
      <c r="I768" t="s">
        <v>1388</v>
      </c>
      <c r="J768" s="24" t="s">
        <v>18</v>
      </c>
      <c r="K768" s="24" t="s">
        <v>89</v>
      </c>
      <c r="L768" t="s">
        <v>2838</v>
      </c>
      <c r="M768" s="17">
        <v>3</v>
      </c>
      <c r="N768" t="s">
        <v>37</v>
      </c>
      <c r="O768" s="24" t="s">
        <v>29</v>
      </c>
      <c r="P768" s="19">
        <v>557.76</v>
      </c>
      <c r="Q768" s="26" t="str">
        <f>IF(OR(P768&lt;'Descriptive Statistics'!$H$17,P768&gt;'Descriptive Statistics'!$H$18),"Potential Outlier","Within Range")</f>
        <v>Within Range</v>
      </c>
      <c r="R768" s="26" t="str">
        <f>IF(OR(G768&lt;'Descriptive Statistics'!$I$17,G768&gt;'Descriptive Statistics'!$I$18),"Potential Outlier","Within Range")</f>
        <v>Within Range</v>
      </c>
      <c r="S768" s="26" t="str">
        <f>IF(OR(H768&lt;'Descriptive Statistics'!$J$17,H768&gt;'Descriptive Statistics'!$J$18),"Potential Outlier","Within Range")</f>
        <v>Within Range</v>
      </c>
    </row>
    <row r="769" hidden="1" spans="1:19">
      <c r="A769" t="s">
        <v>2839</v>
      </c>
      <c r="B769" s="23">
        <v>45765</v>
      </c>
      <c r="C769" s="23" t="str">
        <f t="shared" si="22"/>
        <v>Apr</v>
      </c>
      <c r="D769" s="23" t="str">
        <f t="shared" si="23"/>
        <v>2025</v>
      </c>
      <c r="E769" t="s">
        <v>2840</v>
      </c>
      <c r="F769" s="24" t="s">
        <v>32</v>
      </c>
      <c r="G769" s="17">
        <v>2</v>
      </c>
      <c r="H769" s="19">
        <v>323.22</v>
      </c>
      <c r="I769" t="s">
        <v>2841</v>
      </c>
      <c r="J769" s="24" t="s">
        <v>34</v>
      </c>
      <c r="K769" s="24" t="s">
        <v>50</v>
      </c>
      <c r="L769" t="s">
        <v>2842</v>
      </c>
      <c r="M769" s="17">
        <v>7</v>
      </c>
      <c r="N769" t="s">
        <v>4295</v>
      </c>
      <c r="O769" s="24" t="s">
        <v>22</v>
      </c>
      <c r="P769" s="19">
        <v>646.44</v>
      </c>
      <c r="Q769" s="26" t="str">
        <f>IF(OR(P769&lt;'Descriptive Statistics'!$H$17,P769&gt;'Descriptive Statistics'!$H$18),"Potential Outlier","Within Range")</f>
        <v>Within Range</v>
      </c>
      <c r="R769" s="26" t="str">
        <f>IF(OR(G769&lt;'Descriptive Statistics'!$I$17,G769&gt;'Descriptive Statistics'!$I$18),"Potential Outlier","Within Range")</f>
        <v>Within Range</v>
      </c>
      <c r="S769" s="26" t="str">
        <f>IF(OR(H769&lt;'Descriptive Statistics'!$J$17,H769&gt;'Descriptive Statistics'!$J$18),"Potential Outlier","Within Range")</f>
        <v>Within Range</v>
      </c>
    </row>
    <row r="770" hidden="1" spans="1:19">
      <c r="A770" t="s">
        <v>2843</v>
      </c>
      <c r="B770" s="23">
        <v>45173</v>
      </c>
      <c r="C770" s="23" t="str">
        <f t="shared" ref="C770:C833" si="24">TEXT(B770,"MMM")</f>
        <v>Sep</v>
      </c>
      <c r="D770" s="23" t="str">
        <f t="shared" ref="D770:D833" si="25">TEXT(B770,"YYYY")</f>
        <v>2023</v>
      </c>
      <c r="E770" t="s">
        <v>2844</v>
      </c>
      <c r="F770" s="24" t="s">
        <v>32</v>
      </c>
      <c r="G770" s="17">
        <v>5</v>
      </c>
      <c r="H770" s="19">
        <v>653.46</v>
      </c>
      <c r="I770" t="s">
        <v>2845</v>
      </c>
      <c r="J770" s="24" t="s">
        <v>65</v>
      </c>
      <c r="K770" s="24" t="s">
        <v>35</v>
      </c>
      <c r="L770" t="s">
        <v>2846</v>
      </c>
      <c r="M770" s="17">
        <v>9</v>
      </c>
      <c r="N770" t="s">
        <v>81</v>
      </c>
      <c r="O770" s="24" t="s">
        <v>38</v>
      </c>
      <c r="P770" s="19">
        <v>3267.3</v>
      </c>
      <c r="Q770" s="26" t="str">
        <f>IF(OR(P770&lt;'Descriptive Statistics'!$H$17,P770&gt;'Descriptive Statistics'!$H$18),"Potential Outlier","Within Range")</f>
        <v>Within Range</v>
      </c>
      <c r="R770" s="26" t="str">
        <f>IF(OR(G770&lt;'Descriptive Statistics'!$I$17,G770&gt;'Descriptive Statistics'!$I$18),"Potential Outlier","Within Range")</f>
        <v>Within Range</v>
      </c>
      <c r="S770" s="26" t="str">
        <f>IF(OR(H770&lt;'Descriptive Statistics'!$J$17,H770&gt;'Descriptive Statistics'!$J$18),"Potential Outlier","Within Range")</f>
        <v>Within Range</v>
      </c>
    </row>
    <row r="771" hidden="1" spans="1:19">
      <c r="A771" t="s">
        <v>2847</v>
      </c>
      <c r="B771" s="23">
        <v>45113</v>
      </c>
      <c r="C771" s="23" t="str">
        <f t="shared" si="24"/>
        <v>Jul</v>
      </c>
      <c r="D771" s="23" t="str">
        <f t="shared" si="25"/>
        <v>2023</v>
      </c>
      <c r="E771" t="s">
        <v>2848</v>
      </c>
      <c r="F771" s="24" t="s">
        <v>48</v>
      </c>
      <c r="G771" s="17">
        <v>4</v>
      </c>
      <c r="H771" s="19">
        <v>678.55</v>
      </c>
      <c r="I771" t="s">
        <v>153</v>
      </c>
      <c r="J771" s="24" t="s">
        <v>65</v>
      </c>
      <c r="K771" s="24" t="s">
        <v>50</v>
      </c>
      <c r="L771" t="s">
        <v>2849</v>
      </c>
      <c r="M771" s="17">
        <v>5</v>
      </c>
      <c r="N771" t="s">
        <v>4295</v>
      </c>
      <c r="O771" s="24" t="s">
        <v>38</v>
      </c>
      <c r="P771" s="19">
        <v>2714.2</v>
      </c>
      <c r="Q771" s="26" t="str">
        <f>IF(OR(P771&lt;'Descriptive Statistics'!$H$17,P771&gt;'Descriptive Statistics'!$H$18),"Potential Outlier","Within Range")</f>
        <v>Within Range</v>
      </c>
      <c r="R771" s="26" t="str">
        <f>IF(OR(G771&lt;'Descriptive Statistics'!$I$17,G771&gt;'Descriptive Statistics'!$I$18),"Potential Outlier","Within Range")</f>
        <v>Within Range</v>
      </c>
      <c r="S771" s="26" t="str">
        <f>IF(OR(H771&lt;'Descriptive Statistics'!$J$17,H771&gt;'Descriptive Statistics'!$J$18),"Potential Outlier","Within Range")</f>
        <v>Within Range</v>
      </c>
    </row>
    <row r="772" hidden="1" spans="1:19">
      <c r="A772" t="s">
        <v>2850</v>
      </c>
      <c r="B772" s="23">
        <v>45333</v>
      </c>
      <c r="C772" s="23" t="str">
        <f t="shared" si="24"/>
        <v>Feb</v>
      </c>
      <c r="D772" s="23" t="str">
        <f t="shared" si="25"/>
        <v>2024</v>
      </c>
      <c r="E772" t="s">
        <v>2851</v>
      </c>
      <c r="F772" s="24" t="s">
        <v>73</v>
      </c>
      <c r="G772" s="17">
        <v>1</v>
      </c>
      <c r="H772" s="19">
        <v>314.38</v>
      </c>
      <c r="I772" t="s">
        <v>1723</v>
      </c>
      <c r="J772" s="24" t="s">
        <v>27</v>
      </c>
      <c r="K772" s="24" t="s">
        <v>43</v>
      </c>
      <c r="L772" t="s">
        <v>2852</v>
      </c>
      <c r="M772" s="17">
        <v>6</v>
      </c>
      <c r="N772" t="s">
        <v>4295</v>
      </c>
      <c r="O772" s="24" t="s">
        <v>76</v>
      </c>
      <c r="P772" s="19">
        <v>314.38</v>
      </c>
      <c r="Q772" s="26" t="str">
        <f>IF(OR(P772&lt;'Descriptive Statistics'!$H$17,P772&gt;'Descriptive Statistics'!$H$18),"Potential Outlier","Within Range")</f>
        <v>Within Range</v>
      </c>
      <c r="R772" s="26" t="str">
        <f>IF(OR(G772&lt;'Descriptive Statistics'!$I$17,G772&gt;'Descriptive Statistics'!$I$18),"Potential Outlier","Within Range")</f>
        <v>Within Range</v>
      </c>
      <c r="S772" s="26" t="str">
        <f>IF(OR(H772&lt;'Descriptive Statistics'!$J$17,H772&gt;'Descriptive Statistics'!$J$18),"Potential Outlier","Within Range")</f>
        <v>Within Range</v>
      </c>
    </row>
    <row r="773" hidden="1" spans="1:19">
      <c r="A773" t="s">
        <v>2853</v>
      </c>
      <c r="B773" s="23">
        <v>45455</v>
      </c>
      <c r="C773" s="23" t="str">
        <f t="shared" si="24"/>
        <v>Jun</v>
      </c>
      <c r="D773" s="23" t="str">
        <f t="shared" si="25"/>
        <v>2024</v>
      </c>
      <c r="E773" t="s">
        <v>2854</v>
      </c>
      <c r="F773" s="24" t="s">
        <v>25</v>
      </c>
      <c r="G773" s="17">
        <v>3</v>
      </c>
      <c r="H773" s="19">
        <v>692.44</v>
      </c>
      <c r="I773" t="s">
        <v>1501</v>
      </c>
      <c r="J773" s="24" t="s">
        <v>18</v>
      </c>
      <c r="K773" s="24" t="s">
        <v>35</v>
      </c>
      <c r="L773" t="s">
        <v>2855</v>
      </c>
      <c r="M773" s="17">
        <v>8</v>
      </c>
      <c r="N773" t="s">
        <v>37</v>
      </c>
      <c r="O773" s="24" t="s">
        <v>76</v>
      </c>
      <c r="P773" s="19">
        <v>2077.32</v>
      </c>
      <c r="Q773" s="26" t="str">
        <f>IF(OR(P773&lt;'Descriptive Statistics'!$H$17,P773&gt;'Descriptive Statistics'!$H$18),"Potential Outlier","Within Range")</f>
        <v>Within Range</v>
      </c>
      <c r="R773" s="26" t="str">
        <f>IF(OR(G773&lt;'Descriptive Statistics'!$I$17,G773&gt;'Descriptive Statistics'!$I$18),"Potential Outlier","Within Range")</f>
        <v>Within Range</v>
      </c>
      <c r="S773" s="26" t="str">
        <f>IF(OR(H773&lt;'Descriptive Statistics'!$J$17,H773&gt;'Descriptive Statistics'!$J$18),"Potential Outlier","Within Range")</f>
        <v>Within Range</v>
      </c>
    </row>
    <row r="774" hidden="1" spans="1:19">
      <c r="A774" t="s">
        <v>2856</v>
      </c>
      <c r="B774" s="23">
        <v>45501</v>
      </c>
      <c r="C774" s="23" t="str">
        <f t="shared" si="24"/>
        <v>Jul</v>
      </c>
      <c r="D774" s="23" t="str">
        <f t="shared" si="25"/>
        <v>2024</v>
      </c>
      <c r="E774" t="s">
        <v>2857</v>
      </c>
      <c r="F774" s="24" t="s">
        <v>16</v>
      </c>
      <c r="G774" s="17">
        <v>1</v>
      </c>
      <c r="H774" s="19">
        <v>604.87</v>
      </c>
      <c r="I774" t="s">
        <v>2858</v>
      </c>
      <c r="J774" s="24" t="s">
        <v>27</v>
      </c>
      <c r="K774" s="24" t="s">
        <v>50</v>
      </c>
      <c r="L774" t="s">
        <v>2859</v>
      </c>
      <c r="M774" s="17">
        <v>4</v>
      </c>
      <c r="N774" t="s">
        <v>4295</v>
      </c>
      <c r="O774" s="24" t="s">
        <v>22</v>
      </c>
      <c r="P774" s="19">
        <v>604.87</v>
      </c>
      <c r="Q774" s="26" t="str">
        <f>IF(OR(P774&lt;'Descriptive Statistics'!$H$17,P774&gt;'Descriptive Statistics'!$H$18),"Potential Outlier","Within Range")</f>
        <v>Within Range</v>
      </c>
      <c r="R774" s="26" t="str">
        <f>IF(OR(G774&lt;'Descriptive Statistics'!$I$17,G774&gt;'Descriptive Statistics'!$I$18),"Potential Outlier","Within Range")</f>
        <v>Within Range</v>
      </c>
      <c r="S774" s="26" t="str">
        <f>IF(OR(H774&lt;'Descriptive Statistics'!$J$17,H774&gt;'Descriptive Statistics'!$J$18),"Potential Outlier","Within Range")</f>
        <v>Within Range</v>
      </c>
    </row>
    <row r="775" hidden="1" spans="1:19">
      <c r="A775" t="s">
        <v>2860</v>
      </c>
      <c r="B775" s="23">
        <v>45836</v>
      </c>
      <c r="C775" s="23" t="str">
        <f t="shared" si="24"/>
        <v>Jun</v>
      </c>
      <c r="D775" s="23" t="str">
        <f t="shared" si="25"/>
        <v>2025</v>
      </c>
      <c r="E775" t="s">
        <v>2861</v>
      </c>
      <c r="F775" s="24" t="s">
        <v>25</v>
      </c>
      <c r="G775" s="17">
        <v>2</v>
      </c>
      <c r="H775" s="19">
        <v>512.33</v>
      </c>
      <c r="I775" t="s">
        <v>2862</v>
      </c>
      <c r="J775" s="24" t="s">
        <v>65</v>
      </c>
      <c r="K775" s="24" t="s">
        <v>35</v>
      </c>
      <c r="L775" t="s">
        <v>2863</v>
      </c>
      <c r="M775" s="17">
        <v>7</v>
      </c>
      <c r="N775" t="s">
        <v>4295</v>
      </c>
      <c r="O775" s="24" t="s">
        <v>45</v>
      </c>
      <c r="P775" s="19">
        <v>1024.66</v>
      </c>
      <c r="Q775" s="26" t="str">
        <f>IF(OR(P775&lt;'Descriptive Statistics'!$H$17,P775&gt;'Descriptive Statistics'!$H$18),"Potential Outlier","Within Range")</f>
        <v>Within Range</v>
      </c>
      <c r="R775" s="26" t="str">
        <f>IF(OR(G775&lt;'Descriptive Statistics'!$I$17,G775&gt;'Descriptive Statistics'!$I$18),"Potential Outlier","Within Range")</f>
        <v>Within Range</v>
      </c>
      <c r="S775" s="26" t="str">
        <f>IF(OR(H775&lt;'Descriptive Statistics'!$J$17,H775&gt;'Descriptive Statistics'!$J$18),"Potential Outlier","Within Range")</f>
        <v>Within Range</v>
      </c>
    </row>
    <row r="776" hidden="1" spans="1:19">
      <c r="A776" t="s">
        <v>2864</v>
      </c>
      <c r="B776" s="23">
        <v>45762</v>
      </c>
      <c r="C776" s="23" t="str">
        <f t="shared" si="24"/>
        <v>Apr</v>
      </c>
      <c r="D776" s="23" t="str">
        <f t="shared" si="25"/>
        <v>2025</v>
      </c>
      <c r="E776" t="s">
        <v>2865</v>
      </c>
      <c r="F776" s="24" t="s">
        <v>41</v>
      </c>
      <c r="G776" s="17">
        <v>3</v>
      </c>
      <c r="H776" s="19">
        <v>20.54</v>
      </c>
      <c r="I776" t="s">
        <v>2866</v>
      </c>
      <c r="J776" s="24" t="s">
        <v>34</v>
      </c>
      <c r="K776" s="24" t="s">
        <v>35</v>
      </c>
      <c r="L776" t="s">
        <v>2867</v>
      </c>
      <c r="M776" s="17">
        <v>3</v>
      </c>
      <c r="N776" t="s">
        <v>37</v>
      </c>
      <c r="O776" s="24" t="s">
        <v>22</v>
      </c>
      <c r="P776" s="19">
        <v>61.62</v>
      </c>
      <c r="Q776" s="26" t="str">
        <f>IF(OR(P776&lt;'Descriptive Statistics'!$H$17,P776&gt;'Descriptive Statistics'!$H$18),"Potential Outlier","Within Range")</f>
        <v>Within Range</v>
      </c>
      <c r="R776" s="26" t="str">
        <f>IF(OR(G776&lt;'Descriptive Statistics'!$I$17,G776&gt;'Descriptive Statistics'!$I$18),"Potential Outlier","Within Range")</f>
        <v>Within Range</v>
      </c>
      <c r="S776" s="26" t="str">
        <f>IF(OR(H776&lt;'Descriptive Statistics'!$J$17,H776&gt;'Descriptive Statistics'!$J$18),"Potential Outlier","Within Range")</f>
        <v>Within Range</v>
      </c>
    </row>
    <row r="777" hidden="1" spans="1:19">
      <c r="A777" t="s">
        <v>2868</v>
      </c>
      <c r="B777" s="23">
        <v>44989</v>
      </c>
      <c r="C777" s="23" t="str">
        <f t="shared" si="24"/>
        <v>Mar</v>
      </c>
      <c r="D777" s="23" t="str">
        <f t="shared" si="25"/>
        <v>2023</v>
      </c>
      <c r="E777" t="s">
        <v>2869</v>
      </c>
      <c r="F777" s="24" t="s">
        <v>25</v>
      </c>
      <c r="G777" s="17">
        <v>2</v>
      </c>
      <c r="H777" s="19">
        <v>625.22</v>
      </c>
      <c r="I777" t="s">
        <v>125</v>
      </c>
      <c r="J777" s="24" t="s">
        <v>27</v>
      </c>
      <c r="K777" s="24" t="s">
        <v>35</v>
      </c>
      <c r="L777" t="s">
        <v>2870</v>
      </c>
      <c r="M777" s="17">
        <v>5</v>
      </c>
      <c r="N777" t="s">
        <v>4295</v>
      </c>
      <c r="O777" s="24" t="s">
        <v>76</v>
      </c>
      <c r="P777" s="19">
        <v>1250.44</v>
      </c>
      <c r="Q777" s="26" t="str">
        <f>IF(OR(P777&lt;'Descriptive Statistics'!$H$17,P777&gt;'Descriptive Statistics'!$H$18),"Potential Outlier","Within Range")</f>
        <v>Within Range</v>
      </c>
      <c r="R777" s="26" t="str">
        <f>IF(OR(G777&lt;'Descriptive Statistics'!$I$17,G777&gt;'Descriptive Statistics'!$I$18),"Potential Outlier","Within Range")</f>
        <v>Within Range</v>
      </c>
      <c r="S777" s="26" t="str">
        <f>IF(OR(H777&lt;'Descriptive Statistics'!$J$17,H777&gt;'Descriptive Statistics'!$J$18),"Potential Outlier","Within Range")</f>
        <v>Within Range</v>
      </c>
    </row>
    <row r="778" hidden="1" spans="1:19">
      <c r="A778" t="s">
        <v>2871</v>
      </c>
      <c r="B778" s="23">
        <v>45159</v>
      </c>
      <c r="C778" s="23" t="str">
        <f t="shared" si="24"/>
        <v>Aug</v>
      </c>
      <c r="D778" s="23" t="str">
        <f t="shared" si="25"/>
        <v>2023</v>
      </c>
      <c r="E778" t="s">
        <v>2872</v>
      </c>
      <c r="F778" s="24" t="s">
        <v>32</v>
      </c>
      <c r="G778" s="17">
        <v>1</v>
      </c>
      <c r="H778" s="19">
        <v>21.19</v>
      </c>
      <c r="I778" t="s">
        <v>2873</v>
      </c>
      <c r="J778" s="24" t="s">
        <v>65</v>
      </c>
      <c r="K778" s="24" t="s">
        <v>43</v>
      </c>
      <c r="L778" t="s">
        <v>2874</v>
      </c>
      <c r="M778" s="17">
        <v>5</v>
      </c>
      <c r="N778" t="s">
        <v>81</v>
      </c>
      <c r="O778" s="24" t="s">
        <v>76</v>
      </c>
      <c r="P778" s="19">
        <v>21.19</v>
      </c>
      <c r="Q778" s="26" t="str">
        <f>IF(OR(P778&lt;'Descriptive Statistics'!$H$17,P778&gt;'Descriptive Statistics'!$H$18),"Potential Outlier","Within Range")</f>
        <v>Within Range</v>
      </c>
      <c r="R778" s="26" t="str">
        <f>IF(OR(G778&lt;'Descriptive Statistics'!$I$17,G778&gt;'Descriptive Statistics'!$I$18),"Potential Outlier","Within Range")</f>
        <v>Within Range</v>
      </c>
      <c r="S778" s="26" t="str">
        <f>IF(OR(H778&lt;'Descriptive Statistics'!$J$17,H778&gt;'Descriptive Statistics'!$J$18),"Potential Outlier","Within Range")</f>
        <v>Within Range</v>
      </c>
    </row>
    <row r="779" hidden="1" spans="1:19">
      <c r="A779" t="s">
        <v>2875</v>
      </c>
      <c r="B779" s="23">
        <v>45737</v>
      </c>
      <c r="C779" s="23" t="str">
        <f t="shared" si="24"/>
        <v>Mar</v>
      </c>
      <c r="D779" s="23" t="str">
        <f t="shared" si="25"/>
        <v>2025</v>
      </c>
      <c r="E779" t="s">
        <v>2876</v>
      </c>
      <c r="F779" s="24" t="s">
        <v>41</v>
      </c>
      <c r="G779" s="17">
        <v>5</v>
      </c>
      <c r="H779" s="19">
        <v>64.49</v>
      </c>
      <c r="I779" t="s">
        <v>129</v>
      </c>
      <c r="J779" s="24" t="s">
        <v>27</v>
      </c>
      <c r="K779" s="24" t="s">
        <v>35</v>
      </c>
      <c r="L779" t="s">
        <v>2877</v>
      </c>
      <c r="M779" s="17">
        <v>7</v>
      </c>
      <c r="N779" t="s">
        <v>4295</v>
      </c>
      <c r="O779" s="24" t="s">
        <v>45</v>
      </c>
      <c r="P779" s="19">
        <v>322.45</v>
      </c>
      <c r="Q779" s="26" t="str">
        <f>IF(OR(P779&lt;'Descriptive Statistics'!$H$17,P779&gt;'Descriptive Statistics'!$H$18),"Potential Outlier","Within Range")</f>
        <v>Within Range</v>
      </c>
      <c r="R779" s="26" t="str">
        <f>IF(OR(G779&lt;'Descriptive Statistics'!$I$17,G779&gt;'Descriptive Statistics'!$I$18),"Potential Outlier","Within Range")</f>
        <v>Within Range</v>
      </c>
      <c r="S779" s="26" t="str">
        <f>IF(OR(H779&lt;'Descriptive Statistics'!$J$17,H779&gt;'Descriptive Statistics'!$J$18),"Potential Outlier","Within Range")</f>
        <v>Within Range</v>
      </c>
    </row>
    <row r="780" hidden="1" spans="1:19">
      <c r="A780" t="s">
        <v>2878</v>
      </c>
      <c r="B780" s="23">
        <v>45044</v>
      </c>
      <c r="C780" s="23" t="str">
        <f t="shared" si="24"/>
        <v>Apr</v>
      </c>
      <c r="D780" s="23" t="str">
        <f t="shared" si="25"/>
        <v>2023</v>
      </c>
      <c r="E780" t="s">
        <v>2879</v>
      </c>
      <c r="F780" s="24" t="s">
        <v>58</v>
      </c>
      <c r="G780" s="17">
        <v>4</v>
      </c>
      <c r="H780" s="19">
        <v>246.85</v>
      </c>
      <c r="I780" t="s">
        <v>2880</v>
      </c>
      <c r="J780" s="24" t="s">
        <v>34</v>
      </c>
      <c r="K780" s="24" t="s">
        <v>19</v>
      </c>
      <c r="L780" t="s">
        <v>2881</v>
      </c>
      <c r="M780" s="17">
        <v>8</v>
      </c>
      <c r="N780" t="s">
        <v>81</v>
      </c>
      <c r="O780" s="24" t="s">
        <v>76</v>
      </c>
      <c r="P780" s="19">
        <v>987.4</v>
      </c>
      <c r="Q780" s="26" t="str">
        <f>IF(OR(P780&lt;'Descriptive Statistics'!$H$17,P780&gt;'Descriptive Statistics'!$H$18),"Potential Outlier","Within Range")</f>
        <v>Within Range</v>
      </c>
      <c r="R780" s="26" t="str">
        <f>IF(OR(G780&lt;'Descriptive Statistics'!$I$17,G780&gt;'Descriptive Statistics'!$I$18),"Potential Outlier","Within Range")</f>
        <v>Within Range</v>
      </c>
      <c r="S780" s="26" t="str">
        <f>IF(OR(H780&lt;'Descriptive Statistics'!$J$17,H780&gt;'Descriptive Statistics'!$J$18),"Potential Outlier","Within Range")</f>
        <v>Within Range</v>
      </c>
    </row>
    <row r="781" hidden="1" spans="1:19">
      <c r="A781" t="s">
        <v>2882</v>
      </c>
      <c r="B781" s="23">
        <v>45261</v>
      </c>
      <c r="C781" s="23" t="str">
        <f t="shared" si="24"/>
        <v>Dec</v>
      </c>
      <c r="D781" s="23" t="str">
        <f t="shared" si="25"/>
        <v>2023</v>
      </c>
      <c r="E781" t="s">
        <v>2883</v>
      </c>
      <c r="F781" s="24" t="s">
        <v>25</v>
      </c>
      <c r="G781" s="17">
        <v>3</v>
      </c>
      <c r="H781" s="19">
        <v>588.74</v>
      </c>
      <c r="I781" t="s">
        <v>2884</v>
      </c>
      <c r="J781" s="24" t="s">
        <v>18</v>
      </c>
      <c r="K781" s="24" t="s">
        <v>89</v>
      </c>
      <c r="L781" t="s">
        <v>2885</v>
      </c>
      <c r="M781" s="17">
        <v>8</v>
      </c>
      <c r="N781" t="s">
        <v>37</v>
      </c>
      <c r="O781" s="24" t="s">
        <v>38</v>
      </c>
      <c r="P781" s="19">
        <v>1766.22</v>
      </c>
      <c r="Q781" s="26" t="str">
        <f>IF(OR(P781&lt;'Descriptive Statistics'!$H$17,P781&gt;'Descriptive Statistics'!$H$18),"Potential Outlier","Within Range")</f>
        <v>Within Range</v>
      </c>
      <c r="R781" s="26" t="str">
        <f>IF(OR(G781&lt;'Descriptive Statistics'!$I$17,G781&gt;'Descriptive Statistics'!$I$18),"Potential Outlier","Within Range")</f>
        <v>Within Range</v>
      </c>
      <c r="S781" s="26" t="str">
        <f>IF(OR(H781&lt;'Descriptive Statistics'!$J$17,H781&gt;'Descriptive Statistics'!$J$18),"Potential Outlier","Within Range")</f>
        <v>Within Range</v>
      </c>
    </row>
    <row r="782" hidden="1" spans="1:19">
      <c r="A782" t="s">
        <v>2886</v>
      </c>
      <c r="B782" s="23">
        <v>45382</v>
      </c>
      <c r="C782" s="23" t="str">
        <f t="shared" si="24"/>
        <v>Mar</v>
      </c>
      <c r="D782" s="23" t="str">
        <f t="shared" si="25"/>
        <v>2024</v>
      </c>
      <c r="E782" t="s">
        <v>2887</v>
      </c>
      <c r="F782" s="24" t="s">
        <v>58</v>
      </c>
      <c r="G782" s="17">
        <v>4</v>
      </c>
      <c r="H782" s="19">
        <v>184.48</v>
      </c>
      <c r="I782" t="s">
        <v>1712</v>
      </c>
      <c r="J782" s="24" t="s">
        <v>27</v>
      </c>
      <c r="K782" s="24" t="s">
        <v>35</v>
      </c>
      <c r="L782" t="s">
        <v>2888</v>
      </c>
      <c r="M782" s="17">
        <v>4</v>
      </c>
      <c r="N782" t="s">
        <v>81</v>
      </c>
      <c r="O782" s="24" t="s">
        <v>76</v>
      </c>
      <c r="P782" s="19">
        <v>737.92</v>
      </c>
      <c r="Q782" s="26" t="str">
        <f>IF(OR(P782&lt;'Descriptive Statistics'!$H$17,P782&gt;'Descriptive Statistics'!$H$18),"Potential Outlier","Within Range")</f>
        <v>Within Range</v>
      </c>
      <c r="R782" s="26" t="str">
        <f>IF(OR(G782&lt;'Descriptive Statistics'!$I$17,G782&gt;'Descriptive Statistics'!$I$18),"Potential Outlier","Within Range")</f>
        <v>Within Range</v>
      </c>
      <c r="S782" s="26" t="str">
        <f>IF(OR(H782&lt;'Descriptive Statistics'!$J$17,H782&gt;'Descriptive Statistics'!$J$18),"Potential Outlier","Within Range")</f>
        <v>Within Range</v>
      </c>
    </row>
    <row r="783" hidden="1" spans="1:19">
      <c r="A783" t="s">
        <v>2889</v>
      </c>
      <c r="B783" s="23">
        <v>45301</v>
      </c>
      <c r="C783" s="23" t="str">
        <f t="shared" si="24"/>
        <v>Jan</v>
      </c>
      <c r="D783" s="23" t="str">
        <f t="shared" si="25"/>
        <v>2024</v>
      </c>
      <c r="E783" t="s">
        <v>2890</v>
      </c>
      <c r="F783" s="24" t="s">
        <v>25</v>
      </c>
      <c r="G783" s="17">
        <v>5</v>
      </c>
      <c r="H783" s="19">
        <v>524.26</v>
      </c>
      <c r="I783" t="s">
        <v>54</v>
      </c>
      <c r="J783" s="24" t="s">
        <v>60</v>
      </c>
      <c r="K783" s="24" t="s">
        <v>50</v>
      </c>
      <c r="L783" t="s">
        <v>2891</v>
      </c>
      <c r="M783" s="17">
        <v>5</v>
      </c>
      <c r="N783" t="s">
        <v>37</v>
      </c>
      <c r="O783" s="24" t="s">
        <v>29</v>
      </c>
      <c r="P783" s="19">
        <v>2621.3</v>
      </c>
      <c r="Q783" s="26" t="str">
        <f>IF(OR(P783&lt;'Descriptive Statistics'!$H$17,P783&gt;'Descriptive Statistics'!$H$18),"Potential Outlier","Within Range")</f>
        <v>Within Range</v>
      </c>
      <c r="R783" s="26" t="str">
        <f>IF(OR(G783&lt;'Descriptive Statistics'!$I$17,G783&gt;'Descriptive Statistics'!$I$18),"Potential Outlier","Within Range")</f>
        <v>Within Range</v>
      </c>
      <c r="S783" s="26" t="str">
        <f>IF(OR(H783&lt;'Descriptive Statistics'!$J$17,H783&gt;'Descriptive Statistics'!$J$18),"Potential Outlier","Within Range")</f>
        <v>Within Range</v>
      </c>
    </row>
    <row r="784" hidden="1" spans="1:19">
      <c r="A784" t="s">
        <v>2892</v>
      </c>
      <c r="B784" s="23">
        <v>45515</v>
      </c>
      <c r="C784" s="23" t="str">
        <f t="shared" si="24"/>
        <v>Aug</v>
      </c>
      <c r="D784" s="23" t="str">
        <f t="shared" si="25"/>
        <v>2024</v>
      </c>
      <c r="E784" t="s">
        <v>2893</v>
      </c>
      <c r="F784" s="24" t="s">
        <v>16</v>
      </c>
      <c r="G784" s="17">
        <v>2</v>
      </c>
      <c r="H784" s="19">
        <v>493.63</v>
      </c>
      <c r="I784" t="s">
        <v>2153</v>
      </c>
      <c r="J784" s="24" t="s">
        <v>27</v>
      </c>
      <c r="K784" s="24" t="s">
        <v>43</v>
      </c>
      <c r="L784" t="s">
        <v>2894</v>
      </c>
      <c r="M784" s="17">
        <v>6</v>
      </c>
      <c r="N784" t="s">
        <v>21</v>
      </c>
      <c r="O784" s="24" t="s">
        <v>29</v>
      </c>
      <c r="P784" s="19">
        <v>987.26</v>
      </c>
      <c r="Q784" s="26" t="str">
        <f>IF(OR(P784&lt;'Descriptive Statistics'!$H$17,P784&gt;'Descriptive Statistics'!$H$18),"Potential Outlier","Within Range")</f>
        <v>Within Range</v>
      </c>
      <c r="R784" s="26" t="str">
        <f>IF(OR(G784&lt;'Descriptive Statistics'!$I$17,G784&gt;'Descriptive Statistics'!$I$18),"Potential Outlier","Within Range")</f>
        <v>Within Range</v>
      </c>
      <c r="S784" s="26" t="str">
        <f>IF(OR(H784&lt;'Descriptive Statistics'!$J$17,H784&gt;'Descriptive Statistics'!$J$18),"Potential Outlier","Within Range")</f>
        <v>Within Range</v>
      </c>
    </row>
    <row r="785" hidden="1" spans="1:19">
      <c r="A785" t="s">
        <v>2895</v>
      </c>
      <c r="B785" s="23">
        <v>45803</v>
      </c>
      <c r="C785" s="23" t="str">
        <f t="shared" si="24"/>
        <v>May</v>
      </c>
      <c r="D785" s="23" t="str">
        <f t="shared" si="25"/>
        <v>2025</v>
      </c>
      <c r="E785" t="s">
        <v>2896</v>
      </c>
      <c r="F785" s="24" t="s">
        <v>48</v>
      </c>
      <c r="G785" s="17">
        <v>1</v>
      </c>
      <c r="H785" s="19">
        <v>438.34</v>
      </c>
      <c r="I785" t="s">
        <v>2661</v>
      </c>
      <c r="J785" s="24" t="s">
        <v>60</v>
      </c>
      <c r="K785" s="24" t="s">
        <v>43</v>
      </c>
      <c r="L785" t="s">
        <v>2897</v>
      </c>
      <c r="M785" s="17">
        <v>5</v>
      </c>
      <c r="N785" t="s">
        <v>37</v>
      </c>
      <c r="O785" s="24" t="s">
        <v>45</v>
      </c>
      <c r="P785" s="19">
        <v>438.34</v>
      </c>
      <c r="Q785" s="26" t="str">
        <f>IF(OR(P785&lt;'Descriptive Statistics'!$H$17,P785&gt;'Descriptive Statistics'!$H$18),"Potential Outlier","Within Range")</f>
        <v>Within Range</v>
      </c>
      <c r="R785" s="26" t="str">
        <f>IF(OR(G785&lt;'Descriptive Statistics'!$I$17,G785&gt;'Descriptive Statistics'!$I$18),"Potential Outlier","Within Range")</f>
        <v>Within Range</v>
      </c>
      <c r="S785" s="26" t="str">
        <f>IF(OR(H785&lt;'Descriptive Statistics'!$J$17,H785&gt;'Descriptive Statistics'!$J$18),"Potential Outlier","Within Range")</f>
        <v>Within Range</v>
      </c>
    </row>
    <row r="786" hidden="1" spans="1:19">
      <c r="A786" t="s">
        <v>2898</v>
      </c>
      <c r="B786" s="23">
        <v>45793</v>
      </c>
      <c r="C786" s="23" t="str">
        <f t="shared" si="24"/>
        <v>May</v>
      </c>
      <c r="D786" s="23" t="str">
        <f t="shared" si="25"/>
        <v>2025</v>
      </c>
      <c r="E786" t="s">
        <v>2899</v>
      </c>
      <c r="F786" s="24" t="s">
        <v>58</v>
      </c>
      <c r="G786" s="17">
        <v>1</v>
      </c>
      <c r="H786" s="19">
        <v>325.81</v>
      </c>
      <c r="I786" t="s">
        <v>246</v>
      </c>
      <c r="J786" s="24" t="s">
        <v>34</v>
      </c>
      <c r="K786" s="24" t="s">
        <v>89</v>
      </c>
      <c r="L786" t="s">
        <v>2900</v>
      </c>
      <c r="M786" s="17">
        <v>1</v>
      </c>
      <c r="N786" t="s">
        <v>81</v>
      </c>
      <c r="O786" s="24" t="s">
        <v>29</v>
      </c>
      <c r="P786" s="19">
        <v>325.81</v>
      </c>
      <c r="Q786" s="26" t="str">
        <f>IF(OR(P786&lt;'Descriptive Statistics'!$H$17,P786&gt;'Descriptive Statistics'!$H$18),"Potential Outlier","Within Range")</f>
        <v>Within Range</v>
      </c>
      <c r="R786" s="26" t="str">
        <f>IF(OR(G786&lt;'Descriptive Statistics'!$I$17,G786&gt;'Descriptive Statistics'!$I$18),"Potential Outlier","Within Range")</f>
        <v>Within Range</v>
      </c>
      <c r="S786" s="26" t="str">
        <f>IF(OR(H786&lt;'Descriptive Statistics'!$J$17,H786&gt;'Descriptive Statistics'!$J$18),"Potential Outlier","Within Range")</f>
        <v>Within Range</v>
      </c>
    </row>
    <row r="787" hidden="1" spans="1:19">
      <c r="A787" t="s">
        <v>2901</v>
      </c>
      <c r="B787" s="23">
        <v>45136</v>
      </c>
      <c r="C787" s="23" t="str">
        <f t="shared" si="24"/>
        <v>Jul</v>
      </c>
      <c r="D787" s="23" t="str">
        <f t="shared" si="25"/>
        <v>2023</v>
      </c>
      <c r="E787" t="s">
        <v>2902</v>
      </c>
      <c r="F787" s="24" t="s">
        <v>41</v>
      </c>
      <c r="G787" s="17">
        <v>1</v>
      </c>
      <c r="H787" s="19">
        <v>176.1</v>
      </c>
      <c r="I787" t="s">
        <v>2903</v>
      </c>
      <c r="J787" s="24" t="s">
        <v>34</v>
      </c>
      <c r="K787" s="24" t="s">
        <v>89</v>
      </c>
      <c r="L787" t="s">
        <v>2904</v>
      </c>
      <c r="M787" s="17">
        <v>1</v>
      </c>
      <c r="N787" t="s">
        <v>21</v>
      </c>
      <c r="O787" s="24" t="s">
        <v>22</v>
      </c>
      <c r="P787" s="19">
        <v>176.1</v>
      </c>
      <c r="Q787" s="26" t="str">
        <f>IF(OR(P787&lt;'Descriptive Statistics'!$H$17,P787&gt;'Descriptive Statistics'!$H$18),"Potential Outlier","Within Range")</f>
        <v>Within Range</v>
      </c>
      <c r="R787" s="26" t="str">
        <f>IF(OR(G787&lt;'Descriptive Statistics'!$I$17,G787&gt;'Descriptive Statistics'!$I$18),"Potential Outlier","Within Range")</f>
        <v>Within Range</v>
      </c>
      <c r="S787" s="26" t="str">
        <f>IF(OR(H787&lt;'Descriptive Statistics'!$J$17,H787&gt;'Descriptive Statistics'!$J$18),"Potential Outlier","Within Range")</f>
        <v>Within Range</v>
      </c>
    </row>
    <row r="788" hidden="1" spans="1:19">
      <c r="A788" t="s">
        <v>2905</v>
      </c>
      <c r="B788" s="23">
        <v>45161</v>
      </c>
      <c r="C788" s="23" t="str">
        <f t="shared" si="24"/>
        <v>Aug</v>
      </c>
      <c r="D788" s="23" t="str">
        <f t="shared" si="25"/>
        <v>2023</v>
      </c>
      <c r="E788" t="s">
        <v>2906</v>
      </c>
      <c r="F788" s="24" t="s">
        <v>41</v>
      </c>
      <c r="G788" s="17">
        <v>5</v>
      </c>
      <c r="H788" s="19">
        <v>45.31</v>
      </c>
      <c r="I788" t="s">
        <v>2907</v>
      </c>
      <c r="J788" s="24" t="s">
        <v>27</v>
      </c>
      <c r="K788" s="24" t="s">
        <v>35</v>
      </c>
      <c r="L788" t="s">
        <v>2908</v>
      </c>
      <c r="M788" s="17">
        <v>8</v>
      </c>
      <c r="N788" t="s">
        <v>4295</v>
      </c>
      <c r="O788" s="24" t="s">
        <v>29</v>
      </c>
      <c r="P788" s="19">
        <v>226.55</v>
      </c>
      <c r="Q788" s="26" t="str">
        <f>IF(OR(P788&lt;'Descriptive Statistics'!$H$17,P788&gt;'Descriptive Statistics'!$H$18),"Potential Outlier","Within Range")</f>
        <v>Within Range</v>
      </c>
      <c r="R788" s="26" t="str">
        <f>IF(OR(G788&lt;'Descriptive Statistics'!$I$17,G788&gt;'Descriptive Statistics'!$I$18),"Potential Outlier","Within Range")</f>
        <v>Within Range</v>
      </c>
      <c r="S788" s="26" t="str">
        <f>IF(OR(H788&lt;'Descriptive Statistics'!$J$17,H788&gt;'Descriptive Statistics'!$J$18),"Potential Outlier","Within Range")</f>
        <v>Within Range</v>
      </c>
    </row>
    <row r="789" hidden="1" spans="1:19">
      <c r="A789" t="s">
        <v>2909</v>
      </c>
      <c r="B789" s="23">
        <v>45368</v>
      </c>
      <c r="C789" s="23" t="str">
        <f t="shared" si="24"/>
        <v>Mar</v>
      </c>
      <c r="D789" s="23" t="str">
        <f t="shared" si="25"/>
        <v>2024</v>
      </c>
      <c r="E789" t="s">
        <v>2910</v>
      </c>
      <c r="F789" s="24" t="s">
        <v>73</v>
      </c>
      <c r="G789" s="17">
        <v>4</v>
      </c>
      <c r="H789" s="19">
        <v>221.96</v>
      </c>
      <c r="I789" t="s">
        <v>2911</v>
      </c>
      <c r="J789" s="24" t="s">
        <v>65</v>
      </c>
      <c r="K789" s="24" t="s">
        <v>50</v>
      </c>
      <c r="L789" t="s">
        <v>2912</v>
      </c>
      <c r="M789" s="17">
        <v>7</v>
      </c>
      <c r="N789" t="s">
        <v>4295</v>
      </c>
      <c r="O789" s="24" t="s">
        <v>76</v>
      </c>
      <c r="P789" s="19">
        <v>887.84</v>
      </c>
      <c r="Q789" s="26" t="str">
        <f>IF(OR(P789&lt;'Descriptive Statistics'!$H$17,P789&gt;'Descriptive Statistics'!$H$18),"Potential Outlier","Within Range")</f>
        <v>Within Range</v>
      </c>
      <c r="R789" s="26" t="str">
        <f>IF(OR(G789&lt;'Descriptive Statistics'!$I$17,G789&gt;'Descriptive Statistics'!$I$18),"Potential Outlier","Within Range")</f>
        <v>Within Range</v>
      </c>
      <c r="S789" s="26" t="str">
        <f>IF(OR(H789&lt;'Descriptive Statistics'!$J$17,H789&gt;'Descriptive Statistics'!$J$18),"Potential Outlier","Within Range")</f>
        <v>Within Range</v>
      </c>
    </row>
    <row r="790" hidden="1" spans="1:19">
      <c r="A790" t="s">
        <v>2913</v>
      </c>
      <c r="B790" s="23">
        <v>45232</v>
      </c>
      <c r="C790" s="23" t="str">
        <f t="shared" si="24"/>
        <v>Nov</v>
      </c>
      <c r="D790" s="23" t="str">
        <f t="shared" si="25"/>
        <v>2023</v>
      </c>
      <c r="E790" t="s">
        <v>2914</v>
      </c>
      <c r="F790" s="24" t="s">
        <v>41</v>
      </c>
      <c r="G790" s="17">
        <v>2</v>
      </c>
      <c r="H790" s="19">
        <v>601.43</v>
      </c>
      <c r="I790" t="s">
        <v>2915</v>
      </c>
      <c r="J790" s="24" t="s">
        <v>27</v>
      </c>
      <c r="K790" s="24" t="s">
        <v>89</v>
      </c>
      <c r="L790" t="s">
        <v>2916</v>
      </c>
      <c r="M790" s="17">
        <v>5</v>
      </c>
      <c r="N790" t="s">
        <v>37</v>
      </c>
      <c r="O790" s="24" t="s">
        <v>22</v>
      </c>
      <c r="P790" s="19">
        <v>1202.86</v>
      </c>
      <c r="Q790" s="26" t="str">
        <f>IF(OR(P790&lt;'Descriptive Statistics'!$H$17,P790&gt;'Descriptive Statistics'!$H$18),"Potential Outlier","Within Range")</f>
        <v>Within Range</v>
      </c>
      <c r="R790" s="26" t="str">
        <f>IF(OR(G790&lt;'Descriptive Statistics'!$I$17,G790&gt;'Descriptive Statistics'!$I$18),"Potential Outlier","Within Range")</f>
        <v>Within Range</v>
      </c>
      <c r="S790" s="26" t="str">
        <f>IF(OR(H790&lt;'Descriptive Statistics'!$J$17,H790&gt;'Descriptive Statistics'!$J$18),"Potential Outlier","Within Range")</f>
        <v>Within Range</v>
      </c>
    </row>
    <row r="791" spans="1:19">
      <c r="A791" t="s">
        <v>2917</v>
      </c>
      <c r="B791" s="23">
        <v>45155</v>
      </c>
      <c r="C791" s="23" t="str">
        <f t="shared" si="24"/>
        <v>Aug</v>
      </c>
      <c r="D791" s="23" t="str">
        <f t="shared" si="25"/>
        <v>2023</v>
      </c>
      <c r="E791" t="s">
        <v>2918</v>
      </c>
      <c r="F791" s="24" t="s">
        <v>32</v>
      </c>
      <c r="G791" s="17">
        <v>5</v>
      </c>
      <c r="H791" s="19">
        <v>691.28</v>
      </c>
      <c r="I791" t="s">
        <v>2919</v>
      </c>
      <c r="J791" s="24" t="s">
        <v>27</v>
      </c>
      <c r="K791" s="24" t="s">
        <v>50</v>
      </c>
      <c r="L791" t="s">
        <v>2920</v>
      </c>
      <c r="M791" s="17">
        <v>10</v>
      </c>
      <c r="N791" t="s">
        <v>21</v>
      </c>
      <c r="O791" s="24" t="s">
        <v>38</v>
      </c>
      <c r="P791" s="19">
        <v>3456.4</v>
      </c>
      <c r="Q791" s="26" t="str">
        <f>IF(OR(P791&lt;'Descriptive Statistics'!$H$17,P791&gt;'Descriptive Statistics'!$H$18),"Potential Outlier","Within Range")</f>
        <v>Potential Outlier</v>
      </c>
      <c r="R791" s="26" t="str">
        <f>IF(OR(G791&lt;'Descriptive Statistics'!$I$17,G791&gt;'Descriptive Statistics'!$I$18),"Potential Outlier","Within Range")</f>
        <v>Within Range</v>
      </c>
      <c r="S791" s="26" t="str">
        <f>IF(OR(H791&lt;'Descriptive Statistics'!$J$17,H791&gt;'Descriptive Statistics'!$J$18),"Potential Outlier","Within Range")</f>
        <v>Within Range</v>
      </c>
    </row>
    <row r="792" hidden="1" spans="1:19">
      <c r="A792" t="s">
        <v>2921</v>
      </c>
      <c r="B792" s="23">
        <v>45549</v>
      </c>
      <c r="C792" s="23" t="str">
        <f t="shared" si="24"/>
        <v>Sep</v>
      </c>
      <c r="D792" s="23" t="str">
        <f t="shared" si="25"/>
        <v>2024</v>
      </c>
      <c r="E792" t="s">
        <v>2922</v>
      </c>
      <c r="F792" s="24" t="s">
        <v>58</v>
      </c>
      <c r="G792" s="17">
        <v>4</v>
      </c>
      <c r="H792" s="19">
        <v>417.89</v>
      </c>
      <c r="I792" t="s">
        <v>2923</v>
      </c>
      <c r="J792" s="24" t="s">
        <v>60</v>
      </c>
      <c r="K792" s="24" t="s">
        <v>89</v>
      </c>
      <c r="L792" t="s">
        <v>2924</v>
      </c>
      <c r="M792" s="17">
        <v>4</v>
      </c>
      <c r="N792" t="s">
        <v>4295</v>
      </c>
      <c r="O792" s="24" t="s">
        <v>76</v>
      </c>
      <c r="P792" s="19">
        <v>1671.56</v>
      </c>
      <c r="Q792" s="26" t="str">
        <f>IF(OR(P792&lt;'Descriptive Statistics'!$H$17,P792&gt;'Descriptive Statistics'!$H$18),"Potential Outlier","Within Range")</f>
        <v>Within Range</v>
      </c>
      <c r="R792" s="26" t="str">
        <f>IF(OR(G792&lt;'Descriptive Statistics'!$I$17,G792&gt;'Descriptive Statistics'!$I$18),"Potential Outlier","Within Range")</f>
        <v>Within Range</v>
      </c>
      <c r="S792" s="26" t="str">
        <f>IF(OR(H792&lt;'Descriptive Statistics'!$J$17,H792&gt;'Descriptive Statistics'!$J$18),"Potential Outlier","Within Range")</f>
        <v>Within Range</v>
      </c>
    </row>
    <row r="793" hidden="1" spans="1:19">
      <c r="A793" t="s">
        <v>2925</v>
      </c>
      <c r="B793" s="23">
        <v>45304</v>
      </c>
      <c r="C793" s="23" t="str">
        <f t="shared" si="24"/>
        <v>Jan</v>
      </c>
      <c r="D793" s="23" t="str">
        <f t="shared" si="25"/>
        <v>2024</v>
      </c>
      <c r="E793" t="s">
        <v>2926</v>
      </c>
      <c r="F793" s="24" t="s">
        <v>41</v>
      </c>
      <c r="G793" s="17">
        <v>4</v>
      </c>
      <c r="H793" s="19">
        <v>409.28</v>
      </c>
      <c r="I793" t="s">
        <v>137</v>
      </c>
      <c r="J793" s="24" t="s">
        <v>65</v>
      </c>
      <c r="K793" s="24" t="s">
        <v>89</v>
      </c>
      <c r="L793" t="s">
        <v>2927</v>
      </c>
      <c r="M793" s="17">
        <v>8</v>
      </c>
      <c r="N793" t="s">
        <v>4295</v>
      </c>
      <c r="O793" s="24" t="s">
        <v>38</v>
      </c>
      <c r="P793" s="19">
        <v>1637.12</v>
      </c>
      <c r="Q793" s="26" t="str">
        <f>IF(OR(P793&lt;'Descriptive Statistics'!$H$17,P793&gt;'Descriptive Statistics'!$H$18),"Potential Outlier","Within Range")</f>
        <v>Within Range</v>
      </c>
      <c r="R793" s="26" t="str">
        <f>IF(OR(G793&lt;'Descriptive Statistics'!$I$17,G793&gt;'Descriptive Statistics'!$I$18),"Potential Outlier","Within Range")</f>
        <v>Within Range</v>
      </c>
      <c r="S793" s="26" t="str">
        <f>IF(OR(H793&lt;'Descriptive Statistics'!$J$17,H793&gt;'Descriptive Statistics'!$J$18),"Potential Outlier","Within Range")</f>
        <v>Within Range</v>
      </c>
    </row>
    <row r="794" hidden="1" spans="1:19">
      <c r="A794" t="s">
        <v>2928</v>
      </c>
      <c r="B794" s="23">
        <v>45093</v>
      </c>
      <c r="C794" s="23" t="str">
        <f t="shared" si="24"/>
        <v>Jun</v>
      </c>
      <c r="D794" s="23" t="str">
        <f t="shared" si="25"/>
        <v>2023</v>
      </c>
      <c r="E794" t="s">
        <v>2929</v>
      </c>
      <c r="F794" s="24" t="s">
        <v>73</v>
      </c>
      <c r="G794" s="17">
        <v>2</v>
      </c>
      <c r="H794" s="19">
        <v>356.35</v>
      </c>
      <c r="I794" t="s">
        <v>2930</v>
      </c>
      <c r="J794" s="24" t="s">
        <v>18</v>
      </c>
      <c r="K794" s="24" t="s">
        <v>43</v>
      </c>
      <c r="L794" t="s">
        <v>2931</v>
      </c>
      <c r="M794" s="17">
        <v>6</v>
      </c>
      <c r="N794" t="s">
        <v>81</v>
      </c>
      <c r="O794" s="24" t="s">
        <v>45</v>
      </c>
      <c r="P794" s="19">
        <v>712.7</v>
      </c>
      <c r="Q794" s="26" t="str">
        <f>IF(OR(P794&lt;'Descriptive Statistics'!$H$17,P794&gt;'Descriptive Statistics'!$H$18),"Potential Outlier","Within Range")</f>
        <v>Within Range</v>
      </c>
      <c r="R794" s="26" t="str">
        <f>IF(OR(G794&lt;'Descriptive Statistics'!$I$17,G794&gt;'Descriptive Statistics'!$I$18),"Potential Outlier","Within Range")</f>
        <v>Within Range</v>
      </c>
      <c r="S794" s="26" t="str">
        <f>IF(OR(H794&lt;'Descriptive Statistics'!$J$17,H794&gt;'Descriptive Statistics'!$J$18),"Potential Outlier","Within Range")</f>
        <v>Within Range</v>
      </c>
    </row>
    <row r="795" hidden="1" spans="1:19">
      <c r="A795" t="s">
        <v>2932</v>
      </c>
      <c r="B795" s="23">
        <v>45397</v>
      </c>
      <c r="C795" s="23" t="str">
        <f t="shared" si="24"/>
        <v>Apr</v>
      </c>
      <c r="D795" s="23" t="str">
        <f t="shared" si="25"/>
        <v>2024</v>
      </c>
      <c r="E795" t="s">
        <v>2933</v>
      </c>
      <c r="F795" s="24" t="s">
        <v>41</v>
      </c>
      <c r="G795" s="17">
        <v>5</v>
      </c>
      <c r="H795" s="19">
        <v>170.22</v>
      </c>
      <c r="I795" t="s">
        <v>1639</v>
      </c>
      <c r="J795" s="24" t="s">
        <v>18</v>
      </c>
      <c r="K795" s="24" t="s">
        <v>50</v>
      </c>
      <c r="L795" t="s">
        <v>2934</v>
      </c>
      <c r="M795" s="17">
        <v>8</v>
      </c>
      <c r="N795" t="s">
        <v>4295</v>
      </c>
      <c r="O795" s="24" t="s">
        <v>29</v>
      </c>
      <c r="P795" s="19">
        <v>851.1</v>
      </c>
      <c r="Q795" s="26" t="str">
        <f>IF(OR(P795&lt;'Descriptive Statistics'!$H$17,P795&gt;'Descriptive Statistics'!$H$18),"Potential Outlier","Within Range")</f>
        <v>Within Range</v>
      </c>
      <c r="R795" s="26" t="str">
        <f>IF(OR(G795&lt;'Descriptive Statistics'!$I$17,G795&gt;'Descriptive Statistics'!$I$18),"Potential Outlier","Within Range")</f>
        <v>Within Range</v>
      </c>
      <c r="S795" s="26" t="str">
        <f>IF(OR(H795&lt;'Descriptive Statistics'!$J$17,H795&gt;'Descriptive Statistics'!$J$18),"Potential Outlier","Within Range")</f>
        <v>Within Range</v>
      </c>
    </row>
    <row r="796" hidden="1" spans="1:19">
      <c r="A796" t="s">
        <v>2935</v>
      </c>
      <c r="B796" s="23">
        <v>44994</v>
      </c>
      <c r="C796" s="23" t="str">
        <f t="shared" si="24"/>
        <v>Mar</v>
      </c>
      <c r="D796" s="23" t="str">
        <f t="shared" si="25"/>
        <v>2023</v>
      </c>
      <c r="E796" t="s">
        <v>2936</v>
      </c>
      <c r="F796" s="24" t="s">
        <v>48</v>
      </c>
      <c r="G796" s="17">
        <v>4</v>
      </c>
      <c r="H796" s="19">
        <v>384.85</v>
      </c>
      <c r="I796" t="s">
        <v>2937</v>
      </c>
      <c r="J796" s="24" t="s">
        <v>27</v>
      </c>
      <c r="K796" s="24" t="s">
        <v>50</v>
      </c>
      <c r="L796" t="s">
        <v>2938</v>
      </c>
      <c r="M796" s="17">
        <v>9</v>
      </c>
      <c r="N796" t="s">
        <v>37</v>
      </c>
      <c r="O796" s="24" t="s">
        <v>22</v>
      </c>
      <c r="P796" s="19">
        <v>1539.4</v>
      </c>
      <c r="Q796" s="26" t="str">
        <f>IF(OR(P796&lt;'Descriptive Statistics'!$H$17,P796&gt;'Descriptive Statistics'!$H$18),"Potential Outlier","Within Range")</f>
        <v>Within Range</v>
      </c>
      <c r="R796" s="26" t="str">
        <f>IF(OR(G796&lt;'Descriptive Statistics'!$I$17,G796&gt;'Descriptive Statistics'!$I$18),"Potential Outlier","Within Range")</f>
        <v>Within Range</v>
      </c>
      <c r="S796" s="26" t="str">
        <f>IF(OR(H796&lt;'Descriptive Statistics'!$J$17,H796&gt;'Descriptive Statistics'!$J$18),"Potential Outlier","Within Range")</f>
        <v>Within Range</v>
      </c>
    </row>
    <row r="797" hidden="1" spans="1:19">
      <c r="A797" t="s">
        <v>2939</v>
      </c>
      <c r="B797" s="23">
        <v>45616</v>
      </c>
      <c r="C797" s="23" t="str">
        <f t="shared" si="24"/>
        <v>Nov</v>
      </c>
      <c r="D797" s="23" t="str">
        <f t="shared" si="25"/>
        <v>2024</v>
      </c>
      <c r="E797" t="s">
        <v>2940</v>
      </c>
      <c r="F797" s="24" t="s">
        <v>58</v>
      </c>
      <c r="G797" s="17">
        <v>4</v>
      </c>
      <c r="H797" s="19">
        <v>115.77</v>
      </c>
      <c r="I797" t="s">
        <v>2941</v>
      </c>
      <c r="J797" s="24" t="s">
        <v>27</v>
      </c>
      <c r="K797" s="24" t="s">
        <v>89</v>
      </c>
      <c r="L797" t="s">
        <v>2942</v>
      </c>
      <c r="M797" s="17">
        <v>7</v>
      </c>
      <c r="N797" t="s">
        <v>21</v>
      </c>
      <c r="O797" s="24" t="s">
        <v>22</v>
      </c>
      <c r="P797" s="19">
        <v>463.08</v>
      </c>
      <c r="Q797" s="26" t="str">
        <f>IF(OR(P797&lt;'Descriptive Statistics'!$H$17,P797&gt;'Descriptive Statistics'!$H$18),"Potential Outlier","Within Range")</f>
        <v>Within Range</v>
      </c>
      <c r="R797" s="26" t="str">
        <f>IF(OR(G797&lt;'Descriptive Statistics'!$I$17,G797&gt;'Descriptive Statistics'!$I$18),"Potential Outlier","Within Range")</f>
        <v>Within Range</v>
      </c>
      <c r="S797" s="26" t="str">
        <f>IF(OR(H797&lt;'Descriptive Statistics'!$J$17,H797&gt;'Descriptive Statistics'!$J$18),"Potential Outlier","Within Range")</f>
        <v>Within Range</v>
      </c>
    </row>
    <row r="798" hidden="1" spans="1:19">
      <c r="A798" t="s">
        <v>2943</v>
      </c>
      <c r="B798" s="23">
        <v>45776</v>
      </c>
      <c r="C798" s="23" t="str">
        <f t="shared" si="24"/>
        <v>Apr</v>
      </c>
      <c r="D798" s="23" t="str">
        <f t="shared" si="25"/>
        <v>2025</v>
      </c>
      <c r="E798" t="s">
        <v>2944</v>
      </c>
      <c r="F798" s="24" t="s">
        <v>25</v>
      </c>
      <c r="G798" s="17">
        <v>3</v>
      </c>
      <c r="H798" s="19">
        <v>579.55</v>
      </c>
      <c r="I798" t="s">
        <v>884</v>
      </c>
      <c r="J798" s="24" t="s">
        <v>60</v>
      </c>
      <c r="K798" s="24" t="s">
        <v>43</v>
      </c>
      <c r="L798" t="s">
        <v>2945</v>
      </c>
      <c r="M798" s="17">
        <v>8</v>
      </c>
      <c r="N798" t="s">
        <v>81</v>
      </c>
      <c r="O798" s="24" t="s">
        <v>45</v>
      </c>
      <c r="P798" s="19">
        <v>1738.65</v>
      </c>
      <c r="Q798" s="26" t="str">
        <f>IF(OR(P798&lt;'Descriptive Statistics'!$H$17,P798&gt;'Descriptive Statistics'!$H$18),"Potential Outlier","Within Range")</f>
        <v>Within Range</v>
      </c>
      <c r="R798" s="26" t="str">
        <f>IF(OR(G798&lt;'Descriptive Statistics'!$I$17,G798&gt;'Descriptive Statistics'!$I$18),"Potential Outlier","Within Range")</f>
        <v>Within Range</v>
      </c>
      <c r="S798" s="26" t="str">
        <f>IF(OR(H798&lt;'Descriptive Statistics'!$J$17,H798&gt;'Descriptive Statistics'!$J$18),"Potential Outlier","Within Range")</f>
        <v>Within Range</v>
      </c>
    </row>
    <row r="799" hidden="1" spans="1:19">
      <c r="A799" t="s">
        <v>2946</v>
      </c>
      <c r="B799" s="23">
        <v>44984</v>
      </c>
      <c r="C799" s="23" t="str">
        <f t="shared" si="24"/>
        <v>Feb</v>
      </c>
      <c r="D799" s="23" t="str">
        <f t="shared" si="25"/>
        <v>2023</v>
      </c>
      <c r="E799" t="s">
        <v>2947</v>
      </c>
      <c r="F799" s="24" t="s">
        <v>58</v>
      </c>
      <c r="G799" s="17">
        <v>2</v>
      </c>
      <c r="H799" s="19">
        <v>438.76</v>
      </c>
      <c r="I799" t="s">
        <v>2948</v>
      </c>
      <c r="J799" s="24" t="s">
        <v>18</v>
      </c>
      <c r="K799" s="24" t="s">
        <v>43</v>
      </c>
      <c r="L799" t="s">
        <v>2949</v>
      </c>
      <c r="M799" s="17">
        <v>2</v>
      </c>
      <c r="N799" t="s">
        <v>4295</v>
      </c>
      <c r="O799" s="24" t="s">
        <v>45</v>
      </c>
      <c r="P799" s="19">
        <v>877.52</v>
      </c>
      <c r="Q799" s="26" t="str">
        <f>IF(OR(P799&lt;'Descriptive Statistics'!$H$17,P799&gt;'Descriptive Statistics'!$H$18),"Potential Outlier","Within Range")</f>
        <v>Within Range</v>
      </c>
      <c r="R799" s="26" t="str">
        <f>IF(OR(G799&lt;'Descriptive Statistics'!$I$17,G799&gt;'Descriptive Statistics'!$I$18),"Potential Outlier","Within Range")</f>
        <v>Within Range</v>
      </c>
      <c r="S799" s="26" t="str">
        <f>IF(OR(H799&lt;'Descriptive Statistics'!$J$17,H799&gt;'Descriptive Statistics'!$J$18),"Potential Outlier","Within Range")</f>
        <v>Within Range</v>
      </c>
    </row>
    <row r="800" hidden="1" spans="1:19">
      <c r="A800" t="s">
        <v>2950</v>
      </c>
      <c r="B800" s="23">
        <v>45796</v>
      </c>
      <c r="C800" s="23" t="str">
        <f t="shared" si="24"/>
        <v>May</v>
      </c>
      <c r="D800" s="23" t="str">
        <f t="shared" si="25"/>
        <v>2025</v>
      </c>
      <c r="E800" t="s">
        <v>2951</v>
      </c>
      <c r="F800" s="24" t="s">
        <v>25</v>
      </c>
      <c r="G800" s="17">
        <v>5</v>
      </c>
      <c r="H800" s="19">
        <v>488.35</v>
      </c>
      <c r="I800" t="s">
        <v>1233</v>
      </c>
      <c r="J800" s="24" t="s">
        <v>18</v>
      </c>
      <c r="K800" s="24" t="s">
        <v>43</v>
      </c>
      <c r="L800" t="s">
        <v>2952</v>
      </c>
      <c r="M800" s="17">
        <v>9</v>
      </c>
      <c r="N800" t="s">
        <v>37</v>
      </c>
      <c r="O800" s="24" t="s">
        <v>38</v>
      </c>
      <c r="P800" s="19">
        <v>2441.75</v>
      </c>
      <c r="Q800" s="26" t="str">
        <f>IF(OR(P800&lt;'Descriptive Statistics'!$H$17,P800&gt;'Descriptive Statistics'!$H$18),"Potential Outlier","Within Range")</f>
        <v>Within Range</v>
      </c>
      <c r="R800" s="26" t="str">
        <f>IF(OR(G800&lt;'Descriptive Statistics'!$I$17,G800&gt;'Descriptive Statistics'!$I$18),"Potential Outlier","Within Range")</f>
        <v>Within Range</v>
      </c>
      <c r="S800" s="26" t="str">
        <f>IF(OR(H800&lt;'Descriptive Statistics'!$J$17,H800&gt;'Descriptive Statistics'!$J$18),"Potential Outlier","Within Range")</f>
        <v>Within Range</v>
      </c>
    </row>
    <row r="801" hidden="1" spans="1:19">
      <c r="A801" t="s">
        <v>2953</v>
      </c>
      <c r="B801" s="23">
        <v>45032</v>
      </c>
      <c r="C801" s="23" t="str">
        <f t="shared" si="24"/>
        <v>Apr</v>
      </c>
      <c r="D801" s="23" t="str">
        <f t="shared" si="25"/>
        <v>2023</v>
      </c>
      <c r="E801" t="s">
        <v>2954</v>
      </c>
      <c r="F801" s="24" t="s">
        <v>58</v>
      </c>
      <c r="G801" s="17">
        <v>4</v>
      </c>
      <c r="H801" s="19">
        <v>328.56</v>
      </c>
      <c r="I801" t="s">
        <v>1070</v>
      </c>
      <c r="J801" s="24" t="s">
        <v>18</v>
      </c>
      <c r="K801" s="24" t="s">
        <v>43</v>
      </c>
      <c r="L801" t="s">
        <v>2955</v>
      </c>
      <c r="M801" s="17">
        <v>4</v>
      </c>
      <c r="N801" t="s">
        <v>37</v>
      </c>
      <c r="O801" s="24" t="s">
        <v>38</v>
      </c>
      <c r="P801" s="19">
        <v>1314.24</v>
      </c>
      <c r="Q801" s="26" t="str">
        <f>IF(OR(P801&lt;'Descriptive Statistics'!$H$17,P801&gt;'Descriptive Statistics'!$H$18),"Potential Outlier","Within Range")</f>
        <v>Within Range</v>
      </c>
      <c r="R801" s="26" t="str">
        <f>IF(OR(G801&lt;'Descriptive Statistics'!$I$17,G801&gt;'Descriptive Statistics'!$I$18),"Potential Outlier","Within Range")</f>
        <v>Within Range</v>
      </c>
      <c r="S801" s="26" t="str">
        <f>IF(OR(H801&lt;'Descriptive Statistics'!$J$17,H801&gt;'Descriptive Statistics'!$J$18),"Potential Outlier","Within Range")</f>
        <v>Within Range</v>
      </c>
    </row>
    <row r="802" hidden="1" spans="1:19">
      <c r="A802" t="s">
        <v>2956</v>
      </c>
      <c r="B802" s="23">
        <v>45744</v>
      </c>
      <c r="C802" s="23" t="str">
        <f t="shared" si="24"/>
        <v>Mar</v>
      </c>
      <c r="D802" s="23" t="str">
        <f t="shared" si="25"/>
        <v>2025</v>
      </c>
      <c r="E802" t="s">
        <v>2957</v>
      </c>
      <c r="F802" s="24" t="s">
        <v>32</v>
      </c>
      <c r="G802" s="17">
        <v>1</v>
      </c>
      <c r="H802" s="19">
        <v>68.39</v>
      </c>
      <c r="I802" t="s">
        <v>2958</v>
      </c>
      <c r="J802" s="24" t="s">
        <v>27</v>
      </c>
      <c r="K802" s="24" t="s">
        <v>43</v>
      </c>
      <c r="L802" t="s">
        <v>2959</v>
      </c>
      <c r="M802" s="17">
        <v>3</v>
      </c>
      <c r="N802" t="s">
        <v>81</v>
      </c>
      <c r="O802" s="24" t="s">
        <v>45</v>
      </c>
      <c r="P802" s="19">
        <v>68.39</v>
      </c>
      <c r="Q802" s="26" t="str">
        <f>IF(OR(P802&lt;'Descriptive Statistics'!$H$17,P802&gt;'Descriptive Statistics'!$H$18),"Potential Outlier","Within Range")</f>
        <v>Within Range</v>
      </c>
      <c r="R802" s="26" t="str">
        <f>IF(OR(G802&lt;'Descriptive Statistics'!$I$17,G802&gt;'Descriptive Statistics'!$I$18),"Potential Outlier","Within Range")</f>
        <v>Within Range</v>
      </c>
      <c r="S802" s="26" t="str">
        <f>IF(OR(H802&lt;'Descriptive Statistics'!$J$17,H802&gt;'Descriptive Statistics'!$J$18),"Potential Outlier","Within Range")</f>
        <v>Within Range</v>
      </c>
    </row>
    <row r="803" hidden="1" spans="1:19">
      <c r="A803" t="s">
        <v>2960</v>
      </c>
      <c r="B803" s="23">
        <v>45049</v>
      </c>
      <c r="C803" s="23" t="str">
        <f t="shared" si="24"/>
        <v>May</v>
      </c>
      <c r="D803" s="23" t="str">
        <f t="shared" si="25"/>
        <v>2023</v>
      </c>
      <c r="E803" t="s">
        <v>148</v>
      </c>
      <c r="F803" s="24" t="s">
        <v>48</v>
      </c>
      <c r="G803" s="17">
        <v>4</v>
      </c>
      <c r="H803" s="19">
        <v>595.62</v>
      </c>
      <c r="I803" t="s">
        <v>2961</v>
      </c>
      <c r="J803" s="24" t="s">
        <v>18</v>
      </c>
      <c r="K803" s="24" t="s">
        <v>89</v>
      </c>
      <c r="L803" t="s">
        <v>2962</v>
      </c>
      <c r="M803" s="17">
        <v>8</v>
      </c>
      <c r="N803" t="s">
        <v>37</v>
      </c>
      <c r="O803" s="24" t="s">
        <v>45</v>
      </c>
      <c r="P803" s="19">
        <v>2382.48</v>
      </c>
      <c r="Q803" s="26" t="str">
        <f>IF(OR(P803&lt;'Descriptive Statistics'!$H$17,P803&gt;'Descriptive Statistics'!$H$18),"Potential Outlier","Within Range")</f>
        <v>Within Range</v>
      </c>
      <c r="R803" s="26" t="str">
        <f>IF(OR(G803&lt;'Descriptive Statistics'!$I$17,G803&gt;'Descriptive Statistics'!$I$18),"Potential Outlier","Within Range")</f>
        <v>Within Range</v>
      </c>
      <c r="S803" s="26" t="str">
        <f>IF(OR(H803&lt;'Descriptive Statistics'!$J$17,H803&gt;'Descriptive Statistics'!$J$18),"Potential Outlier","Within Range")</f>
        <v>Within Range</v>
      </c>
    </row>
    <row r="804" hidden="1" spans="1:19">
      <c r="A804" t="s">
        <v>2963</v>
      </c>
      <c r="B804" s="23">
        <v>45339</v>
      </c>
      <c r="C804" s="23" t="str">
        <f t="shared" si="24"/>
        <v>Feb</v>
      </c>
      <c r="D804" s="23" t="str">
        <f t="shared" si="25"/>
        <v>2024</v>
      </c>
      <c r="E804" t="s">
        <v>2964</v>
      </c>
      <c r="F804" s="24" t="s">
        <v>41</v>
      </c>
      <c r="G804" s="17">
        <v>5</v>
      </c>
      <c r="H804" s="19">
        <v>644.64</v>
      </c>
      <c r="I804" t="s">
        <v>2965</v>
      </c>
      <c r="J804" s="24" t="s">
        <v>60</v>
      </c>
      <c r="K804" s="24" t="s">
        <v>35</v>
      </c>
      <c r="L804" t="s">
        <v>2966</v>
      </c>
      <c r="M804" s="17">
        <v>6</v>
      </c>
      <c r="N804" t="s">
        <v>37</v>
      </c>
      <c r="O804" s="24" t="s">
        <v>38</v>
      </c>
      <c r="P804" s="19">
        <v>3223.2</v>
      </c>
      <c r="Q804" s="26" t="str">
        <f>IF(OR(P804&lt;'Descriptive Statistics'!$H$17,P804&gt;'Descriptive Statistics'!$H$18),"Potential Outlier","Within Range")</f>
        <v>Within Range</v>
      </c>
      <c r="R804" s="26" t="str">
        <f>IF(OR(G804&lt;'Descriptive Statistics'!$I$17,G804&gt;'Descriptive Statistics'!$I$18),"Potential Outlier","Within Range")</f>
        <v>Within Range</v>
      </c>
      <c r="S804" s="26" t="str">
        <f>IF(OR(H804&lt;'Descriptive Statistics'!$J$17,H804&gt;'Descriptive Statistics'!$J$18),"Potential Outlier","Within Range")</f>
        <v>Within Range</v>
      </c>
    </row>
    <row r="805" hidden="1" spans="1:19">
      <c r="A805" t="s">
        <v>2967</v>
      </c>
      <c r="B805" s="23">
        <v>45158</v>
      </c>
      <c r="C805" s="23" t="str">
        <f t="shared" si="24"/>
        <v>Aug</v>
      </c>
      <c r="D805" s="23" t="str">
        <f t="shared" si="25"/>
        <v>2023</v>
      </c>
      <c r="E805" t="s">
        <v>2968</v>
      </c>
      <c r="F805" s="24" t="s">
        <v>16</v>
      </c>
      <c r="G805" s="17">
        <v>5</v>
      </c>
      <c r="H805" s="19">
        <v>397.81</v>
      </c>
      <c r="I805" t="s">
        <v>223</v>
      </c>
      <c r="J805" s="24" t="s">
        <v>18</v>
      </c>
      <c r="K805" s="24" t="s">
        <v>43</v>
      </c>
      <c r="L805" t="s">
        <v>2969</v>
      </c>
      <c r="M805" s="17">
        <v>5</v>
      </c>
      <c r="N805" t="s">
        <v>21</v>
      </c>
      <c r="O805" s="24" t="s">
        <v>29</v>
      </c>
      <c r="P805" s="19">
        <v>1989.05</v>
      </c>
      <c r="Q805" s="26" t="str">
        <f>IF(OR(P805&lt;'Descriptive Statistics'!$H$17,P805&gt;'Descriptive Statistics'!$H$18),"Potential Outlier","Within Range")</f>
        <v>Within Range</v>
      </c>
      <c r="R805" s="26" t="str">
        <f>IF(OR(G805&lt;'Descriptive Statistics'!$I$17,G805&gt;'Descriptive Statistics'!$I$18),"Potential Outlier","Within Range")</f>
        <v>Within Range</v>
      </c>
      <c r="S805" s="26" t="str">
        <f>IF(OR(H805&lt;'Descriptive Statistics'!$J$17,H805&gt;'Descriptive Statistics'!$J$18),"Potential Outlier","Within Range")</f>
        <v>Within Range</v>
      </c>
    </row>
    <row r="806" hidden="1" spans="1:19">
      <c r="A806" t="s">
        <v>2970</v>
      </c>
      <c r="B806" s="23">
        <v>45292</v>
      </c>
      <c r="C806" s="23" t="str">
        <f t="shared" si="24"/>
        <v>Jan</v>
      </c>
      <c r="D806" s="23" t="str">
        <f t="shared" si="25"/>
        <v>2024</v>
      </c>
      <c r="E806" t="s">
        <v>2971</v>
      </c>
      <c r="F806" s="24" t="s">
        <v>41</v>
      </c>
      <c r="G806" s="17">
        <v>3</v>
      </c>
      <c r="H806" s="19">
        <v>236.5</v>
      </c>
      <c r="I806" t="s">
        <v>2972</v>
      </c>
      <c r="J806" s="24" t="s">
        <v>27</v>
      </c>
      <c r="K806" s="24" t="s">
        <v>50</v>
      </c>
      <c r="L806" t="s">
        <v>2973</v>
      </c>
      <c r="M806" s="17">
        <v>8</v>
      </c>
      <c r="N806" t="s">
        <v>37</v>
      </c>
      <c r="O806" s="24" t="s">
        <v>38</v>
      </c>
      <c r="P806" s="19">
        <v>709.5</v>
      </c>
      <c r="Q806" s="26" t="str">
        <f>IF(OR(P806&lt;'Descriptive Statistics'!$H$17,P806&gt;'Descriptive Statistics'!$H$18),"Potential Outlier","Within Range")</f>
        <v>Within Range</v>
      </c>
      <c r="R806" s="26" t="str">
        <f>IF(OR(G806&lt;'Descriptive Statistics'!$I$17,G806&gt;'Descriptive Statistics'!$I$18),"Potential Outlier","Within Range")</f>
        <v>Within Range</v>
      </c>
      <c r="S806" s="26" t="str">
        <f>IF(OR(H806&lt;'Descriptive Statistics'!$J$17,H806&gt;'Descriptive Statistics'!$J$18),"Potential Outlier","Within Range")</f>
        <v>Within Range</v>
      </c>
    </row>
    <row r="807" hidden="1" spans="1:19">
      <c r="A807" t="s">
        <v>2974</v>
      </c>
      <c r="B807" s="23">
        <v>45580</v>
      </c>
      <c r="C807" s="23" t="str">
        <f t="shared" si="24"/>
        <v>Oct</v>
      </c>
      <c r="D807" s="23" t="str">
        <f t="shared" si="25"/>
        <v>2024</v>
      </c>
      <c r="E807" t="s">
        <v>2975</v>
      </c>
      <c r="F807" s="24" t="s">
        <v>58</v>
      </c>
      <c r="G807" s="17">
        <v>5</v>
      </c>
      <c r="H807" s="19">
        <v>472.01</v>
      </c>
      <c r="I807" t="s">
        <v>2976</v>
      </c>
      <c r="J807" s="24" t="s">
        <v>60</v>
      </c>
      <c r="K807" s="24" t="s">
        <v>35</v>
      </c>
      <c r="L807" t="s">
        <v>2977</v>
      </c>
      <c r="M807" s="17">
        <v>10</v>
      </c>
      <c r="N807" t="s">
        <v>21</v>
      </c>
      <c r="O807" s="24" t="s">
        <v>38</v>
      </c>
      <c r="P807" s="19">
        <v>2360.05</v>
      </c>
      <c r="Q807" s="26" t="str">
        <f>IF(OR(P807&lt;'Descriptive Statistics'!$H$17,P807&gt;'Descriptive Statistics'!$H$18),"Potential Outlier","Within Range")</f>
        <v>Within Range</v>
      </c>
      <c r="R807" s="26" t="str">
        <f>IF(OR(G807&lt;'Descriptive Statistics'!$I$17,G807&gt;'Descriptive Statistics'!$I$18),"Potential Outlier","Within Range")</f>
        <v>Within Range</v>
      </c>
      <c r="S807" s="26" t="str">
        <f>IF(OR(H807&lt;'Descriptive Statistics'!$J$17,H807&gt;'Descriptive Statistics'!$J$18),"Potential Outlier","Within Range")</f>
        <v>Within Range</v>
      </c>
    </row>
    <row r="808" hidden="1" spans="1:19">
      <c r="A808" t="s">
        <v>2978</v>
      </c>
      <c r="B808" s="23">
        <v>45170</v>
      </c>
      <c r="C808" s="23" t="str">
        <f t="shared" si="24"/>
        <v>Sep</v>
      </c>
      <c r="D808" s="23" t="str">
        <f t="shared" si="25"/>
        <v>2023</v>
      </c>
      <c r="E808" t="s">
        <v>2979</v>
      </c>
      <c r="F808" s="24" t="s">
        <v>41</v>
      </c>
      <c r="G808" s="17">
        <v>5</v>
      </c>
      <c r="H808" s="19">
        <v>253.75</v>
      </c>
      <c r="I808" t="s">
        <v>1121</v>
      </c>
      <c r="J808" s="24" t="s">
        <v>27</v>
      </c>
      <c r="K808" s="24" t="s">
        <v>89</v>
      </c>
      <c r="L808" t="s">
        <v>2980</v>
      </c>
      <c r="M808" s="17">
        <v>9</v>
      </c>
      <c r="N808" t="s">
        <v>81</v>
      </c>
      <c r="O808" s="24" t="s">
        <v>22</v>
      </c>
      <c r="P808" s="19">
        <v>1268.75</v>
      </c>
      <c r="Q808" s="26" t="str">
        <f>IF(OR(P808&lt;'Descriptive Statistics'!$H$17,P808&gt;'Descriptive Statistics'!$H$18),"Potential Outlier","Within Range")</f>
        <v>Within Range</v>
      </c>
      <c r="R808" s="26" t="str">
        <f>IF(OR(G808&lt;'Descriptive Statistics'!$I$17,G808&gt;'Descriptive Statistics'!$I$18),"Potential Outlier","Within Range")</f>
        <v>Within Range</v>
      </c>
      <c r="S808" s="26" t="str">
        <f>IF(OR(H808&lt;'Descriptive Statistics'!$J$17,H808&gt;'Descriptive Statistics'!$J$18),"Potential Outlier","Within Range")</f>
        <v>Within Range</v>
      </c>
    </row>
    <row r="809" hidden="1" spans="1:19">
      <c r="A809" t="s">
        <v>2981</v>
      </c>
      <c r="B809" s="23">
        <v>45606</v>
      </c>
      <c r="C809" s="23" t="str">
        <f t="shared" si="24"/>
        <v>Nov</v>
      </c>
      <c r="D809" s="23" t="str">
        <f t="shared" si="25"/>
        <v>2024</v>
      </c>
      <c r="E809" t="s">
        <v>2982</v>
      </c>
      <c r="F809" s="24" t="s">
        <v>16</v>
      </c>
      <c r="G809" s="17">
        <v>3</v>
      </c>
      <c r="H809" s="19">
        <v>676.21</v>
      </c>
      <c r="I809" t="s">
        <v>2983</v>
      </c>
      <c r="J809" s="24" t="s">
        <v>27</v>
      </c>
      <c r="K809" s="24" t="s">
        <v>50</v>
      </c>
      <c r="L809" t="s">
        <v>2984</v>
      </c>
      <c r="M809" s="17">
        <v>5</v>
      </c>
      <c r="N809" t="s">
        <v>21</v>
      </c>
      <c r="O809" s="24" t="s">
        <v>76</v>
      </c>
      <c r="P809" s="19">
        <v>2028.63</v>
      </c>
      <c r="Q809" s="26" t="str">
        <f>IF(OR(P809&lt;'Descriptive Statistics'!$H$17,P809&gt;'Descriptive Statistics'!$H$18),"Potential Outlier","Within Range")</f>
        <v>Within Range</v>
      </c>
      <c r="R809" s="26" t="str">
        <f>IF(OR(G809&lt;'Descriptive Statistics'!$I$17,G809&gt;'Descriptive Statistics'!$I$18),"Potential Outlier","Within Range")</f>
        <v>Within Range</v>
      </c>
      <c r="S809" s="26" t="str">
        <f>IF(OR(H809&lt;'Descriptive Statistics'!$J$17,H809&gt;'Descriptive Statistics'!$J$18),"Potential Outlier","Within Range")</f>
        <v>Within Range</v>
      </c>
    </row>
    <row r="810" hidden="1" spans="1:19">
      <c r="A810" t="s">
        <v>2985</v>
      </c>
      <c r="B810" s="23">
        <v>45335</v>
      </c>
      <c r="C810" s="23" t="str">
        <f t="shared" si="24"/>
        <v>Feb</v>
      </c>
      <c r="D810" s="23" t="str">
        <f t="shared" si="25"/>
        <v>2024</v>
      </c>
      <c r="E810" t="s">
        <v>2986</v>
      </c>
      <c r="F810" s="24" t="s">
        <v>73</v>
      </c>
      <c r="G810" s="17">
        <v>3</v>
      </c>
      <c r="H810" s="19">
        <v>134.05</v>
      </c>
      <c r="I810" t="s">
        <v>2987</v>
      </c>
      <c r="J810" s="24" t="s">
        <v>34</v>
      </c>
      <c r="K810" s="24" t="s">
        <v>19</v>
      </c>
      <c r="L810" t="s">
        <v>2988</v>
      </c>
      <c r="M810" s="17">
        <v>3</v>
      </c>
      <c r="N810" t="s">
        <v>4295</v>
      </c>
      <c r="O810" s="24" t="s">
        <v>76</v>
      </c>
      <c r="P810" s="19">
        <v>402.15</v>
      </c>
      <c r="Q810" s="26" t="str">
        <f>IF(OR(P810&lt;'Descriptive Statistics'!$H$17,P810&gt;'Descriptive Statistics'!$H$18),"Potential Outlier","Within Range")</f>
        <v>Within Range</v>
      </c>
      <c r="R810" s="26" t="str">
        <f>IF(OR(G810&lt;'Descriptive Statistics'!$I$17,G810&gt;'Descriptive Statistics'!$I$18),"Potential Outlier","Within Range")</f>
        <v>Within Range</v>
      </c>
      <c r="S810" s="26" t="str">
        <f>IF(OR(H810&lt;'Descriptive Statistics'!$J$17,H810&gt;'Descriptive Statistics'!$J$18),"Potential Outlier","Within Range")</f>
        <v>Within Range</v>
      </c>
    </row>
    <row r="811" hidden="1" spans="1:19">
      <c r="A811" t="s">
        <v>2989</v>
      </c>
      <c r="B811" s="23">
        <v>45391</v>
      </c>
      <c r="C811" s="23" t="str">
        <f t="shared" si="24"/>
        <v>Apr</v>
      </c>
      <c r="D811" s="23" t="str">
        <f t="shared" si="25"/>
        <v>2024</v>
      </c>
      <c r="E811" t="s">
        <v>2990</v>
      </c>
      <c r="F811" s="24" t="s">
        <v>73</v>
      </c>
      <c r="G811" s="17">
        <v>5</v>
      </c>
      <c r="H811" s="19">
        <v>217.43</v>
      </c>
      <c r="I811" t="s">
        <v>293</v>
      </c>
      <c r="J811" s="24" t="s">
        <v>18</v>
      </c>
      <c r="K811" s="24" t="s">
        <v>19</v>
      </c>
      <c r="L811" t="s">
        <v>2991</v>
      </c>
      <c r="M811" s="17">
        <v>10</v>
      </c>
      <c r="N811" t="s">
        <v>21</v>
      </c>
      <c r="O811" s="24" t="s">
        <v>22</v>
      </c>
      <c r="P811" s="19">
        <v>1087.15</v>
      </c>
      <c r="Q811" s="26" t="str">
        <f>IF(OR(P811&lt;'Descriptive Statistics'!$H$17,P811&gt;'Descriptive Statistics'!$H$18),"Potential Outlier","Within Range")</f>
        <v>Within Range</v>
      </c>
      <c r="R811" s="26" t="str">
        <f>IF(OR(G811&lt;'Descriptive Statistics'!$I$17,G811&gt;'Descriptive Statistics'!$I$18),"Potential Outlier","Within Range")</f>
        <v>Within Range</v>
      </c>
      <c r="S811" s="26" t="str">
        <f>IF(OR(H811&lt;'Descriptive Statistics'!$J$17,H811&gt;'Descriptive Statistics'!$J$18),"Potential Outlier","Within Range")</f>
        <v>Within Range</v>
      </c>
    </row>
    <row r="812" hidden="1" spans="1:19">
      <c r="A812" t="s">
        <v>2992</v>
      </c>
      <c r="B812" s="23">
        <v>45077</v>
      </c>
      <c r="C812" s="23" t="str">
        <f t="shared" si="24"/>
        <v>May</v>
      </c>
      <c r="D812" s="23" t="str">
        <f t="shared" si="25"/>
        <v>2023</v>
      </c>
      <c r="E812" t="s">
        <v>2993</v>
      </c>
      <c r="F812" s="24" t="s">
        <v>32</v>
      </c>
      <c r="G812" s="17">
        <v>1</v>
      </c>
      <c r="H812" s="19">
        <v>553.56</v>
      </c>
      <c r="I812" t="s">
        <v>2994</v>
      </c>
      <c r="J812" s="24" t="s">
        <v>34</v>
      </c>
      <c r="K812" s="24" t="s">
        <v>35</v>
      </c>
      <c r="L812" t="s">
        <v>2995</v>
      </c>
      <c r="M812" s="17">
        <v>5</v>
      </c>
      <c r="N812" t="s">
        <v>4295</v>
      </c>
      <c r="O812" s="24" t="s">
        <v>29</v>
      </c>
      <c r="P812" s="19">
        <v>553.56</v>
      </c>
      <c r="Q812" s="26" t="str">
        <f>IF(OR(P812&lt;'Descriptive Statistics'!$H$17,P812&gt;'Descriptive Statistics'!$H$18),"Potential Outlier","Within Range")</f>
        <v>Within Range</v>
      </c>
      <c r="R812" s="26" t="str">
        <f>IF(OR(G812&lt;'Descriptive Statistics'!$I$17,G812&gt;'Descriptive Statistics'!$I$18),"Potential Outlier","Within Range")</f>
        <v>Within Range</v>
      </c>
      <c r="S812" s="26" t="str">
        <f>IF(OR(H812&lt;'Descriptive Statistics'!$J$17,H812&gt;'Descriptive Statistics'!$J$18),"Potential Outlier","Within Range")</f>
        <v>Within Range</v>
      </c>
    </row>
    <row r="813" hidden="1" spans="1:19">
      <c r="A813" t="s">
        <v>2996</v>
      </c>
      <c r="B813" s="23">
        <v>45235</v>
      </c>
      <c r="C813" s="23" t="str">
        <f t="shared" si="24"/>
        <v>Nov</v>
      </c>
      <c r="D813" s="23" t="str">
        <f t="shared" si="25"/>
        <v>2023</v>
      </c>
      <c r="E813" t="s">
        <v>2997</v>
      </c>
      <c r="F813" s="24" t="s">
        <v>58</v>
      </c>
      <c r="G813" s="17">
        <v>2</v>
      </c>
      <c r="H813" s="19">
        <v>28.55</v>
      </c>
      <c r="I813" t="s">
        <v>2794</v>
      </c>
      <c r="J813" s="24" t="s">
        <v>60</v>
      </c>
      <c r="K813" s="24" t="s">
        <v>19</v>
      </c>
      <c r="L813" t="s">
        <v>2998</v>
      </c>
      <c r="M813" s="17">
        <v>7</v>
      </c>
      <c r="N813" t="s">
        <v>21</v>
      </c>
      <c r="O813" s="24" t="s">
        <v>38</v>
      </c>
      <c r="P813" s="19">
        <v>57.1</v>
      </c>
      <c r="Q813" s="26" t="str">
        <f>IF(OR(P813&lt;'Descriptive Statistics'!$H$17,P813&gt;'Descriptive Statistics'!$H$18),"Potential Outlier","Within Range")</f>
        <v>Within Range</v>
      </c>
      <c r="R813" s="26" t="str">
        <f>IF(OR(G813&lt;'Descriptive Statistics'!$I$17,G813&gt;'Descriptive Statistics'!$I$18),"Potential Outlier","Within Range")</f>
        <v>Within Range</v>
      </c>
      <c r="S813" s="26" t="str">
        <f>IF(OR(H813&lt;'Descriptive Statistics'!$J$17,H813&gt;'Descriptive Statistics'!$J$18),"Potential Outlier","Within Range")</f>
        <v>Within Range</v>
      </c>
    </row>
    <row r="814" hidden="1" spans="1:19">
      <c r="A814" t="s">
        <v>2999</v>
      </c>
      <c r="B814" s="23">
        <v>45317</v>
      </c>
      <c r="C814" s="23" t="str">
        <f t="shared" si="24"/>
        <v>Jan</v>
      </c>
      <c r="D814" s="23" t="str">
        <f t="shared" si="25"/>
        <v>2024</v>
      </c>
      <c r="E814" t="s">
        <v>3000</v>
      </c>
      <c r="F814" s="24" t="s">
        <v>25</v>
      </c>
      <c r="G814" s="17">
        <v>2</v>
      </c>
      <c r="H814" s="19">
        <v>255.26</v>
      </c>
      <c r="I814" t="s">
        <v>1070</v>
      </c>
      <c r="J814" s="24" t="s">
        <v>34</v>
      </c>
      <c r="K814" s="24" t="s">
        <v>35</v>
      </c>
      <c r="L814" t="s">
        <v>3001</v>
      </c>
      <c r="M814" s="17">
        <v>6</v>
      </c>
      <c r="N814" t="s">
        <v>37</v>
      </c>
      <c r="O814" s="24" t="s">
        <v>76</v>
      </c>
      <c r="P814" s="19">
        <v>510.52</v>
      </c>
      <c r="Q814" s="26" t="str">
        <f>IF(OR(P814&lt;'Descriptive Statistics'!$H$17,P814&gt;'Descriptive Statistics'!$H$18),"Potential Outlier","Within Range")</f>
        <v>Within Range</v>
      </c>
      <c r="R814" s="26" t="str">
        <f>IF(OR(G814&lt;'Descriptive Statistics'!$I$17,G814&gt;'Descriptive Statistics'!$I$18),"Potential Outlier","Within Range")</f>
        <v>Within Range</v>
      </c>
      <c r="S814" s="26" t="str">
        <f>IF(OR(H814&lt;'Descriptive Statistics'!$J$17,H814&gt;'Descriptive Statistics'!$J$18),"Potential Outlier","Within Range")</f>
        <v>Within Range</v>
      </c>
    </row>
    <row r="815" hidden="1" spans="1:19">
      <c r="A815" t="s">
        <v>3002</v>
      </c>
      <c r="B815" s="23">
        <v>45731</v>
      </c>
      <c r="C815" s="23" t="str">
        <f t="shared" si="24"/>
        <v>Mar</v>
      </c>
      <c r="D815" s="23" t="str">
        <f t="shared" si="25"/>
        <v>2025</v>
      </c>
      <c r="E815" t="s">
        <v>3003</v>
      </c>
      <c r="F815" s="24" t="s">
        <v>58</v>
      </c>
      <c r="G815" s="17">
        <v>5</v>
      </c>
      <c r="H815" s="19">
        <v>292.54</v>
      </c>
      <c r="I815" t="s">
        <v>1117</v>
      </c>
      <c r="J815" s="24" t="s">
        <v>18</v>
      </c>
      <c r="K815" s="24" t="s">
        <v>35</v>
      </c>
      <c r="L815" t="s">
        <v>3004</v>
      </c>
      <c r="M815" s="17">
        <v>8</v>
      </c>
      <c r="N815" t="s">
        <v>37</v>
      </c>
      <c r="O815" s="24" t="s">
        <v>38</v>
      </c>
      <c r="P815" s="19">
        <v>1462.7</v>
      </c>
      <c r="Q815" s="26" t="str">
        <f>IF(OR(P815&lt;'Descriptive Statistics'!$H$17,P815&gt;'Descriptive Statistics'!$H$18),"Potential Outlier","Within Range")</f>
        <v>Within Range</v>
      </c>
      <c r="R815" s="26" t="str">
        <f>IF(OR(G815&lt;'Descriptive Statistics'!$I$17,G815&gt;'Descriptive Statistics'!$I$18),"Potential Outlier","Within Range")</f>
        <v>Within Range</v>
      </c>
      <c r="S815" s="26" t="str">
        <f>IF(OR(H815&lt;'Descriptive Statistics'!$J$17,H815&gt;'Descriptive Statistics'!$J$18),"Potential Outlier","Within Range")</f>
        <v>Within Range</v>
      </c>
    </row>
    <row r="816" hidden="1" spans="1:19">
      <c r="A816" t="s">
        <v>3005</v>
      </c>
      <c r="B816" s="23">
        <v>45637</v>
      </c>
      <c r="C816" s="23" t="str">
        <f t="shared" si="24"/>
        <v>Dec</v>
      </c>
      <c r="D816" s="23" t="str">
        <f t="shared" si="25"/>
        <v>2024</v>
      </c>
      <c r="E816" t="s">
        <v>3006</v>
      </c>
      <c r="F816" s="24" t="s">
        <v>41</v>
      </c>
      <c r="G816" s="17">
        <v>4</v>
      </c>
      <c r="H816" s="19">
        <v>147.51</v>
      </c>
      <c r="I816" t="s">
        <v>3007</v>
      </c>
      <c r="J816" s="24" t="s">
        <v>18</v>
      </c>
      <c r="K816" s="24" t="s">
        <v>89</v>
      </c>
      <c r="L816" t="s">
        <v>3008</v>
      </c>
      <c r="M816" s="17">
        <v>4</v>
      </c>
      <c r="N816" t="s">
        <v>81</v>
      </c>
      <c r="O816" s="24" t="s">
        <v>22</v>
      </c>
      <c r="P816" s="19">
        <v>590.04</v>
      </c>
      <c r="Q816" s="26" t="str">
        <f>IF(OR(P816&lt;'Descriptive Statistics'!$H$17,P816&gt;'Descriptive Statistics'!$H$18),"Potential Outlier","Within Range")</f>
        <v>Within Range</v>
      </c>
      <c r="R816" s="26" t="str">
        <f>IF(OR(G816&lt;'Descriptive Statistics'!$I$17,G816&gt;'Descriptive Statistics'!$I$18),"Potential Outlier","Within Range")</f>
        <v>Within Range</v>
      </c>
      <c r="S816" s="26" t="str">
        <f>IF(OR(H816&lt;'Descriptive Statistics'!$J$17,H816&gt;'Descriptive Statistics'!$J$18),"Potential Outlier","Within Range")</f>
        <v>Within Range</v>
      </c>
    </row>
    <row r="817" hidden="1" spans="1:19">
      <c r="A817" t="s">
        <v>3009</v>
      </c>
      <c r="B817" s="23">
        <v>45508</v>
      </c>
      <c r="C817" s="23" t="str">
        <f t="shared" si="24"/>
        <v>Aug</v>
      </c>
      <c r="D817" s="23" t="str">
        <f t="shared" si="25"/>
        <v>2024</v>
      </c>
      <c r="E817" t="s">
        <v>3010</v>
      </c>
      <c r="F817" s="24" t="s">
        <v>48</v>
      </c>
      <c r="G817" s="17">
        <v>3</v>
      </c>
      <c r="H817" s="19">
        <v>569.84</v>
      </c>
      <c r="I817" t="s">
        <v>3011</v>
      </c>
      <c r="J817" s="24" t="s">
        <v>60</v>
      </c>
      <c r="K817" s="24" t="s">
        <v>35</v>
      </c>
      <c r="L817" t="s">
        <v>3012</v>
      </c>
      <c r="M817" s="17">
        <v>8</v>
      </c>
      <c r="N817" t="s">
        <v>81</v>
      </c>
      <c r="O817" s="24" t="s">
        <v>22</v>
      </c>
      <c r="P817" s="19">
        <v>1709.52</v>
      </c>
      <c r="Q817" s="26" t="str">
        <f>IF(OR(P817&lt;'Descriptive Statistics'!$H$17,P817&gt;'Descriptive Statistics'!$H$18),"Potential Outlier","Within Range")</f>
        <v>Within Range</v>
      </c>
      <c r="R817" s="26" t="str">
        <f>IF(OR(G817&lt;'Descriptive Statistics'!$I$17,G817&gt;'Descriptive Statistics'!$I$18),"Potential Outlier","Within Range")</f>
        <v>Within Range</v>
      </c>
      <c r="S817" s="26" t="str">
        <f>IF(OR(H817&lt;'Descriptive Statistics'!$J$17,H817&gt;'Descriptive Statistics'!$J$18),"Potential Outlier","Within Range")</f>
        <v>Within Range</v>
      </c>
    </row>
    <row r="818" hidden="1" spans="1:19">
      <c r="A818" t="s">
        <v>3013</v>
      </c>
      <c r="B818" s="23">
        <v>45343</v>
      </c>
      <c r="C818" s="23" t="str">
        <f t="shared" si="24"/>
        <v>Feb</v>
      </c>
      <c r="D818" s="23" t="str">
        <f t="shared" si="25"/>
        <v>2024</v>
      </c>
      <c r="E818" t="s">
        <v>3014</v>
      </c>
      <c r="F818" s="24" t="s">
        <v>32</v>
      </c>
      <c r="G818" s="17">
        <v>5</v>
      </c>
      <c r="H818" s="19">
        <v>574.79</v>
      </c>
      <c r="I818" t="s">
        <v>892</v>
      </c>
      <c r="J818" s="24" t="s">
        <v>34</v>
      </c>
      <c r="K818" s="24" t="s">
        <v>89</v>
      </c>
      <c r="L818" t="s">
        <v>3015</v>
      </c>
      <c r="M818" s="17">
        <v>8</v>
      </c>
      <c r="N818" t="s">
        <v>81</v>
      </c>
      <c r="O818" s="24" t="s">
        <v>29</v>
      </c>
      <c r="P818" s="19">
        <v>2873.95</v>
      </c>
      <c r="Q818" s="26" t="str">
        <f>IF(OR(P818&lt;'Descriptive Statistics'!$H$17,P818&gt;'Descriptive Statistics'!$H$18),"Potential Outlier","Within Range")</f>
        <v>Within Range</v>
      </c>
      <c r="R818" s="26" t="str">
        <f>IF(OR(G818&lt;'Descriptive Statistics'!$I$17,G818&gt;'Descriptive Statistics'!$I$18),"Potential Outlier","Within Range")</f>
        <v>Within Range</v>
      </c>
      <c r="S818" s="26" t="str">
        <f>IF(OR(H818&lt;'Descriptive Statistics'!$J$17,H818&gt;'Descriptive Statistics'!$J$18),"Potential Outlier","Within Range")</f>
        <v>Within Range</v>
      </c>
    </row>
    <row r="819" hidden="1" spans="1:19">
      <c r="A819" t="s">
        <v>3016</v>
      </c>
      <c r="B819" s="23">
        <v>45204</v>
      </c>
      <c r="C819" s="23" t="str">
        <f t="shared" si="24"/>
        <v>Oct</v>
      </c>
      <c r="D819" s="23" t="str">
        <f t="shared" si="25"/>
        <v>2023</v>
      </c>
      <c r="E819" t="s">
        <v>3017</v>
      </c>
      <c r="F819" s="24" t="s">
        <v>41</v>
      </c>
      <c r="G819" s="17">
        <v>4</v>
      </c>
      <c r="H819" s="19">
        <v>598.19</v>
      </c>
      <c r="I819" t="s">
        <v>3018</v>
      </c>
      <c r="J819" s="24" t="s">
        <v>34</v>
      </c>
      <c r="K819" s="24" t="s">
        <v>50</v>
      </c>
      <c r="L819" t="s">
        <v>3019</v>
      </c>
      <c r="M819" s="17">
        <v>7</v>
      </c>
      <c r="N819" t="s">
        <v>81</v>
      </c>
      <c r="O819" s="24" t="s">
        <v>38</v>
      </c>
      <c r="P819" s="19">
        <v>2392.76</v>
      </c>
      <c r="Q819" s="26" t="str">
        <f>IF(OR(P819&lt;'Descriptive Statistics'!$H$17,P819&gt;'Descriptive Statistics'!$H$18),"Potential Outlier","Within Range")</f>
        <v>Within Range</v>
      </c>
      <c r="R819" s="26" t="str">
        <f>IF(OR(G819&lt;'Descriptive Statistics'!$I$17,G819&gt;'Descriptive Statistics'!$I$18),"Potential Outlier","Within Range")</f>
        <v>Within Range</v>
      </c>
      <c r="S819" s="26" t="str">
        <f>IF(OR(H819&lt;'Descriptive Statistics'!$J$17,H819&gt;'Descriptive Statistics'!$J$18),"Potential Outlier","Within Range")</f>
        <v>Within Range</v>
      </c>
    </row>
    <row r="820" hidden="1" spans="1:19">
      <c r="A820" t="s">
        <v>3020</v>
      </c>
      <c r="B820" s="23">
        <v>44987</v>
      </c>
      <c r="C820" s="23" t="str">
        <f t="shared" si="24"/>
        <v>Mar</v>
      </c>
      <c r="D820" s="23" t="str">
        <f t="shared" si="25"/>
        <v>2023</v>
      </c>
      <c r="E820" t="s">
        <v>3021</v>
      </c>
      <c r="F820" s="24" t="s">
        <v>25</v>
      </c>
      <c r="G820" s="17">
        <v>4</v>
      </c>
      <c r="H820" s="19">
        <v>390.84</v>
      </c>
      <c r="I820" t="s">
        <v>2519</v>
      </c>
      <c r="J820" s="24" t="s">
        <v>34</v>
      </c>
      <c r="K820" s="24" t="s">
        <v>35</v>
      </c>
      <c r="L820" t="s">
        <v>3022</v>
      </c>
      <c r="M820" s="17">
        <v>9</v>
      </c>
      <c r="N820" t="s">
        <v>81</v>
      </c>
      <c r="O820" s="24" t="s">
        <v>29</v>
      </c>
      <c r="P820" s="19">
        <v>1563.36</v>
      </c>
      <c r="Q820" s="26" t="str">
        <f>IF(OR(P820&lt;'Descriptive Statistics'!$H$17,P820&gt;'Descriptive Statistics'!$H$18),"Potential Outlier","Within Range")</f>
        <v>Within Range</v>
      </c>
      <c r="R820" s="26" t="str">
        <f>IF(OR(G820&lt;'Descriptive Statistics'!$I$17,G820&gt;'Descriptive Statistics'!$I$18),"Potential Outlier","Within Range")</f>
        <v>Within Range</v>
      </c>
      <c r="S820" s="26" t="str">
        <f>IF(OR(H820&lt;'Descriptive Statistics'!$J$17,H820&gt;'Descriptive Statistics'!$J$18),"Potential Outlier","Within Range")</f>
        <v>Within Range</v>
      </c>
    </row>
    <row r="821" hidden="1" spans="1:19">
      <c r="A821" t="s">
        <v>3023</v>
      </c>
      <c r="B821" s="23">
        <v>45563</v>
      </c>
      <c r="C821" s="23" t="str">
        <f t="shared" si="24"/>
        <v>Sep</v>
      </c>
      <c r="D821" s="23" t="str">
        <f t="shared" si="25"/>
        <v>2024</v>
      </c>
      <c r="E821" t="s">
        <v>3024</v>
      </c>
      <c r="F821" s="24" t="s">
        <v>25</v>
      </c>
      <c r="G821" s="17">
        <v>2</v>
      </c>
      <c r="H821" s="19">
        <v>398.45</v>
      </c>
      <c r="I821" t="s">
        <v>3025</v>
      </c>
      <c r="J821" s="24" t="s">
        <v>18</v>
      </c>
      <c r="K821" s="24" t="s">
        <v>35</v>
      </c>
      <c r="L821" t="s">
        <v>3026</v>
      </c>
      <c r="M821" s="17">
        <v>7</v>
      </c>
      <c r="N821" t="s">
        <v>21</v>
      </c>
      <c r="O821" s="24" t="s">
        <v>76</v>
      </c>
      <c r="P821" s="19">
        <v>796.9</v>
      </c>
      <c r="Q821" s="26" t="str">
        <f>IF(OR(P821&lt;'Descriptive Statistics'!$H$17,P821&gt;'Descriptive Statistics'!$H$18),"Potential Outlier","Within Range")</f>
        <v>Within Range</v>
      </c>
      <c r="R821" s="26" t="str">
        <f>IF(OR(G821&lt;'Descriptive Statistics'!$I$17,G821&gt;'Descriptive Statistics'!$I$18),"Potential Outlier","Within Range")</f>
        <v>Within Range</v>
      </c>
      <c r="S821" s="26" t="str">
        <f>IF(OR(H821&lt;'Descriptive Statistics'!$J$17,H821&gt;'Descriptive Statistics'!$J$18),"Potential Outlier","Within Range")</f>
        <v>Within Range</v>
      </c>
    </row>
    <row r="822" hidden="1" spans="1:19">
      <c r="A822" t="s">
        <v>3027</v>
      </c>
      <c r="B822" s="23">
        <v>45073</v>
      </c>
      <c r="C822" s="23" t="str">
        <f t="shared" si="24"/>
        <v>May</v>
      </c>
      <c r="D822" s="23" t="str">
        <f t="shared" si="25"/>
        <v>2023</v>
      </c>
      <c r="E822" t="s">
        <v>3028</v>
      </c>
      <c r="F822" s="24" t="s">
        <v>25</v>
      </c>
      <c r="G822" s="17">
        <v>5</v>
      </c>
      <c r="H822" s="19">
        <v>623.81</v>
      </c>
      <c r="I822" t="s">
        <v>1396</v>
      </c>
      <c r="J822" s="24" t="s">
        <v>65</v>
      </c>
      <c r="K822" s="24" t="s">
        <v>43</v>
      </c>
      <c r="L822" t="s">
        <v>3029</v>
      </c>
      <c r="M822" s="17">
        <v>6</v>
      </c>
      <c r="N822" t="s">
        <v>37</v>
      </c>
      <c r="O822" s="24" t="s">
        <v>38</v>
      </c>
      <c r="P822" s="19">
        <v>3119.05</v>
      </c>
      <c r="Q822" s="26" t="str">
        <f>IF(OR(P822&lt;'Descriptive Statistics'!$H$17,P822&gt;'Descriptive Statistics'!$H$18),"Potential Outlier","Within Range")</f>
        <v>Within Range</v>
      </c>
      <c r="R822" s="26" t="str">
        <f>IF(OR(G822&lt;'Descriptive Statistics'!$I$17,G822&gt;'Descriptive Statistics'!$I$18),"Potential Outlier","Within Range")</f>
        <v>Within Range</v>
      </c>
      <c r="S822" s="26" t="str">
        <f>IF(OR(H822&lt;'Descriptive Statistics'!$J$17,H822&gt;'Descriptive Statistics'!$J$18),"Potential Outlier","Within Range")</f>
        <v>Within Range</v>
      </c>
    </row>
    <row r="823" hidden="1" spans="1:19">
      <c r="A823" t="s">
        <v>3030</v>
      </c>
      <c r="B823" s="23">
        <v>45640</v>
      </c>
      <c r="C823" s="23" t="str">
        <f t="shared" si="24"/>
        <v>Dec</v>
      </c>
      <c r="D823" s="23" t="str">
        <f t="shared" si="25"/>
        <v>2024</v>
      </c>
      <c r="E823" t="s">
        <v>3031</v>
      </c>
      <c r="F823" s="24" t="s">
        <v>58</v>
      </c>
      <c r="G823" s="17">
        <v>4</v>
      </c>
      <c r="H823" s="19">
        <v>174.49</v>
      </c>
      <c r="I823" t="s">
        <v>1364</v>
      </c>
      <c r="J823" s="24" t="s">
        <v>34</v>
      </c>
      <c r="K823" s="24" t="s">
        <v>50</v>
      </c>
      <c r="L823" t="s">
        <v>3032</v>
      </c>
      <c r="M823" s="17">
        <v>5</v>
      </c>
      <c r="N823" t="s">
        <v>21</v>
      </c>
      <c r="O823" s="24" t="s">
        <v>45</v>
      </c>
      <c r="P823" s="19">
        <v>697.96</v>
      </c>
      <c r="Q823" s="26" t="str">
        <f>IF(OR(P823&lt;'Descriptive Statistics'!$H$17,P823&gt;'Descriptive Statistics'!$H$18),"Potential Outlier","Within Range")</f>
        <v>Within Range</v>
      </c>
      <c r="R823" s="26" t="str">
        <f>IF(OR(G823&lt;'Descriptive Statistics'!$I$17,G823&gt;'Descriptive Statistics'!$I$18),"Potential Outlier","Within Range")</f>
        <v>Within Range</v>
      </c>
      <c r="S823" s="26" t="str">
        <f>IF(OR(H823&lt;'Descriptive Statistics'!$J$17,H823&gt;'Descriptive Statistics'!$J$18),"Potential Outlier","Within Range")</f>
        <v>Within Range</v>
      </c>
    </row>
    <row r="824" hidden="1" spans="1:19">
      <c r="A824" t="s">
        <v>3033</v>
      </c>
      <c r="B824" s="23">
        <v>45731</v>
      </c>
      <c r="C824" s="23" t="str">
        <f t="shared" si="24"/>
        <v>Mar</v>
      </c>
      <c r="D824" s="23" t="str">
        <f t="shared" si="25"/>
        <v>2025</v>
      </c>
      <c r="E824" t="s">
        <v>3034</v>
      </c>
      <c r="F824" s="24" t="s">
        <v>25</v>
      </c>
      <c r="G824" s="17">
        <v>1</v>
      </c>
      <c r="H824" s="19">
        <v>479.56</v>
      </c>
      <c r="I824" t="s">
        <v>320</v>
      </c>
      <c r="J824" s="24" t="s">
        <v>60</v>
      </c>
      <c r="K824" s="24" t="s">
        <v>43</v>
      </c>
      <c r="L824" t="s">
        <v>3035</v>
      </c>
      <c r="M824" s="17">
        <v>1</v>
      </c>
      <c r="N824" t="s">
        <v>21</v>
      </c>
      <c r="O824" s="24" t="s">
        <v>76</v>
      </c>
      <c r="P824" s="19">
        <v>479.56</v>
      </c>
      <c r="Q824" s="26" t="str">
        <f>IF(OR(P824&lt;'Descriptive Statistics'!$H$17,P824&gt;'Descriptive Statistics'!$H$18),"Potential Outlier","Within Range")</f>
        <v>Within Range</v>
      </c>
      <c r="R824" s="26" t="str">
        <f>IF(OR(G824&lt;'Descriptive Statistics'!$I$17,G824&gt;'Descriptive Statistics'!$I$18),"Potential Outlier","Within Range")</f>
        <v>Within Range</v>
      </c>
      <c r="S824" s="26" t="str">
        <f>IF(OR(H824&lt;'Descriptive Statistics'!$J$17,H824&gt;'Descriptive Statistics'!$J$18),"Potential Outlier","Within Range")</f>
        <v>Within Range</v>
      </c>
    </row>
    <row r="825" hidden="1" spans="1:19">
      <c r="A825" t="s">
        <v>3036</v>
      </c>
      <c r="B825" s="23">
        <v>45572</v>
      </c>
      <c r="C825" s="23" t="str">
        <f t="shared" si="24"/>
        <v>Oct</v>
      </c>
      <c r="D825" s="23" t="str">
        <f t="shared" si="25"/>
        <v>2024</v>
      </c>
      <c r="E825" t="s">
        <v>3037</v>
      </c>
      <c r="F825" s="24" t="s">
        <v>58</v>
      </c>
      <c r="G825" s="17">
        <v>4</v>
      </c>
      <c r="H825" s="19">
        <v>653.13</v>
      </c>
      <c r="I825" t="s">
        <v>3038</v>
      </c>
      <c r="J825" s="24" t="s">
        <v>34</v>
      </c>
      <c r="K825" s="24" t="s">
        <v>19</v>
      </c>
      <c r="L825" t="s">
        <v>3039</v>
      </c>
      <c r="M825" s="17">
        <v>8</v>
      </c>
      <c r="N825" t="s">
        <v>81</v>
      </c>
      <c r="O825" s="24" t="s">
        <v>22</v>
      </c>
      <c r="P825" s="19">
        <v>2612.52</v>
      </c>
      <c r="Q825" s="26" t="str">
        <f>IF(OR(P825&lt;'Descriptive Statistics'!$H$17,P825&gt;'Descriptive Statistics'!$H$18),"Potential Outlier","Within Range")</f>
        <v>Within Range</v>
      </c>
      <c r="R825" s="26" t="str">
        <f>IF(OR(G825&lt;'Descriptive Statistics'!$I$17,G825&gt;'Descriptive Statistics'!$I$18),"Potential Outlier","Within Range")</f>
        <v>Within Range</v>
      </c>
      <c r="S825" s="26" t="str">
        <f>IF(OR(H825&lt;'Descriptive Statistics'!$J$17,H825&gt;'Descriptive Statistics'!$J$18),"Potential Outlier","Within Range")</f>
        <v>Within Range</v>
      </c>
    </row>
    <row r="826" hidden="1" spans="1:19">
      <c r="A826" t="s">
        <v>3040</v>
      </c>
      <c r="B826" s="23">
        <v>45167</v>
      </c>
      <c r="C826" s="23" t="str">
        <f t="shared" si="24"/>
        <v>Aug</v>
      </c>
      <c r="D826" s="23" t="str">
        <f t="shared" si="25"/>
        <v>2023</v>
      </c>
      <c r="E826" t="s">
        <v>3041</v>
      </c>
      <c r="F826" s="24" t="s">
        <v>16</v>
      </c>
      <c r="G826" s="17">
        <v>3</v>
      </c>
      <c r="H826" s="19">
        <v>481.1</v>
      </c>
      <c r="I826" t="s">
        <v>3042</v>
      </c>
      <c r="J826" s="24" t="s">
        <v>34</v>
      </c>
      <c r="K826" s="24" t="s">
        <v>43</v>
      </c>
      <c r="L826" t="s">
        <v>3043</v>
      </c>
      <c r="M826" s="17">
        <v>3</v>
      </c>
      <c r="N826" t="s">
        <v>37</v>
      </c>
      <c r="O826" s="24" t="s">
        <v>45</v>
      </c>
      <c r="P826" s="19">
        <v>1443.3</v>
      </c>
      <c r="Q826" s="26" t="str">
        <f>IF(OR(P826&lt;'Descriptive Statistics'!$H$17,P826&gt;'Descriptive Statistics'!$H$18),"Potential Outlier","Within Range")</f>
        <v>Within Range</v>
      </c>
      <c r="R826" s="26" t="str">
        <f>IF(OR(G826&lt;'Descriptive Statistics'!$I$17,G826&gt;'Descriptive Statistics'!$I$18),"Potential Outlier","Within Range")</f>
        <v>Within Range</v>
      </c>
      <c r="S826" s="26" t="str">
        <f>IF(OR(H826&lt;'Descriptive Statistics'!$J$17,H826&gt;'Descriptive Statistics'!$J$18),"Potential Outlier","Within Range")</f>
        <v>Within Range</v>
      </c>
    </row>
    <row r="827" hidden="1" spans="1:19">
      <c r="A827" t="s">
        <v>3044</v>
      </c>
      <c r="B827" s="23">
        <v>45742</v>
      </c>
      <c r="C827" s="23" t="str">
        <f t="shared" si="24"/>
        <v>Mar</v>
      </c>
      <c r="D827" s="23" t="str">
        <f t="shared" si="25"/>
        <v>2025</v>
      </c>
      <c r="E827" t="s">
        <v>3045</v>
      </c>
      <c r="F827" s="24" t="s">
        <v>73</v>
      </c>
      <c r="G827" s="17">
        <v>5</v>
      </c>
      <c r="H827" s="19">
        <v>271.69</v>
      </c>
      <c r="I827" t="s">
        <v>3046</v>
      </c>
      <c r="J827" s="24" t="s">
        <v>27</v>
      </c>
      <c r="K827" s="24" t="s">
        <v>43</v>
      </c>
      <c r="L827" t="s">
        <v>3047</v>
      </c>
      <c r="M827" s="17">
        <v>7</v>
      </c>
      <c r="N827" t="s">
        <v>37</v>
      </c>
      <c r="O827" s="24" t="s">
        <v>22</v>
      </c>
      <c r="P827" s="19">
        <v>1358.45</v>
      </c>
      <c r="Q827" s="26" t="str">
        <f>IF(OR(P827&lt;'Descriptive Statistics'!$H$17,P827&gt;'Descriptive Statistics'!$H$18),"Potential Outlier","Within Range")</f>
        <v>Within Range</v>
      </c>
      <c r="R827" s="26" t="str">
        <f>IF(OR(G827&lt;'Descriptive Statistics'!$I$17,G827&gt;'Descriptive Statistics'!$I$18),"Potential Outlier","Within Range")</f>
        <v>Within Range</v>
      </c>
      <c r="S827" s="26" t="str">
        <f>IF(OR(H827&lt;'Descriptive Statistics'!$J$17,H827&gt;'Descriptive Statistics'!$J$18),"Potential Outlier","Within Range")</f>
        <v>Within Range</v>
      </c>
    </row>
    <row r="828" hidden="1" spans="1:19">
      <c r="A828" t="s">
        <v>3048</v>
      </c>
      <c r="B828" s="23">
        <v>45724</v>
      </c>
      <c r="C828" s="23" t="str">
        <f t="shared" si="24"/>
        <v>Mar</v>
      </c>
      <c r="D828" s="23" t="str">
        <f t="shared" si="25"/>
        <v>2025</v>
      </c>
      <c r="E828" t="s">
        <v>3049</v>
      </c>
      <c r="F828" s="24" t="s">
        <v>48</v>
      </c>
      <c r="G828" s="17">
        <v>3</v>
      </c>
      <c r="H828" s="19">
        <v>463.81</v>
      </c>
      <c r="I828" t="s">
        <v>735</v>
      </c>
      <c r="J828" s="24" t="s">
        <v>27</v>
      </c>
      <c r="K828" s="24" t="s">
        <v>43</v>
      </c>
      <c r="L828" t="s">
        <v>3050</v>
      </c>
      <c r="M828" s="17">
        <v>8</v>
      </c>
      <c r="N828" t="s">
        <v>81</v>
      </c>
      <c r="O828" s="24" t="s">
        <v>38</v>
      </c>
      <c r="P828" s="19">
        <v>1391.43</v>
      </c>
      <c r="Q828" s="26" t="str">
        <f>IF(OR(P828&lt;'Descriptive Statistics'!$H$17,P828&gt;'Descriptive Statistics'!$H$18),"Potential Outlier","Within Range")</f>
        <v>Within Range</v>
      </c>
      <c r="R828" s="26" t="str">
        <f>IF(OR(G828&lt;'Descriptive Statistics'!$I$17,G828&gt;'Descriptive Statistics'!$I$18),"Potential Outlier","Within Range")</f>
        <v>Within Range</v>
      </c>
      <c r="S828" s="26" t="str">
        <f>IF(OR(H828&lt;'Descriptive Statistics'!$J$17,H828&gt;'Descriptive Statistics'!$J$18),"Potential Outlier","Within Range")</f>
        <v>Within Range</v>
      </c>
    </row>
    <row r="829" hidden="1" spans="1:19">
      <c r="A829" t="s">
        <v>3051</v>
      </c>
      <c r="B829" s="23">
        <v>45071</v>
      </c>
      <c r="C829" s="23" t="str">
        <f t="shared" si="24"/>
        <v>May</v>
      </c>
      <c r="D829" s="23" t="str">
        <f t="shared" si="25"/>
        <v>2023</v>
      </c>
      <c r="E829" t="s">
        <v>3052</v>
      </c>
      <c r="F829" s="24" t="s">
        <v>32</v>
      </c>
      <c r="G829" s="17">
        <v>2</v>
      </c>
      <c r="H829" s="19">
        <v>639.88</v>
      </c>
      <c r="I829" t="s">
        <v>873</v>
      </c>
      <c r="J829" s="24" t="s">
        <v>65</v>
      </c>
      <c r="K829" s="24" t="s">
        <v>50</v>
      </c>
      <c r="L829" t="s">
        <v>3053</v>
      </c>
      <c r="M829" s="17">
        <v>5</v>
      </c>
      <c r="N829" t="s">
        <v>81</v>
      </c>
      <c r="O829" s="24" t="s">
        <v>22</v>
      </c>
      <c r="P829" s="19">
        <v>1279.76</v>
      </c>
      <c r="Q829" s="26" t="str">
        <f>IF(OR(P829&lt;'Descriptive Statistics'!$H$17,P829&gt;'Descriptive Statistics'!$H$18),"Potential Outlier","Within Range")</f>
        <v>Within Range</v>
      </c>
      <c r="R829" s="26" t="str">
        <f>IF(OR(G829&lt;'Descriptive Statistics'!$I$17,G829&gt;'Descriptive Statistics'!$I$18),"Potential Outlier","Within Range")</f>
        <v>Within Range</v>
      </c>
      <c r="S829" s="26" t="str">
        <f>IF(OR(H829&lt;'Descriptive Statistics'!$J$17,H829&gt;'Descriptive Statistics'!$J$18),"Potential Outlier","Within Range")</f>
        <v>Within Range</v>
      </c>
    </row>
    <row r="830" hidden="1" spans="1:19">
      <c r="A830" t="s">
        <v>3054</v>
      </c>
      <c r="B830" s="23">
        <v>45497</v>
      </c>
      <c r="C830" s="23" t="str">
        <f t="shared" si="24"/>
        <v>Jul</v>
      </c>
      <c r="D830" s="23" t="str">
        <f t="shared" si="25"/>
        <v>2024</v>
      </c>
      <c r="E830" t="s">
        <v>3055</v>
      </c>
      <c r="F830" s="24" t="s">
        <v>41</v>
      </c>
      <c r="G830" s="17">
        <v>4</v>
      </c>
      <c r="H830" s="19">
        <v>404.58</v>
      </c>
      <c r="I830" t="s">
        <v>3056</v>
      </c>
      <c r="J830" s="24" t="s">
        <v>65</v>
      </c>
      <c r="K830" s="24" t="s">
        <v>19</v>
      </c>
      <c r="L830" t="s">
        <v>3057</v>
      </c>
      <c r="M830" s="17">
        <v>5</v>
      </c>
      <c r="N830" t="s">
        <v>37</v>
      </c>
      <c r="O830" s="24" t="s">
        <v>22</v>
      </c>
      <c r="P830" s="19">
        <v>1618.32</v>
      </c>
      <c r="Q830" s="26" t="str">
        <f>IF(OR(P830&lt;'Descriptive Statistics'!$H$17,P830&gt;'Descriptive Statistics'!$H$18),"Potential Outlier","Within Range")</f>
        <v>Within Range</v>
      </c>
      <c r="R830" s="26" t="str">
        <f>IF(OR(G830&lt;'Descriptive Statistics'!$I$17,G830&gt;'Descriptive Statistics'!$I$18),"Potential Outlier","Within Range")</f>
        <v>Within Range</v>
      </c>
      <c r="S830" s="26" t="str">
        <f>IF(OR(H830&lt;'Descriptive Statistics'!$J$17,H830&gt;'Descriptive Statistics'!$J$18),"Potential Outlier","Within Range")</f>
        <v>Within Range</v>
      </c>
    </row>
    <row r="831" hidden="1" spans="1:19">
      <c r="A831" t="s">
        <v>3058</v>
      </c>
      <c r="B831" s="23">
        <v>44962</v>
      </c>
      <c r="C831" s="23" t="str">
        <f t="shared" si="24"/>
        <v>Feb</v>
      </c>
      <c r="D831" s="23" t="str">
        <f t="shared" si="25"/>
        <v>2023</v>
      </c>
      <c r="E831" t="s">
        <v>3059</v>
      </c>
      <c r="F831" s="24" t="s">
        <v>16</v>
      </c>
      <c r="G831" s="17">
        <v>1</v>
      </c>
      <c r="H831" s="19">
        <v>76.93</v>
      </c>
      <c r="I831" t="s">
        <v>3060</v>
      </c>
      <c r="J831" s="24" t="s">
        <v>18</v>
      </c>
      <c r="K831" s="24" t="s">
        <v>50</v>
      </c>
      <c r="L831" t="s">
        <v>3061</v>
      </c>
      <c r="M831" s="17">
        <v>6</v>
      </c>
      <c r="N831" t="s">
        <v>81</v>
      </c>
      <c r="O831" s="24" t="s">
        <v>22</v>
      </c>
      <c r="P831" s="19">
        <v>76.93</v>
      </c>
      <c r="Q831" s="26" t="str">
        <f>IF(OR(P831&lt;'Descriptive Statistics'!$H$17,P831&gt;'Descriptive Statistics'!$H$18),"Potential Outlier","Within Range")</f>
        <v>Within Range</v>
      </c>
      <c r="R831" s="26" t="str">
        <f>IF(OR(G831&lt;'Descriptive Statistics'!$I$17,G831&gt;'Descriptive Statistics'!$I$18),"Potential Outlier","Within Range")</f>
        <v>Within Range</v>
      </c>
      <c r="S831" s="26" t="str">
        <f>IF(OR(H831&lt;'Descriptive Statistics'!$J$17,H831&gt;'Descriptive Statistics'!$J$18),"Potential Outlier","Within Range")</f>
        <v>Within Range</v>
      </c>
    </row>
    <row r="832" hidden="1" spans="1:19">
      <c r="A832" t="s">
        <v>3062</v>
      </c>
      <c r="B832" s="23">
        <v>45637</v>
      </c>
      <c r="C832" s="23" t="str">
        <f t="shared" si="24"/>
        <v>Dec</v>
      </c>
      <c r="D832" s="23" t="str">
        <f t="shared" si="25"/>
        <v>2024</v>
      </c>
      <c r="E832" t="s">
        <v>3063</v>
      </c>
      <c r="F832" s="24" t="s">
        <v>32</v>
      </c>
      <c r="G832" s="17">
        <v>4</v>
      </c>
      <c r="H832" s="19">
        <v>190.64</v>
      </c>
      <c r="I832" t="s">
        <v>3064</v>
      </c>
      <c r="J832" s="24" t="s">
        <v>65</v>
      </c>
      <c r="K832" s="24" t="s">
        <v>50</v>
      </c>
      <c r="L832" t="s">
        <v>3065</v>
      </c>
      <c r="M832" s="17">
        <v>5</v>
      </c>
      <c r="N832" t="s">
        <v>21</v>
      </c>
      <c r="O832" s="24" t="s">
        <v>38</v>
      </c>
      <c r="P832" s="19">
        <v>762.56</v>
      </c>
      <c r="Q832" s="26" t="str">
        <f>IF(OR(P832&lt;'Descriptive Statistics'!$H$17,P832&gt;'Descriptive Statistics'!$H$18),"Potential Outlier","Within Range")</f>
        <v>Within Range</v>
      </c>
      <c r="R832" s="26" t="str">
        <f>IF(OR(G832&lt;'Descriptive Statistics'!$I$17,G832&gt;'Descriptive Statistics'!$I$18),"Potential Outlier","Within Range")</f>
        <v>Within Range</v>
      </c>
      <c r="S832" s="26" t="str">
        <f>IF(OR(H832&lt;'Descriptive Statistics'!$J$17,H832&gt;'Descriptive Statistics'!$J$18),"Potential Outlier","Within Range")</f>
        <v>Within Range</v>
      </c>
    </row>
    <row r="833" hidden="1" spans="1:19">
      <c r="A833" t="s">
        <v>3066</v>
      </c>
      <c r="B833" s="23">
        <v>45278</v>
      </c>
      <c r="C833" s="23" t="str">
        <f t="shared" si="24"/>
        <v>Dec</v>
      </c>
      <c r="D833" s="23" t="str">
        <f t="shared" si="25"/>
        <v>2023</v>
      </c>
      <c r="E833" t="s">
        <v>3067</v>
      </c>
      <c r="F833" s="24" t="s">
        <v>48</v>
      </c>
      <c r="G833" s="17">
        <v>2</v>
      </c>
      <c r="H833" s="19">
        <v>88.73</v>
      </c>
      <c r="I833" t="s">
        <v>2371</v>
      </c>
      <c r="J833" s="24" t="s">
        <v>27</v>
      </c>
      <c r="K833" s="24" t="s">
        <v>89</v>
      </c>
      <c r="L833" t="s">
        <v>3068</v>
      </c>
      <c r="M833" s="17">
        <v>5</v>
      </c>
      <c r="N833" t="s">
        <v>4295</v>
      </c>
      <c r="O833" s="24" t="s">
        <v>76</v>
      </c>
      <c r="P833" s="19">
        <v>177.46</v>
      </c>
      <c r="Q833" s="26" t="str">
        <f>IF(OR(P833&lt;'Descriptive Statistics'!$H$17,P833&gt;'Descriptive Statistics'!$H$18),"Potential Outlier","Within Range")</f>
        <v>Within Range</v>
      </c>
      <c r="R833" s="26" t="str">
        <f>IF(OR(G833&lt;'Descriptive Statistics'!$I$17,G833&gt;'Descriptive Statistics'!$I$18),"Potential Outlier","Within Range")</f>
        <v>Within Range</v>
      </c>
      <c r="S833" s="26" t="str">
        <f>IF(OR(H833&lt;'Descriptive Statistics'!$J$17,H833&gt;'Descriptive Statistics'!$J$18),"Potential Outlier","Within Range")</f>
        <v>Within Range</v>
      </c>
    </row>
    <row r="834" hidden="1" spans="1:19">
      <c r="A834" t="s">
        <v>3069</v>
      </c>
      <c r="B834" s="23">
        <v>45363</v>
      </c>
      <c r="C834" s="23" t="str">
        <f t="shared" ref="C834:C897" si="26">TEXT(B834,"MMM")</f>
        <v>Mar</v>
      </c>
      <c r="D834" s="23" t="str">
        <f t="shared" ref="D834:D897" si="27">TEXT(B834,"YYYY")</f>
        <v>2024</v>
      </c>
      <c r="E834" t="s">
        <v>3070</v>
      </c>
      <c r="F834" s="24" t="s">
        <v>41</v>
      </c>
      <c r="G834" s="17">
        <v>5</v>
      </c>
      <c r="H834" s="19">
        <v>485.71</v>
      </c>
      <c r="I834" t="s">
        <v>93</v>
      </c>
      <c r="J834" s="24" t="s">
        <v>27</v>
      </c>
      <c r="K834" s="24" t="s">
        <v>89</v>
      </c>
      <c r="L834" t="s">
        <v>3071</v>
      </c>
      <c r="M834" s="17">
        <v>10</v>
      </c>
      <c r="N834" t="s">
        <v>21</v>
      </c>
      <c r="O834" s="24" t="s">
        <v>29</v>
      </c>
      <c r="P834" s="19">
        <v>2428.55</v>
      </c>
      <c r="Q834" s="26" t="str">
        <f>IF(OR(P834&lt;'Descriptive Statistics'!$H$17,P834&gt;'Descriptive Statistics'!$H$18),"Potential Outlier","Within Range")</f>
        <v>Within Range</v>
      </c>
      <c r="R834" s="26" t="str">
        <f>IF(OR(G834&lt;'Descriptive Statistics'!$I$17,G834&gt;'Descriptive Statistics'!$I$18),"Potential Outlier","Within Range")</f>
        <v>Within Range</v>
      </c>
      <c r="S834" s="26" t="str">
        <f>IF(OR(H834&lt;'Descriptive Statistics'!$J$17,H834&gt;'Descriptive Statistics'!$J$18),"Potential Outlier","Within Range")</f>
        <v>Within Range</v>
      </c>
    </row>
    <row r="835" hidden="1" spans="1:19">
      <c r="A835" t="s">
        <v>3072</v>
      </c>
      <c r="B835" s="23">
        <v>45730</v>
      </c>
      <c r="C835" s="23" t="str">
        <f t="shared" si="26"/>
        <v>Mar</v>
      </c>
      <c r="D835" s="23" t="str">
        <f t="shared" si="27"/>
        <v>2025</v>
      </c>
      <c r="E835" t="s">
        <v>3073</v>
      </c>
      <c r="F835" s="24" t="s">
        <v>25</v>
      </c>
      <c r="G835" s="17">
        <v>5</v>
      </c>
      <c r="H835" s="19">
        <v>78.29</v>
      </c>
      <c r="I835" t="s">
        <v>3074</v>
      </c>
      <c r="J835" s="24" t="s">
        <v>34</v>
      </c>
      <c r="K835" s="24" t="s">
        <v>19</v>
      </c>
      <c r="L835" t="s">
        <v>3075</v>
      </c>
      <c r="M835" s="17">
        <v>5</v>
      </c>
      <c r="N835" t="s">
        <v>81</v>
      </c>
      <c r="O835" s="24" t="s">
        <v>29</v>
      </c>
      <c r="P835" s="19">
        <v>391.45</v>
      </c>
      <c r="Q835" s="26" t="str">
        <f>IF(OR(P835&lt;'Descriptive Statistics'!$H$17,P835&gt;'Descriptive Statistics'!$H$18),"Potential Outlier","Within Range")</f>
        <v>Within Range</v>
      </c>
      <c r="R835" s="26" t="str">
        <f>IF(OR(G835&lt;'Descriptive Statistics'!$I$17,G835&gt;'Descriptive Statistics'!$I$18),"Potential Outlier","Within Range")</f>
        <v>Within Range</v>
      </c>
      <c r="S835" s="26" t="str">
        <f>IF(OR(H835&lt;'Descriptive Statistics'!$J$17,H835&gt;'Descriptive Statistics'!$J$18),"Potential Outlier","Within Range")</f>
        <v>Within Range</v>
      </c>
    </row>
    <row r="836" hidden="1" spans="1:19">
      <c r="A836" t="s">
        <v>3076</v>
      </c>
      <c r="B836" s="23">
        <v>45393</v>
      </c>
      <c r="C836" s="23" t="str">
        <f t="shared" si="26"/>
        <v>Apr</v>
      </c>
      <c r="D836" s="23" t="str">
        <f t="shared" si="27"/>
        <v>2024</v>
      </c>
      <c r="E836" t="s">
        <v>3077</v>
      </c>
      <c r="F836" s="24" t="s">
        <v>48</v>
      </c>
      <c r="G836" s="17">
        <v>5</v>
      </c>
      <c r="H836" s="19">
        <v>22.14</v>
      </c>
      <c r="I836" t="s">
        <v>964</v>
      </c>
      <c r="J836" s="24" t="s">
        <v>65</v>
      </c>
      <c r="K836" s="24" t="s">
        <v>43</v>
      </c>
      <c r="L836" t="s">
        <v>3078</v>
      </c>
      <c r="M836" s="17">
        <v>10</v>
      </c>
      <c r="N836" t="s">
        <v>4295</v>
      </c>
      <c r="O836" s="24" t="s">
        <v>22</v>
      </c>
      <c r="P836" s="19">
        <v>110.7</v>
      </c>
      <c r="Q836" s="26" t="str">
        <f>IF(OR(P836&lt;'Descriptive Statistics'!$H$17,P836&gt;'Descriptive Statistics'!$H$18),"Potential Outlier","Within Range")</f>
        <v>Within Range</v>
      </c>
      <c r="R836" s="26" t="str">
        <f>IF(OR(G836&lt;'Descriptive Statistics'!$I$17,G836&gt;'Descriptive Statistics'!$I$18),"Potential Outlier","Within Range")</f>
        <v>Within Range</v>
      </c>
      <c r="S836" s="26" t="str">
        <f>IF(OR(H836&lt;'Descriptive Statistics'!$J$17,H836&gt;'Descriptive Statistics'!$J$18),"Potential Outlier","Within Range")</f>
        <v>Within Range</v>
      </c>
    </row>
    <row r="837" hidden="1" spans="1:19">
      <c r="A837" t="s">
        <v>3079</v>
      </c>
      <c r="B837" s="23">
        <v>45377</v>
      </c>
      <c r="C837" s="23" t="str">
        <f t="shared" si="26"/>
        <v>Mar</v>
      </c>
      <c r="D837" s="23" t="str">
        <f t="shared" si="27"/>
        <v>2024</v>
      </c>
      <c r="E837" t="s">
        <v>3080</v>
      </c>
      <c r="F837" s="24" t="s">
        <v>73</v>
      </c>
      <c r="G837" s="17">
        <v>1</v>
      </c>
      <c r="H837" s="19">
        <v>679.65</v>
      </c>
      <c r="I837" t="s">
        <v>3081</v>
      </c>
      <c r="J837" s="24" t="s">
        <v>18</v>
      </c>
      <c r="K837" s="24" t="s">
        <v>19</v>
      </c>
      <c r="L837" t="s">
        <v>3082</v>
      </c>
      <c r="M837" s="17">
        <v>6</v>
      </c>
      <c r="N837" t="s">
        <v>37</v>
      </c>
      <c r="O837" s="24" t="s">
        <v>76</v>
      </c>
      <c r="P837" s="19">
        <v>679.65</v>
      </c>
      <c r="Q837" s="26" t="str">
        <f>IF(OR(P837&lt;'Descriptive Statistics'!$H$17,P837&gt;'Descriptive Statistics'!$H$18),"Potential Outlier","Within Range")</f>
        <v>Within Range</v>
      </c>
      <c r="R837" s="26" t="str">
        <f>IF(OR(G837&lt;'Descriptive Statistics'!$I$17,G837&gt;'Descriptive Statistics'!$I$18),"Potential Outlier","Within Range")</f>
        <v>Within Range</v>
      </c>
      <c r="S837" s="26" t="str">
        <f>IF(OR(H837&lt;'Descriptive Statistics'!$J$17,H837&gt;'Descriptive Statistics'!$J$18),"Potential Outlier","Within Range")</f>
        <v>Within Range</v>
      </c>
    </row>
    <row r="838" hidden="1" spans="1:19">
      <c r="A838" t="s">
        <v>3083</v>
      </c>
      <c r="B838" s="23">
        <v>44959</v>
      </c>
      <c r="C838" s="23" t="str">
        <f t="shared" si="26"/>
        <v>Feb</v>
      </c>
      <c r="D838" s="23" t="str">
        <f t="shared" si="27"/>
        <v>2023</v>
      </c>
      <c r="E838" t="s">
        <v>3084</v>
      </c>
      <c r="F838" s="24" t="s">
        <v>25</v>
      </c>
      <c r="G838" s="17">
        <v>1</v>
      </c>
      <c r="H838" s="19">
        <v>178.44</v>
      </c>
      <c r="I838" t="s">
        <v>2446</v>
      </c>
      <c r="J838" s="24" t="s">
        <v>34</v>
      </c>
      <c r="K838" s="24" t="s">
        <v>35</v>
      </c>
      <c r="L838" t="s">
        <v>3085</v>
      </c>
      <c r="M838" s="17">
        <v>2</v>
      </c>
      <c r="N838" t="s">
        <v>37</v>
      </c>
      <c r="O838" s="24" t="s">
        <v>76</v>
      </c>
      <c r="P838" s="19">
        <v>178.44</v>
      </c>
      <c r="Q838" s="26" t="str">
        <f>IF(OR(P838&lt;'Descriptive Statistics'!$H$17,P838&gt;'Descriptive Statistics'!$H$18),"Potential Outlier","Within Range")</f>
        <v>Within Range</v>
      </c>
      <c r="R838" s="26" t="str">
        <f>IF(OR(G838&lt;'Descriptive Statistics'!$I$17,G838&gt;'Descriptive Statistics'!$I$18),"Potential Outlier","Within Range")</f>
        <v>Within Range</v>
      </c>
      <c r="S838" s="26" t="str">
        <f>IF(OR(H838&lt;'Descriptive Statistics'!$J$17,H838&gt;'Descriptive Statistics'!$J$18),"Potential Outlier","Within Range")</f>
        <v>Within Range</v>
      </c>
    </row>
    <row r="839" hidden="1" spans="1:19">
      <c r="A839" t="s">
        <v>3086</v>
      </c>
      <c r="B839" s="23">
        <v>45822</v>
      </c>
      <c r="C839" s="23" t="str">
        <f t="shared" si="26"/>
        <v>Jun</v>
      </c>
      <c r="D839" s="23" t="str">
        <f t="shared" si="27"/>
        <v>2025</v>
      </c>
      <c r="E839" t="s">
        <v>3087</v>
      </c>
      <c r="F839" s="24" t="s">
        <v>41</v>
      </c>
      <c r="G839" s="17">
        <v>5</v>
      </c>
      <c r="H839" s="19">
        <v>655.55</v>
      </c>
      <c r="I839" t="s">
        <v>2290</v>
      </c>
      <c r="J839" s="24" t="s">
        <v>27</v>
      </c>
      <c r="K839" s="24" t="s">
        <v>50</v>
      </c>
      <c r="L839" t="s">
        <v>3088</v>
      </c>
      <c r="M839" s="17">
        <v>5</v>
      </c>
      <c r="N839" t="s">
        <v>4295</v>
      </c>
      <c r="O839" s="24" t="s">
        <v>38</v>
      </c>
      <c r="P839" s="19">
        <v>3277.75</v>
      </c>
      <c r="Q839" s="26" t="str">
        <f>IF(OR(P839&lt;'Descriptive Statistics'!$H$17,P839&gt;'Descriptive Statistics'!$H$18),"Potential Outlier","Within Range")</f>
        <v>Within Range</v>
      </c>
      <c r="R839" s="26" t="str">
        <f>IF(OR(G839&lt;'Descriptive Statistics'!$I$17,G839&gt;'Descriptive Statistics'!$I$18),"Potential Outlier","Within Range")</f>
        <v>Within Range</v>
      </c>
      <c r="S839" s="26" t="str">
        <f>IF(OR(H839&lt;'Descriptive Statistics'!$J$17,H839&gt;'Descriptive Statistics'!$J$18),"Potential Outlier","Within Range")</f>
        <v>Within Range</v>
      </c>
    </row>
    <row r="840" hidden="1" spans="1:19">
      <c r="A840" t="s">
        <v>3089</v>
      </c>
      <c r="B840" s="23">
        <v>45393</v>
      </c>
      <c r="C840" s="23" t="str">
        <f t="shared" si="26"/>
        <v>Apr</v>
      </c>
      <c r="D840" s="23" t="str">
        <f t="shared" si="27"/>
        <v>2024</v>
      </c>
      <c r="E840" t="s">
        <v>3090</v>
      </c>
      <c r="F840" s="24" t="s">
        <v>73</v>
      </c>
      <c r="G840" s="17">
        <v>4</v>
      </c>
      <c r="H840" s="19">
        <v>577.08</v>
      </c>
      <c r="I840" t="s">
        <v>316</v>
      </c>
      <c r="J840" s="24" t="s">
        <v>27</v>
      </c>
      <c r="K840" s="24" t="s">
        <v>89</v>
      </c>
      <c r="L840" t="s">
        <v>3091</v>
      </c>
      <c r="M840" s="17">
        <v>8</v>
      </c>
      <c r="N840" t="s">
        <v>4295</v>
      </c>
      <c r="O840" s="24" t="s">
        <v>45</v>
      </c>
      <c r="P840" s="19">
        <v>2308.32</v>
      </c>
      <c r="Q840" s="26" t="str">
        <f>IF(OR(P840&lt;'Descriptive Statistics'!$H$17,P840&gt;'Descriptive Statistics'!$H$18),"Potential Outlier","Within Range")</f>
        <v>Within Range</v>
      </c>
      <c r="R840" s="26" t="str">
        <f>IF(OR(G840&lt;'Descriptive Statistics'!$I$17,G840&gt;'Descriptive Statistics'!$I$18),"Potential Outlier","Within Range")</f>
        <v>Within Range</v>
      </c>
      <c r="S840" s="26" t="str">
        <f>IF(OR(H840&lt;'Descriptive Statistics'!$J$17,H840&gt;'Descriptive Statistics'!$J$18),"Potential Outlier","Within Range")</f>
        <v>Within Range</v>
      </c>
    </row>
    <row r="841" hidden="1" spans="1:19">
      <c r="A841" t="s">
        <v>3092</v>
      </c>
      <c r="B841" s="23">
        <v>45162</v>
      </c>
      <c r="C841" s="23" t="str">
        <f t="shared" si="26"/>
        <v>Aug</v>
      </c>
      <c r="D841" s="23" t="str">
        <f t="shared" si="27"/>
        <v>2023</v>
      </c>
      <c r="E841" t="s">
        <v>3093</v>
      </c>
      <c r="F841" s="24" t="s">
        <v>41</v>
      </c>
      <c r="G841" s="17">
        <v>3</v>
      </c>
      <c r="H841" s="19">
        <v>197.97</v>
      </c>
      <c r="I841" t="s">
        <v>2768</v>
      </c>
      <c r="J841" s="24" t="s">
        <v>27</v>
      </c>
      <c r="K841" s="24" t="s">
        <v>35</v>
      </c>
      <c r="L841" t="s">
        <v>3094</v>
      </c>
      <c r="M841" s="17">
        <v>5</v>
      </c>
      <c r="N841" t="s">
        <v>4295</v>
      </c>
      <c r="O841" s="24" t="s">
        <v>76</v>
      </c>
      <c r="P841" s="19">
        <v>593.91</v>
      </c>
      <c r="Q841" s="26" t="str">
        <f>IF(OR(P841&lt;'Descriptive Statistics'!$H$17,P841&gt;'Descriptive Statistics'!$H$18),"Potential Outlier","Within Range")</f>
        <v>Within Range</v>
      </c>
      <c r="R841" s="26" t="str">
        <f>IF(OR(G841&lt;'Descriptive Statistics'!$I$17,G841&gt;'Descriptive Statistics'!$I$18),"Potential Outlier","Within Range")</f>
        <v>Within Range</v>
      </c>
      <c r="S841" s="26" t="str">
        <f>IF(OR(H841&lt;'Descriptive Statistics'!$J$17,H841&gt;'Descriptive Statistics'!$J$18),"Potential Outlier","Within Range")</f>
        <v>Within Range</v>
      </c>
    </row>
    <row r="842" hidden="1" spans="1:19">
      <c r="A842" t="s">
        <v>3095</v>
      </c>
      <c r="B842" s="23">
        <v>45305</v>
      </c>
      <c r="C842" s="23" t="str">
        <f t="shared" si="26"/>
        <v>Jan</v>
      </c>
      <c r="D842" s="23" t="str">
        <f t="shared" si="27"/>
        <v>2024</v>
      </c>
      <c r="E842" t="s">
        <v>3096</v>
      </c>
      <c r="F842" s="24" t="s">
        <v>41</v>
      </c>
      <c r="G842" s="17">
        <v>3</v>
      </c>
      <c r="H842" s="19">
        <v>411.95</v>
      </c>
      <c r="I842" t="s">
        <v>1815</v>
      </c>
      <c r="J842" s="24" t="s">
        <v>34</v>
      </c>
      <c r="K842" s="24" t="s">
        <v>50</v>
      </c>
      <c r="L842" t="s">
        <v>3097</v>
      </c>
      <c r="M842" s="17">
        <v>7</v>
      </c>
      <c r="N842" t="s">
        <v>37</v>
      </c>
      <c r="O842" s="24" t="s">
        <v>29</v>
      </c>
      <c r="P842" s="19">
        <v>1235.85</v>
      </c>
      <c r="Q842" s="26" t="str">
        <f>IF(OR(P842&lt;'Descriptive Statistics'!$H$17,P842&gt;'Descriptive Statistics'!$H$18),"Potential Outlier","Within Range")</f>
        <v>Within Range</v>
      </c>
      <c r="R842" s="26" t="str">
        <f>IF(OR(G842&lt;'Descriptive Statistics'!$I$17,G842&gt;'Descriptive Statistics'!$I$18),"Potential Outlier","Within Range")</f>
        <v>Within Range</v>
      </c>
      <c r="S842" s="26" t="str">
        <f>IF(OR(H842&lt;'Descriptive Statistics'!$J$17,H842&gt;'Descriptive Statistics'!$J$18),"Potential Outlier","Within Range")</f>
        <v>Within Range</v>
      </c>
    </row>
    <row r="843" hidden="1" spans="1:19">
      <c r="A843" t="s">
        <v>3098</v>
      </c>
      <c r="B843" s="23">
        <v>45554</v>
      </c>
      <c r="C843" s="23" t="str">
        <f t="shared" si="26"/>
        <v>Sep</v>
      </c>
      <c r="D843" s="23" t="str">
        <f t="shared" si="27"/>
        <v>2024</v>
      </c>
      <c r="E843" t="s">
        <v>3099</v>
      </c>
      <c r="F843" s="24" t="s">
        <v>48</v>
      </c>
      <c r="G843" s="17">
        <v>2</v>
      </c>
      <c r="H843" s="19">
        <v>443.22</v>
      </c>
      <c r="I843" t="s">
        <v>3100</v>
      </c>
      <c r="J843" s="24" t="s">
        <v>34</v>
      </c>
      <c r="K843" s="24" t="s">
        <v>50</v>
      </c>
      <c r="L843" t="s">
        <v>3101</v>
      </c>
      <c r="M843" s="17">
        <v>5</v>
      </c>
      <c r="N843" t="s">
        <v>4295</v>
      </c>
      <c r="O843" s="24" t="s">
        <v>45</v>
      </c>
      <c r="P843" s="19">
        <v>886.44</v>
      </c>
      <c r="Q843" s="26" t="str">
        <f>IF(OR(P843&lt;'Descriptive Statistics'!$H$17,P843&gt;'Descriptive Statistics'!$H$18),"Potential Outlier","Within Range")</f>
        <v>Within Range</v>
      </c>
      <c r="R843" s="26" t="str">
        <f>IF(OR(G843&lt;'Descriptive Statistics'!$I$17,G843&gt;'Descriptive Statistics'!$I$18),"Potential Outlier","Within Range")</f>
        <v>Within Range</v>
      </c>
      <c r="S843" s="26" t="str">
        <f>IF(OR(H843&lt;'Descriptive Statistics'!$J$17,H843&gt;'Descriptive Statistics'!$J$18),"Potential Outlier","Within Range")</f>
        <v>Within Range</v>
      </c>
    </row>
    <row r="844" hidden="1" spans="1:19">
      <c r="A844" t="s">
        <v>3102</v>
      </c>
      <c r="B844" s="23">
        <v>45784</v>
      </c>
      <c r="C844" s="23" t="str">
        <f t="shared" si="26"/>
        <v>May</v>
      </c>
      <c r="D844" s="23" t="str">
        <f t="shared" si="27"/>
        <v>2025</v>
      </c>
      <c r="E844" t="s">
        <v>3103</v>
      </c>
      <c r="F844" s="24" t="s">
        <v>58</v>
      </c>
      <c r="G844" s="17">
        <v>3</v>
      </c>
      <c r="H844" s="19">
        <v>364.14</v>
      </c>
      <c r="I844" t="s">
        <v>2579</v>
      </c>
      <c r="J844" s="24" t="s">
        <v>27</v>
      </c>
      <c r="K844" s="24" t="s">
        <v>89</v>
      </c>
      <c r="L844" t="s">
        <v>3104</v>
      </c>
      <c r="M844" s="17">
        <v>7</v>
      </c>
      <c r="N844" t="s">
        <v>81</v>
      </c>
      <c r="O844" s="24" t="s">
        <v>29</v>
      </c>
      <c r="P844" s="19">
        <v>1092.42</v>
      </c>
      <c r="Q844" s="26" t="str">
        <f>IF(OR(P844&lt;'Descriptive Statistics'!$H$17,P844&gt;'Descriptive Statistics'!$H$18),"Potential Outlier","Within Range")</f>
        <v>Within Range</v>
      </c>
      <c r="R844" s="26" t="str">
        <f>IF(OR(G844&lt;'Descriptive Statistics'!$I$17,G844&gt;'Descriptive Statistics'!$I$18),"Potential Outlier","Within Range")</f>
        <v>Within Range</v>
      </c>
      <c r="S844" s="26" t="str">
        <f>IF(OR(H844&lt;'Descriptive Statistics'!$J$17,H844&gt;'Descriptive Statistics'!$J$18),"Potential Outlier","Within Range")</f>
        <v>Within Range</v>
      </c>
    </row>
    <row r="845" hidden="1" spans="1:19">
      <c r="A845" t="s">
        <v>3105</v>
      </c>
      <c r="B845" s="23">
        <v>45790</v>
      </c>
      <c r="C845" s="23" t="str">
        <f t="shared" si="26"/>
        <v>May</v>
      </c>
      <c r="D845" s="23" t="str">
        <f t="shared" si="27"/>
        <v>2025</v>
      </c>
      <c r="E845" t="s">
        <v>3106</v>
      </c>
      <c r="F845" s="24" t="s">
        <v>73</v>
      </c>
      <c r="G845" s="17">
        <v>3</v>
      </c>
      <c r="H845" s="19">
        <v>430.06</v>
      </c>
      <c r="I845" t="s">
        <v>3107</v>
      </c>
      <c r="J845" s="24" t="s">
        <v>60</v>
      </c>
      <c r="K845" s="24" t="s">
        <v>35</v>
      </c>
      <c r="L845" t="s">
        <v>3108</v>
      </c>
      <c r="M845" s="17">
        <v>8</v>
      </c>
      <c r="N845" t="s">
        <v>37</v>
      </c>
      <c r="O845" s="24" t="s">
        <v>22</v>
      </c>
      <c r="P845" s="19">
        <v>1290.18</v>
      </c>
      <c r="Q845" s="26" t="str">
        <f>IF(OR(P845&lt;'Descriptive Statistics'!$H$17,P845&gt;'Descriptive Statistics'!$H$18),"Potential Outlier","Within Range")</f>
        <v>Within Range</v>
      </c>
      <c r="R845" s="26" t="str">
        <f>IF(OR(G845&lt;'Descriptive Statistics'!$I$17,G845&gt;'Descriptive Statistics'!$I$18),"Potential Outlier","Within Range")</f>
        <v>Within Range</v>
      </c>
      <c r="S845" s="26" t="str">
        <f>IF(OR(H845&lt;'Descriptive Statistics'!$J$17,H845&gt;'Descriptive Statistics'!$J$18),"Potential Outlier","Within Range")</f>
        <v>Within Range</v>
      </c>
    </row>
    <row r="846" hidden="1" spans="1:19">
      <c r="A846" t="s">
        <v>3109</v>
      </c>
      <c r="B846" s="23">
        <v>45630</v>
      </c>
      <c r="C846" s="23" t="str">
        <f t="shared" si="26"/>
        <v>Dec</v>
      </c>
      <c r="D846" s="23" t="str">
        <f t="shared" si="27"/>
        <v>2024</v>
      </c>
      <c r="E846" t="s">
        <v>3110</v>
      </c>
      <c r="F846" s="24" t="s">
        <v>41</v>
      </c>
      <c r="G846" s="17">
        <v>1</v>
      </c>
      <c r="H846" s="19">
        <v>320.92</v>
      </c>
      <c r="I846" t="s">
        <v>3111</v>
      </c>
      <c r="J846" s="24" t="s">
        <v>27</v>
      </c>
      <c r="K846" s="24" t="s">
        <v>43</v>
      </c>
      <c r="L846" t="s">
        <v>3112</v>
      </c>
      <c r="M846" s="17">
        <v>5</v>
      </c>
      <c r="N846" t="s">
        <v>37</v>
      </c>
      <c r="O846" s="24" t="s">
        <v>45</v>
      </c>
      <c r="P846" s="19">
        <v>320.92</v>
      </c>
      <c r="Q846" s="26" t="str">
        <f>IF(OR(P846&lt;'Descriptive Statistics'!$H$17,P846&gt;'Descriptive Statistics'!$H$18),"Potential Outlier","Within Range")</f>
        <v>Within Range</v>
      </c>
      <c r="R846" s="26" t="str">
        <f>IF(OR(G846&lt;'Descriptive Statistics'!$I$17,G846&gt;'Descriptive Statistics'!$I$18),"Potential Outlier","Within Range")</f>
        <v>Within Range</v>
      </c>
      <c r="S846" s="26" t="str">
        <f>IF(OR(H846&lt;'Descriptive Statistics'!$J$17,H846&gt;'Descriptive Statistics'!$J$18),"Potential Outlier","Within Range")</f>
        <v>Within Range</v>
      </c>
    </row>
    <row r="847" hidden="1" spans="1:19">
      <c r="A847" t="s">
        <v>3113</v>
      </c>
      <c r="B847" s="23">
        <v>45207</v>
      </c>
      <c r="C847" s="23" t="str">
        <f t="shared" si="26"/>
        <v>Oct</v>
      </c>
      <c r="D847" s="23" t="str">
        <f t="shared" si="27"/>
        <v>2023</v>
      </c>
      <c r="E847" t="s">
        <v>3114</v>
      </c>
      <c r="F847" s="24" t="s">
        <v>25</v>
      </c>
      <c r="G847" s="17">
        <v>3</v>
      </c>
      <c r="H847" s="19">
        <v>107.36</v>
      </c>
      <c r="I847" t="s">
        <v>3115</v>
      </c>
      <c r="J847" s="24" t="s">
        <v>60</v>
      </c>
      <c r="K847" s="24" t="s">
        <v>50</v>
      </c>
      <c r="L847" t="s">
        <v>3116</v>
      </c>
      <c r="M847" s="17">
        <v>5</v>
      </c>
      <c r="N847" t="s">
        <v>37</v>
      </c>
      <c r="O847" s="24" t="s">
        <v>76</v>
      </c>
      <c r="P847" s="19">
        <v>322.08</v>
      </c>
      <c r="Q847" s="26" t="str">
        <f>IF(OR(P847&lt;'Descriptive Statistics'!$H$17,P847&gt;'Descriptive Statistics'!$H$18),"Potential Outlier","Within Range")</f>
        <v>Within Range</v>
      </c>
      <c r="R847" s="26" t="str">
        <f>IF(OR(G847&lt;'Descriptive Statistics'!$I$17,G847&gt;'Descriptive Statistics'!$I$18),"Potential Outlier","Within Range")</f>
        <v>Within Range</v>
      </c>
      <c r="S847" s="26" t="str">
        <f>IF(OR(H847&lt;'Descriptive Statistics'!$J$17,H847&gt;'Descriptive Statistics'!$J$18),"Potential Outlier","Within Range")</f>
        <v>Within Range</v>
      </c>
    </row>
    <row r="848" hidden="1" spans="1:19">
      <c r="A848" t="s">
        <v>3117</v>
      </c>
      <c r="B848" s="23">
        <v>45477</v>
      </c>
      <c r="C848" s="23" t="str">
        <f t="shared" si="26"/>
        <v>Jul</v>
      </c>
      <c r="D848" s="23" t="str">
        <f t="shared" si="27"/>
        <v>2024</v>
      </c>
      <c r="E848" t="s">
        <v>3118</v>
      </c>
      <c r="F848" s="24" t="s">
        <v>73</v>
      </c>
      <c r="G848" s="17">
        <v>2</v>
      </c>
      <c r="H848" s="19">
        <v>359.86</v>
      </c>
      <c r="I848" t="s">
        <v>3119</v>
      </c>
      <c r="J848" s="24" t="s">
        <v>18</v>
      </c>
      <c r="K848" s="24" t="s">
        <v>35</v>
      </c>
      <c r="L848" t="s">
        <v>3120</v>
      </c>
      <c r="M848" s="17">
        <v>4</v>
      </c>
      <c r="N848" t="s">
        <v>4295</v>
      </c>
      <c r="O848" s="24" t="s">
        <v>29</v>
      </c>
      <c r="P848" s="19">
        <v>719.72</v>
      </c>
      <c r="Q848" s="26" t="str">
        <f>IF(OR(P848&lt;'Descriptive Statistics'!$H$17,P848&gt;'Descriptive Statistics'!$H$18),"Potential Outlier","Within Range")</f>
        <v>Within Range</v>
      </c>
      <c r="R848" s="26" t="str">
        <f>IF(OR(G848&lt;'Descriptive Statistics'!$I$17,G848&gt;'Descriptive Statistics'!$I$18),"Potential Outlier","Within Range")</f>
        <v>Within Range</v>
      </c>
      <c r="S848" s="26" t="str">
        <f>IF(OR(H848&lt;'Descriptive Statistics'!$J$17,H848&gt;'Descriptive Statistics'!$J$18),"Potential Outlier","Within Range")</f>
        <v>Within Range</v>
      </c>
    </row>
    <row r="849" hidden="1" spans="1:19">
      <c r="A849" t="s">
        <v>3121</v>
      </c>
      <c r="B849" s="23">
        <v>45614</v>
      </c>
      <c r="C849" s="23" t="str">
        <f t="shared" si="26"/>
        <v>Nov</v>
      </c>
      <c r="D849" s="23" t="str">
        <f t="shared" si="27"/>
        <v>2024</v>
      </c>
      <c r="E849" t="s">
        <v>3122</v>
      </c>
      <c r="F849" s="24" t="s">
        <v>48</v>
      </c>
      <c r="G849" s="17">
        <v>4</v>
      </c>
      <c r="H849" s="19">
        <v>434.23</v>
      </c>
      <c r="I849" t="s">
        <v>1161</v>
      </c>
      <c r="J849" s="24" t="s">
        <v>27</v>
      </c>
      <c r="K849" s="24" t="s">
        <v>19</v>
      </c>
      <c r="L849" t="s">
        <v>3123</v>
      </c>
      <c r="M849" s="17">
        <v>8</v>
      </c>
      <c r="N849" t="s">
        <v>37</v>
      </c>
      <c r="O849" s="24" t="s">
        <v>38</v>
      </c>
      <c r="P849" s="19">
        <v>1736.92</v>
      </c>
      <c r="Q849" s="26" t="str">
        <f>IF(OR(P849&lt;'Descriptive Statistics'!$H$17,P849&gt;'Descriptive Statistics'!$H$18),"Potential Outlier","Within Range")</f>
        <v>Within Range</v>
      </c>
      <c r="R849" s="26" t="str">
        <f>IF(OR(G849&lt;'Descriptive Statistics'!$I$17,G849&gt;'Descriptive Statistics'!$I$18),"Potential Outlier","Within Range")</f>
        <v>Within Range</v>
      </c>
      <c r="S849" s="26" t="str">
        <f>IF(OR(H849&lt;'Descriptive Statistics'!$J$17,H849&gt;'Descriptive Statistics'!$J$18),"Potential Outlier","Within Range")</f>
        <v>Within Range</v>
      </c>
    </row>
    <row r="850" hidden="1" spans="1:19">
      <c r="A850" t="s">
        <v>3124</v>
      </c>
      <c r="B850" s="23">
        <v>44927</v>
      </c>
      <c r="C850" s="23" t="str">
        <f t="shared" si="26"/>
        <v>Jan</v>
      </c>
      <c r="D850" s="23" t="str">
        <f t="shared" si="27"/>
        <v>2023</v>
      </c>
      <c r="E850" t="s">
        <v>3125</v>
      </c>
      <c r="F850" s="24" t="s">
        <v>41</v>
      </c>
      <c r="G850" s="17">
        <v>2</v>
      </c>
      <c r="H850" s="19">
        <v>645.85</v>
      </c>
      <c r="I850" t="s">
        <v>277</v>
      </c>
      <c r="J850" s="24" t="s">
        <v>27</v>
      </c>
      <c r="K850" s="24" t="s">
        <v>19</v>
      </c>
      <c r="L850" t="s">
        <v>3126</v>
      </c>
      <c r="M850" s="17">
        <v>5</v>
      </c>
      <c r="N850" t="s">
        <v>4295</v>
      </c>
      <c r="O850" s="24" t="s">
        <v>29</v>
      </c>
      <c r="P850" s="19">
        <v>1291.7</v>
      </c>
      <c r="Q850" s="26" t="str">
        <f>IF(OR(P850&lt;'Descriptive Statistics'!$H$17,P850&gt;'Descriptive Statistics'!$H$18),"Potential Outlier","Within Range")</f>
        <v>Within Range</v>
      </c>
      <c r="R850" s="26" t="str">
        <f>IF(OR(G850&lt;'Descriptive Statistics'!$I$17,G850&gt;'Descriptive Statistics'!$I$18),"Potential Outlier","Within Range")</f>
        <v>Within Range</v>
      </c>
      <c r="S850" s="26" t="str">
        <f>IF(OR(H850&lt;'Descriptive Statistics'!$J$17,H850&gt;'Descriptive Statistics'!$J$18),"Potential Outlier","Within Range")</f>
        <v>Within Range</v>
      </c>
    </row>
    <row r="851" hidden="1" spans="1:19">
      <c r="A851" t="s">
        <v>3127</v>
      </c>
      <c r="B851" s="23">
        <v>45817</v>
      </c>
      <c r="C851" s="23" t="str">
        <f t="shared" si="26"/>
        <v>Jun</v>
      </c>
      <c r="D851" s="23" t="str">
        <f t="shared" si="27"/>
        <v>2025</v>
      </c>
      <c r="E851" t="s">
        <v>3128</v>
      </c>
      <c r="F851" s="24" t="s">
        <v>48</v>
      </c>
      <c r="G851" s="17">
        <v>4</v>
      </c>
      <c r="H851" s="19">
        <v>214.35</v>
      </c>
      <c r="I851" t="s">
        <v>3042</v>
      </c>
      <c r="J851" s="24" t="s">
        <v>18</v>
      </c>
      <c r="K851" s="24" t="s">
        <v>35</v>
      </c>
      <c r="L851" t="s">
        <v>3129</v>
      </c>
      <c r="M851" s="17">
        <v>7</v>
      </c>
      <c r="N851" t="s">
        <v>81</v>
      </c>
      <c r="O851" s="24" t="s">
        <v>29</v>
      </c>
      <c r="P851" s="19">
        <v>857.4</v>
      </c>
      <c r="Q851" s="26" t="str">
        <f>IF(OR(P851&lt;'Descriptive Statistics'!$H$17,P851&gt;'Descriptive Statistics'!$H$18),"Potential Outlier","Within Range")</f>
        <v>Within Range</v>
      </c>
      <c r="R851" s="26" t="str">
        <f>IF(OR(G851&lt;'Descriptive Statistics'!$I$17,G851&gt;'Descriptive Statistics'!$I$18),"Potential Outlier","Within Range")</f>
        <v>Within Range</v>
      </c>
      <c r="S851" s="26" t="str">
        <f>IF(OR(H851&lt;'Descriptive Statistics'!$J$17,H851&gt;'Descriptive Statistics'!$J$18),"Potential Outlier","Within Range")</f>
        <v>Within Range</v>
      </c>
    </row>
    <row r="852" hidden="1" spans="1:19">
      <c r="A852" t="s">
        <v>3130</v>
      </c>
      <c r="B852" s="23">
        <v>45774</v>
      </c>
      <c r="C852" s="23" t="str">
        <f t="shared" si="26"/>
        <v>Apr</v>
      </c>
      <c r="D852" s="23" t="str">
        <f t="shared" si="27"/>
        <v>2025</v>
      </c>
      <c r="E852" t="s">
        <v>3131</v>
      </c>
      <c r="F852" s="24" t="s">
        <v>16</v>
      </c>
      <c r="G852" s="17">
        <v>3</v>
      </c>
      <c r="H852" s="19">
        <v>638.5</v>
      </c>
      <c r="I852" t="s">
        <v>2684</v>
      </c>
      <c r="J852" s="24" t="s">
        <v>18</v>
      </c>
      <c r="K852" s="24" t="s">
        <v>35</v>
      </c>
      <c r="L852" t="s">
        <v>3132</v>
      </c>
      <c r="M852" s="17">
        <v>4</v>
      </c>
      <c r="N852" t="s">
        <v>37</v>
      </c>
      <c r="O852" s="24" t="s">
        <v>22</v>
      </c>
      <c r="P852" s="19">
        <v>1915.5</v>
      </c>
      <c r="Q852" s="26" t="str">
        <f>IF(OR(P852&lt;'Descriptive Statistics'!$H$17,P852&gt;'Descriptive Statistics'!$H$18),"Potential Outlier","Within Range")</f>
        <v>Within Range</v>
      </c>
      <c r="R852" s="26" t="str">
        <f>IF(OR(G852&lt;'Descriptive Statistics'!$I$17,G852&gt;'Descriptive Statistics'!$I$18),"Potential Outlier","Within Range")</f>
        <v>Within Range</v>
      </c>
      <c r="S852" s="26" t="str">
        <f>IF(OR(H852&lt;'Descriptive Statistics'!$J$17,H852&gt;'Descriptive Statistics'!$J$18),"Potential Outlier","Within Range")</f>
        <v>Within Range</v>
      </c>
    </row>
    <row r="853" hidden="1" spans="1:19">
      <c r="A853" t="s">
        <v>3133</v>
      </c>
      <c r="B853" s="23">
        <v>45272</v>
      </c>
      <c r="C853" s="23" t="str">
        <f t="shared" si="26"/>
        <v>Dec</v>
      </c>
      <c r="D853" s="23" t="str">
        <f t="shared" si="27"/>
        <v>2023</v>
      </c>
      <c r="E853" t="s">
        <v>3134</v>
      </c>
      <c r="F853" s="24" t="s">
        <v>58</v>
      </c>
      <c r="G853" s="17">
        <v>1</v>
      </c>
      <c r="H853" s="19">
        <v>365.57</v>
      </c>
      <c r="I853" t="s">
        <v>347</v>
      </c>
      <c r="J853" s="24" t="s">
        <v>27</v>
      </c>
      <c r="K853" s="24" t="s">
        <v>35</v>
      </c>
      <c r="L853" t="s">
        <v>3135</v>
      </c>
      <c r="M853" s="17">
        <v>5</v>
      </c>
      <c r="N853" t="s">
        <v>21</v>
      </c>
      <c r="O853" s="24" t="s">
        <v>38</v>
      </c>
      <c r="P853" s="19">
        <v>365.57</v>
      </c>
      <c r="Q853" s="26" t="str">
        <f>IF(OR(P853&lt;'Descriptive Statistics'!$H$17,P853&gt;'Descriptive Statistics'!$H$18),"Potential Outlier","Within Range")</f>
        <v>Within Range</v>
      </c>
      <c r="R853" s="26" t="str">
        <f>IF(OR(G853&lt;'Descriptive Statistics'!$I$17,G853&gt;'Descriptive Statistics'!$I$18),"Potential Outlier","Within Range")</f>
        <v>Within Range</v>
      </c>
      <c r="S853" s="26" t="str">
        <f>IF(OR(H853&lt;'Descriptive Statistics'!$J$17,H853&gt;'Descriptive Statistics'!$J$18),"Potential Outlier","Within Range")</f>
        <v>Within Range</v>
      </c>
    </row>
    <row r="854" hidden="1" spans="1:19">
      <c r="A854" t="s">
        <v>3136</v>
      </c>
      <c r="B854" s="23">
        <v>45589</v>
      </c>
      <c r="C854" s="23" t="str">
        <f t="shared" si="26"/>
        <v>Oct</v>
      </c>
      <c r="D854" s="23" t="str">
        <f t="shared" si="27"/>
        <v>2024</v>
      </c>
      <c r="E854" t="s">
        <v>3137</v>
      </c>
      <c r="F854" s="24" t="s">
        <v>73</v>
      </c>
      <c r="G854" s="17">
        <v>3</v>
      </c>
      <c r="H854" s="19">
        <v>568.05</v>
      </c>
      <c r="I854" t="s">
        <v>3138</v>
      </c>
      <c r="J854" s="24" t="s">
        <v>60</v>
      </c>
      <c r="K854" s="24" t="s">
        <v>89</v>
      </c>
      <c r="L854" t="s">
        <v>3139</v>
      </c>
      <c r="M854" s="17">
        <v>6</v>
      </c>
      <c r="N854" t="s">
        <v>21</v>
      </c>
      <c r="O854" s="24" t="s">
        <v>76</v>
      </c>
      <c r="P854" s="19">
        <v>1704.15</v>
      </c>
      <c r="Q854" s="26" t="str">
        <f>IF(OR(P854&lt;'Descriptive Statistics'!$H$17,P854&gt;'Descriptive Statistics'!$H$18),"Potential Outlier","Within Range")</f>
        <v>Within Range</v>
      </c>
      <c r="R854" s="26" t="str">
        <f>IF(OR(G854&lt;'Descriptive Statistics'!$I$17,G854&gt;'Descriptive Statistics'!$I$18),"Potential Outlier","Within Range")</f>
        <v>Within Range</v>
      </c>
      <c r="S854" s="26" t="str">
        <f>IF(OR(H854&lt;'Descriptive Statistics'!$J$17,H854&gt;'Descriptive Statistics'!$J$18),"Potential Outlier","Within Range")</f>
        <v>Within Range</v>
      </c>
    </row>
    <row r="855" hidden="1" spans="1:19">
      <c r="A855" t="s">
        <v>3140</v>
      </c>
      <c r="B855" s="23">
        <v>45215</v>
      </c>
      <c r="C855" s="23" t="str">
        <f t="shared" si="26"/>
        <v>Oct</v>
      </c>
      <c r="D855" s="23" t="str">
        <f t="shared" si="27"/>
        <v>2023</v>
      </c>
      <c r="E855" t="s">
        <v>3141</v>
      </c>
      <c r="F855" s="24" t="s">
        <v>48</v>
      </c>
      <c r="G855" s="17">
        <v>3</v>
      </c>
      <c r="H855" s="19">
        <v>490.01</v>
      </c>
      <c r="I855" t="s">
        <v>1194</v>
      </c>
      <c r="J855" s="24" t="s">
        <v>65</v>
      </c>
      <c r="K855" s="24" t="s">
        <v>43</v>
      </c>
      <c r="L855" t="s">
        <v>3142</v>
      </c>
      <c r="M855" s="17">
        <v>4</v>
      </c>
      <c r="N855" t="s">
        <v>21</v>
      </c>
      <c r="O855" s="24" t="s">
        <v>45</v>
      </c>
      <c r="P855" s="19">
        <v>1470.03</v>
      </c>
      <c r="Q855" s="26" t="str">
        <f>IF(OR(P855&lt;'Descriptive Statistics'!$H$17,P855&gt;'Descriptive Statistics'!$H$18),"Potential Outlier","Within Range")</f>
        <v>Within Range</v>
      </c>
      <c r="R855" s="26" t="str">
        <f>IF(OR(G855&lt;'Descriptive Statistics'!$I$17,G855&gt;'Descriptive Statistics'!$I$18),"Potential Outlier","Within Range")</f>
        <v>Within Range</v>
      </c>
      <c r="S855" s="26" t="str">
        <f>IF(OR(H855&lt;'Descriptive Statistics'!$J$17,H855&gt;'Descriptive Statistics'!$J$18),"Potential Outlier","Within Range")</f>
        <v>Within Range</v>
      </c>
    </row>
    <row r="856" hidden="1" spans="1:19">
      <c r="A856" t="s">
        <v>3143</v>
      </c>
      <c r="B856" s="23">
        <v>45821</v>
      </c>
      <c r="C856" s="23" t="str">
        <f t="shared" si="26"/>
        <v>Jun</v>
      </c>
      <c r="D856" s="23" t="str">
        <f t="shared" si="27"/>
        <v>2025</v>
      </c>
      <c r="E856" t="s">
        <v>3144</v>
      </c>
      <c r="F856" s="24" t="s">
        <v>58</v>
      </c>
      <c r="G856" s="17">
        <v>3</v>
      </c>
      <c r="H856" s="19">
        <v>372.6</v>
      </c>
      <c r="I856" t="s">
        <v>1731</v>
      </c>
      <c r="J856" s="24" t="s">
        <v>34</v>
      </c>
      <c r="K856" s="24" t="s">
        <v>50</v>
      </c>
      <c r="L856" t="s">
        <v>3145</v>
      </c>
      <c r="M856" s="17">
        <v>7</v>
      </c>
      <c r="N856" t="s">
        <v>81</v>
      </c>
      <c r="O856" s="24" t="s">
        <v>29</v>
      </c>
      <c r="P856" s="19">
        <v>1117.8</v>
      </c>
      <c r="Q856" s="26" t="str">
        <f>IF(OR(P856&lt;'Descriptive Statistics'!$H$17,P856&gt;'Descriptive Statistics'!$H$18),"Potential Outlier","Within Range")</f>
        <v>Within Range</v>
      </c>
      <c r="R856" s="26" t="str">
        <f>IF(OR(G856&lt;'Descriptive Statistics'!$I$17,G856&gt;'Descriptive Statistics'!$I$18),"Potential Outlier","Within Range")</f>
        <v>Within Range</v>
      </c>
      <c r="S856" s="26" t="str">
        <f>IF(OR(H856&lt;'Descriptive Statistics'!$J$17,H856&gt;'Descriptive Statistics'!$J$18),"Potential Outlier","Within Range")</f>
        <v>Within Range</v>
      </c>
    </row>
    <row r="857" hidden="1" spans="1:19">
      <c r="A857" t="s">
        <v>3146</v>
      </c>
      <c r="B857" s="23">
        <v>45071</v>
      </c>
      <c r="C857" s="23" t="str">
        <f t="shared" si="26"/>
        <v>May</v>
      </c>
      <c r="D857" s="23" t="str">
        <f t="shared" si="27"/>
        <v>2023</v>
      </c>
      <c r="E857" t="s">
        <v>3147</v>
      </c>
      <c r="F857" s="24" t="s">
        <v>16</v>
      </c>
      <c r="G857" s="17">
        <v>5</v>
      </c>
      <c r="H857" s="19">
        <v>240.61</v>
      </c>
      <c r="I857" t="s">
        <v>996</v>
      </c>
      <c r="J857" s="24" t="s">
        <v>34</v>
      </c>
      <c r="K857" s="24" t="s">
        <v>19</v>
      </c>
      <c r="L857" t="s">
        <v>3148</v>
      </c>
      <c r="M857" s="17">
        <v>10</v>
      </c>
      <c r="N857" t="s">
        <v>37</v>
      </c>
      <c r="O857" s="24" t="s">
        <v>38</v>
      </c>
      <c r="P857" s="19">
        <v>1203.05</v>
      </c>
      <c r="Q857" s="26" t="str">
        <f>IF(OR(P857&lt;'Descriptive Statistics'!$H$17,P857&gt;'Descriptive Statistics'!$H$18),"Potential Outlier","Within Range")</f>
        <v>Within Range</v>
      </c>
      <c r="R857" s="26" t="str">
        <f>IF(OR(G857&lt;'Descriptive Statistics'!$I$17,G857&gt;'Descriptive Statistics'!$I$18),"Potential Outlier","Within Range")</f>
        <v>Within Range</v>
      </c>
      <c r="S857" s="26" t="str">
        <f>IF(OR(H857&lt;'Descriptive Statistics'!$J$17,H857&gt;'Descriptive Statistics'!$J$18),"Potential Outlier","Within Range")</f>
        <v>Within Range</v>
      </c>
    </row>
    <row r="858" hidden="1" spans="1:19">
      <c r="A858" t="s">
        <v>3149</v>
      </c>
      <c r="B858" s="23">
        <v>45446</v>
      </c>
      <c r="C858" s="23" t="str">
        <f t="shared" si="26"/>
        <v>Jun</v>
      </c>
      <c r="D858" s="23" t="str">
        <f t="shared" si="27"/>
        <v>2024</v>
      </c>
      <c r="E858" t="s">
        <v>3150</v>
      </c>
      <c r="F858" s="24" t="s">
        <v>25</v>
      </c>
      <c r="G858" s="17">
        <v>1</v>
      </c>
      <c r="H858" s="19">
        <v>586.62</v>
      </c>
      <c r="I858" t="s">
        <v>212</v>
      </c>
      <c r="J858" s="24" t="s">
        <v>18</v>
      </c>
      <c r="K858" s="24" t="s">
        <v>19</v>
      </c>
      <c r="L858" t="s">
        <v>3151</v>
      </c>
      <c r="M858" s="17">
        <v>5</v>
      </c>
      <c r="N858" t="s">
        <v>4295</v>
      </c>
      <c r="O858" s="24" t="s">
        <v>45</v>
      </c>
      <c r="P858" s="19">
        <v>586.62</v>
      </c>
      <c r="Q858" s="26" t="str">
        <f>IF(OR(P858&lt;'Descriptive Statistics'!$H$17,P858&gt;'Descriptive Statistics'!$H$18),"Potential Outlier","Within Range")</f>
        <v>Within Range</v>
      </c>
      <c r="R858" s="26" t="str">
        <f>IF(OR(G858&lt;'Descriptive Statistics'!$I$17,G858&gt;'Descriptive Statistics'!$I$18),"Potential Outlier","Within Range")</f>
        <v>Within Range</v>
      </c>
      <c r="S858" s="26" t="str">
        <f>IF(OR(H858&lt;'Descriptive Statistics'!$J$17,H858&gt;'Descriptive Statistics'!$J$18),"Potential Outlier","Within Range")</f>
        <v>Within Range</v>
      </c>
    </row>
    <row r="859" hidden="1" spans="1:19">
      <c r="A859" t="s">
        <v>3152</v>
      </c>
      <c r="B859" s="23">
        <v>45361</v>
      </c>
      <c r="C859" s="23" t="str">
        <f t="shared" si="26"/>
        <v>Mar</v>
      </c>
      <c r="D859" s="23" t="str">
        <f t="shared" si="27"/>
        <v>2024</v>
      </c>
      <c r="E859" t="s">
        <v>3153</v>
      </c>
      <c r="F859" s="24" t="s">
        <v>25</v>
      </c>
      <c r="G859" s="17">
        <v>3</v>
      </c>
      <c r="H859" s="19">
        <v>257.84</v>
      </c>
      <c r="I859" t="s">
        <v>858</v>
      </c>
      <c r="J859" s="24" t="s">
        <v>27</v>
      </c>
      <c r="K859" s="24" t="s">
        <v>50</v>
      </c>
      <c r="L859" t="s">
        <v>3154</v>
      </c>
      <c r="M859" s="17">
        <v>4</v>
      </c>
      <c r="N859" t="s">
        <v>4295</v>
      </c>
      <c r="O859" s="24" t="s">
        <v>22</v>
      </c>
      <c r="P859" s="19">
        <v>773.52</v>
      </c>
      <c r="Q859" s="26" t="str">
        <f>IF(OR(P859&lt;'Descriptive Statistics'!$H$17,P859&gt;'Descriptive Statistics'!$H$18),"Potential Outlier","Within Range")</f>
        <v>Within Range</v>
      </c>
      <c r="R859" s="26" t="str">
        <f>IF(OR(G859&lt;'Descriptive Statistics'!$I$17,G859&gt;'Descriptive Statistics'!$I$18),"Potential Outlier","Within Range")</f>
        <v>Within Range</v>
      </c>
      <c r="S859" s="26" t="str">
        <f>IF(OR(H859&lt;'Descriptive Statistics'!$J$17,H859&gt;'Descriptive Statistics'!$J$18),"Potential Outlier","Within Range")</f>
        <v>Within Range</v>
      </c>
    </row>
    <row r="860" hidden="1" spans="1:19">
      <c r="A860" t="s">
        <v>3155</v>
      </c>
      <c r="B860" s="23">
        <v>45158</v>
      </c>
      <c r="C860" s="23" t="str">
        <f t="shared" si="26"/>
        <v>Aug</v>
      </c>
      <c r="D860" s="23" t="str">
        <f t="shared" si="27"/>
        <v>2023</v>
      </c>
      <c r="E860" t="s">
        <v>3156</v>
      </c>
      <c r="F860" s="24" t="s">
        <v>32</v>
      </c>
      <c r="G860" s="17">
        <v>5</v>
      </c>
      <c r="H860" s="19">
        <v>435.66</v>
      </c>
      <c r="I860" t="s">
        <v>113</v>
      </c>
      <c r="J860" s="24" t="s">
        <v>27</v>
      </c>
      <c r="K860" s="24" t="s">
        <v>89</v>
      </c>
      <c r="L860" t="s">
        <v>3157</v>
      </c>
      <c r="M860" s="17">
        <v>9</v>
      </c>
      <c r="N860" t="s">
        <v>4295</v>
      </c>
      <c r="O860" s="24" t="s">
        <v>45</v>
      </c>
      <c r="P860" s="19">
        <v>2178.3</v>
      </c>
      <c r="Q860" s="26" t="str">
        <f>IF(OR(P860&lt;'Descriptive Statistics'!$H$17,P860&gt;'Descriptive Statistics'!$H$18),"Potential Outlier","Within Range")</f>
        <v>Within Range</v>
      </c>
      <c r="R860" s="26" t="str">
        <f>IF(OR(G860&lt;'Descriptive Statistics'!$I$17,G860&gt;'Descriptive Statistics'!$I$18),"Potential Outlier","Within Range")</f>
        <v>Within Range</v>
      </c>
      <c r="S860" s="26" t="str">
        <f>IF(OR(H860&lt;'Descriptive Statistics'!$J$17,H860&gt;'Descriptive Statistics'!$J$18),"Potential Outlier","Within Range")</f>
        <v>Within Range</v>
      </c>
    </row>
    <row r="861" hidden="1" spans="1:19">
      <c r="A861" t="s">
        <v>3158</v>
      </c>
      <c r="B861" s="23">
        <v>45532</v>
      </c>
      <c r="C861" s="23" t="str">
        <f t="shared" si="26"/>
        <v>Aug</v>
      </c>
      <c r="D861" s="23" t="str">
        <f t="shared" si="27"/>
        <v>2024</v>
      </c>
      <c r="E861" t="s">
        <v>3159</v>
      </c>
      <c r="F861" s="24" t="s">
        <v>41</v>
      </c>
      <c r="G861" s="17">
        <v>5</v>
      </c>
      <c r="H861" s="19">
        <v>261.33</v>
      </c>
      <c r="I861" t="s">
        <v>2311</v>
      </c>
      <c r="J861" s="24" t="s">
        <v>34</v>
      </c>
      <c r="K861" s="24" t="s">
        <v>43</v>
      </c>
      <c r="L861" t="s">
        <v>3160</v>
      </c>
      <c r="M861" s="17">
        <v>5</v>
      </c>
      <c r="N861" t="s">
        <v>21</v>
      </c>
      <c r="O861" s="24" t="s">
        <v>29</v>
      </c>
      <c r="P861" s="19">
        <v>1306.65</v>
      </c>
      <c r="Q861" s="26" t="str">
        <f>IF(OR(P861&lt;'Descriptive Statistics'!$H$17,P861&gt;'Descriptive Statistics'!$H$18),"Potential Outlier","Within Range")</f>
        <v>Within Range</v>
      </c>
      <c r="R861" s="26" t="str">
        <f>IF(OR(G861&lt;'Descriptive Statistics'!$I$17,G861&gt;'Descriptive Statistics'!$I$18),"Potential Outlier","Within Range")</f>
        <v>Within Range</v>
      </c>
      <c r="S861" s="26" t="str">
        <f>IF(OR(H861&lt;'Descriptive Statistics'!$J$17,H861&gt;'Descriptive Statistics'!$J$18),"Potential Outlier","Within Range")</f>
        <v>Within Range</v>
      </c>
    </row>
    <row r="862" hidden="1" spans="1:19">
      <c r="A862" t="s">
        <v>3161</v>
      </c>
      <c r="B862" s="23">
        <v>45314</v>
      </c>
      <c r="C862" s="23" t="str">
        <f t="shared" si="26"/>
        <v>Jan</v>
      </c>
      <c r="D862" s="23" t="str">
        <f t="shared" si="27"/>
        <v>2024</v>
      </c>
      <c r="E862" t="s">
        <v>3162</v>
      </c>
      <c r="F862" s="24" t="s">
        <v>48</v>
      </c>
      <c r="G862" s="17">
        <v>1</v>
      </c>
      <c r="H862" s="19">
        <v>422.54</v>
      </c>
      <c r="I862" t="s">
        <v>1368</v>
      </c>
      <c r="J862" s="24" t="s">
        <v>65</v>
      </c>
      <c r="K862" s="24" t="s">
        <v>50</v>
      </c>
      <c r="L862" t="s">
        <v>3163</v>
      </c>
      <c r="M862" s="17">
        <v>1</v>
      </c>
      <c r="N862" t="s">
        <v>21</v>
      </c>
      <c r="O862" s="24" t="s">
        <v>76</v>
      </c>
      <c r="P862" s="19">
        <v>422.54</v>
      </c>
      <c r="Q862" s="26" t="str">
        <f>IF(OR(P862&lt;'Descriptive Statistics'!$H$17,P862&gt;'Descriptive Statistics'!$H$18),"Potential Outlier","Within Range")</f>
        <v>Within Range</v>
      </c>
      <c r="R862" s="26" t="str">
        <f>IF(OR(G862&lt;'Descriptive Statistics'!$I$17,G862&gt;'Descriptive Statistics'!$I$18),"Potential Outlier","Within Range")</f>
        <v>Within Range</v>
      </c>
      <c r="S862" s="26" t="str">
        <f>IF(OR(H862&lt;'Descriptive Statistics'!$J$17,H862&gt;'Descriptive Statistics'!$J$18),"Potential Outlier","Within Range")</f>
        <v>Within Range</v>
      </c>
    </row>
    <row r="863" hidden="1" spans="1:19">
      <c r="A863" t="s">
        <v>3164</v>
      </c>
      <c r="B863" s="23">
        <v>45004</v>
      </c>
      <c r="C863" s="23" t="str">
        <f t="shared" si="26"/>
        <v>Mar</v>
      </c>
      <c r="D863" s="23" t="str">
        <f t="shared" si="27"/>
        <v>2023</v>
      </c>
      <c r="E863" t="s">
        <v>3165</v>
      </c>
      <c r="F863" s="24" t="s">
        <v>73</v>
      </c>
      <c r="G863" s="17">
        <v>5</v>
      </c>
      <c r="H863" s="19">
        <v>330.45</v>
      </c>
      <c r="I863" t="s">
        <v>3166</v>
      </c>
      <c r="J863" s="24" t="s">
        <v>60</v>
      </c>
      <c r="K863" s="24" t="s">
        <v>19</v>
      </c>
      <c r="L863" t="s">
        <v>3167</v>
      </c>
      <c r="M863" s="17">
        <v>10</v>
      </c>
      <c r="N863" t="s">
        <v>37</v>
      </c>
      <c r="O863" s="24" t="s">
        <v>76</v>
      </c>
      <c r="P863" s="19">
        <v>1652.25</v>
      </c>
      <c r="Q863" s="26" t="str">
        <f>IF(OR(P863&lt;'Descriptive Statistics'!$H$17,P863&gt;'Descriptive Statistics'!$H$18),"Potential Outlier","Within Range")</f>
        <v>Within Range</v>
      </c>
      <c r="R863" s="26" t="str">
        <f>IF(OR(G863&lt;'Descriptive Statistics'!$I$17,G863&gt;'Descriptive Statistics'!$I$18),"Potential Outlier","Within Range")</f>
        <v>Within Range</v>
      </c>
      <c r="S863" s="26" t="str">
        <f>IF(OR(H863&lt;'Descriptive Statistics'!$J$17,H863&gt;'Descriptive Statistics'!$J$18),"Potential Outlier","Within Range")</f>
        <v>Within Range</v>
      </c>
    </row>
    <row r="864" hidden="1" spans="1:19">
      <c r="A864" t="s">
        <v>3168</v>
      </c>
      <c r="B864" s="23">
        <v>45262</v>
      </c>
      <c r="C864" s="23" t="str">
        <f t="shared" si="26"/>
        <v>Dec</v>
      </c>
      <c r="D864" s="23" t="str">
        <f t="shared" si="27"/>
        <v>2023</v>
      </c>
      <c r="E864" t="s">
        <v>3169</v>
      </c>
      <c r="F864" s="24" t="s">
        <v>73</v>
      </c>
      <c r="G864" s="17">
        <v>3</v>
      </c>
      <c r="H864" s="19">
        <v>120.82</v>
      </c>
      <c r="I864" t="s">
        <v>2620</v>
      </c>
      <c r="J864" s="24" t="s">
        <v>34</v>
      </c>
      <c r="K864" s="24" t="s">
        <v>19</v>
      </c>
      <c r="L864" t="s">
        <v>3170</v>
      </c>
      <c r="M864" s="17">
        <v>5</v>
      </c>
      <c r="N864" t="s">
        <v>21</v>
      </c>
      <c r="O864" s="24" t="s">
        <v>29</v>
      </c>
      <c r="P864" s="19">
        <v>362.46</v>
      </c>
      <c r="Q864" s="26" t="str">
        <f>IF(OR(P864&lt;'Descriptive Statistics'!$H$17,P864&gt;'Descriptive Statistics'!$H$18),"Potential Outlier","Within Range")</f>
        <v>Within Range</v>
      </c>
      <c r="R864" s="26" t="str">
        <f>IF(OR(G864&lt;'Descriptive Statistics'!$I$17,G864&gt;'Descriptive Statistics'!$I$18),"Potential Outlier","Within Range")</f>
        <v>Within Range</v>
      </c>
      <c r="S864" s="26" t="str">
        <f>IF(OR(H864&lt;'Descriptive Statistics'!$J$17,H864&gt;'Descriptive Statistics'!$J$18),"Potential Outlier","Within Range")</f>
        <v>Within Range</v>
      </c>
    </row>
    <row r="865" hidden="1" spans="1:19">
      <c r="A865" t="s">
        <v>3171</v>
      </c>
      <c r="B865" s="23">
        <v>45432</v>
      </c>
      <c r="C865" s="23" t="str">
        <f t="shared" si="26"/>
        <v>May</v>
      </c>
      <c r="D865" s="23" t="str">
        <f t="shared" si="27"/>
        <v>2024</v>
      </c>
      <c r="E865" t="s">
        <v>3172</v>
      </c>
      <c r="F865" s="24" t="s">
        <v>25</v>
      </c>
      <c r="G865" s="17">
        <v>1</v>
      </c>
      <c r="H865" s="19">
        <v>14.06</v>
      </c>
      <c r="I865" t="s">
        <v>1000</v>
      </c>
      <c r="J865" s="24" t="s">
        <v>34</v>
      </c>
      <c r="K865" s="24" t="s">
        <v>89</v>
      </c>
      <c r="L865" t="s">
        <v>3173</v>
      </c>
      <c r="M865" s="17">
        <v>5</v>
      </c>
      <c r="N865" t="s">
        <v>21</v>
      </c>
      <c r="O865" s="24" t="s">
        <v>29</v>
      </c>
      <c r="P865" s="19">
        <v>14.06</v>
      </c>
      <c r="Q865" s="26" t="str">
        <f>IF(OR(P865&lt;'Descriptive Statistics'!$H$17,P865&gt;'Descriptive Statistics'!$H$18),"Potential Outlier","Within Range")</f>
        <v>Within Range</v>
      </c>
      <c r="R865" s="26" t="str">
        <f>IF(OR(G865&lt;'Descriptive Statistics'!$I$17,G865&gt;'Descriptive Statistics'!$I$18),"Potential Outlier","Within Range")</f>
        <v>Within Range</v>
      </c>
      <c r="S865" s="26" t="str">
        <f>IF(OR(H865&lt;'Descriptive Statistics'!$J$17,H865&gt;'Descriptive Statistics'!$J$18),"Potential Outlier","Within Range")</f>
        <v>Within Range</v>
      </c>
    </row>
    <row r="866" hidden="1" spans="1:19">
      <c r="A866" t="s">
        <v>3174</v>
      </c>
      <c r="B866" s="23">
        <v>45049</v>
      </c>
      <c r="C866" s="23" t="str">
        <f t="shared" si="26"/>
        <v>May</v>
      </c>
      <c r="D866" s="23" t="str">
        <f t="shared" si="27"/>
        <v>2023</v>
      </c>
      <c r="E866" t="s">
        <v>3175</v>
      </c>
      <c r="F866" s="24" t="s">
        <v>73</v>
      </c>
      <c r="G866" s="17">
        <v>1</v>
      </c>
      <c r="H866" s="19">
        <v>491.11</v>
      </c>
      <c r="I866" t="s">
        <v>3176</v>
      </c>
      <c r="J866" s="24" t="s">
        <v>34</v>
      </c>
      <c r="K866" s="24" t="s">
        <v>50</v>
      </c>
      <c r="L866" t="s">
        <v>3177</v>
      </c>
      <c r="M866" s="17">
        <v>4</v>
      </c>
      <c r="N866" t="s">
        <v>21</v>
      </c>
      <c r="O866" s="24" t="s">
        <v>45</v>
      </c>
      <c r="P866" s="19">
        <v>491.11</v>
      </c>
      <c r="Q866" s="26" t="str">
        <f>IF(OR(P866&lt;'Descriptive Statistics'!$H$17,P866&gt;'Descriptive Statistics'!$H$18),"Potential Outlier","Within Range")</f>
        <v>Within Range</v>
      </c>
      <c r="R866" s="26" t="str">
        <f>IF(OR(G866&lt;'Descriptive Statistics'!$I$17,G866&gt;'Descriptive Statistics'!$I$18),"Potential Outlier","Within Range")</f>
        <v>Within Range</v>
      </c>
      <c r="S866" s="26" t="str">
        <f>IF(OR(H866&lt;'Descriptive Statistics'!$J$17,H866&gt;'Descriptive Statistics'!$J$18),"Potential Outlier","Within Range")</f>
        <v>Within Range</v>
      </c>
    </row>
    <row r="867" hidden="1" spans="1:19">
      <c r="A867" t="s">
        <v>3178</v>
      </c>
      <c r="B867" s="23">
        <v>45046</v>
      </c>
      <c r="C867" s="23" t="str">
        <f t="shared" si="26"/>
        <v>Apr</v>
      </c>
      <c r="D867" s="23" t="str">
        <f t="shared" si="27"/>
        <v>2023</v>
      </c>
      <c r="E867" t="s">
        <v>3179</v>
      </c>
      <c r="F867" s="24" t="s">
        <v>16</v>
      </c>
      <c r="G867" s="17">
        <v>4</v>
      </c>
      <c r="H867" s="19">
        <v>677.37</v>
      </c>
      <c r="I867" t="s">
        <v>3180</v>
      </c>
      <c r="J867" s="24" t="s">
        <v>65</v>
      </c>
      <c r="K867" s="24" t="s">
        <v>89</v>
      </c>
      <c r="L867" t="s">
        <v>3181</v>
      </c>
      <c r="M867" s="17">
        <v>8</v>
      </c>
      <c r="N867" t="s">
        <v>21</v>
      </c>
      <c r="O867" s="24" t="s">
        <v>76</v>
      </c>
      <c r="P867" s="19">
        <v>2709.48</v>
      </c>
      <c r="Q867" s="26" t="str">
        <f>IF(OR(P867&lt;'Descriptive Statistics'!$H$17,P867&gt;'Descriptive Statistics'!$H$18),"Potential Outlier","Within Range")</f>
        <v>Within Range</v>
      </c>
      <c r="R867" s="26" t="str">
        <f>IF(OR(G867&lt;'Descriptive Statistics'!$I$17,G867&gt;'Descriptive Statistics'!$I$18),"Potential Outlier","Within Range")</f>
        <v>Within Range</v>
      </c>
      <c r="S867" s="26" t="str">
        <f>IF(OR(H867&lt;'Descriptive Statistics'!$J$17,H867&gt;'Descriptive Statistics'!$J$18),"Potential Outlier","Within Range")</f>
        <v>Within Range</v>
      </c>
    </row>
    <row r="868" hidden="1" spans="1:19">
      <c r="A868" t="s">
        <v>3182</v>
      </c>
      <c r="B868" s="23">
        <v>45499</v>
      </c>
      <c r="C868" s="23" t="str">
        <f t="shared" si="26"/>
        <v>Jul</v>
      </c>
      <c r="D868" s="23" t="str">
        <f t="shared" si="27"/>
        <v>2024</v>
      </c>
      <c r="E868" t="s">
        <v>3183</v>
      </c>
      <c r="F868" s="24" t="s">
        <v>73</v>
      </c>
      <c r="G868" s="17">
        <v>5</v>
      </c>
      <c r="H868" s="19">
        <v>189.25</v>
      </c>
      <c r="I868" t="s">
        <v>3184</v>
      </c>
      <c r="J868" s="24" t="s">
        <v>18</v>
      </c>
      <c r="K868" s="24" t="s">
        <v>35</v>
      </c>
      <c r="L868" t="s">
        <v>3185</v>
      </c>
      <c r="M868" s="17">
        <v>10</v>
      </c>
      <c r="N868" t="s">
        <v>81</v>
      </c>
      <c r="O868" s="24" t="s">
        <v>38</v>
      </c>
      <c r="P868" s="19">
        <v>946.25</v>
      </c>
      <c r="Q868" s="26" t="str">
        <f>IF(OR(P868&lt;'Descriptive Statistics'!$H$17,P868&gt;'Descriptive Statistics'!$H$18),"Potential Outlier","Within Range")</f>
        <v>Within Range</v>
      </c>
      <c r="R868" s="26" t="str">
        <f>IF(OR(G868&lt;'Descriptive Statistics'!$I$17,G868&gt;'Descriptive Statistics'!$I$18),"Potential Outlier","Within Range")</f>
        <v>Within Range</v>
      </c>
      <c r="S868" s="26" t="str">
        <f>IF(OR(H868&lt;'Descriptive Statistics'!$J$17,H868&gt;'Descriptive Statistics'!$J$18),"Potential Outlier","Within Range")</f>
        <v>Within Range</v>
      </c>
    </row>
    <row r="869" hidden="1" spans="1:19">
      <c r="A869" t="s">
        <v>3186</v>
      </c>
      <c r="B869" s="23">
        <v>45438</v>
      </c>
      <c r="C869" s="23" t="str">
        <f t="shared" si="26"/>
        <v>May</v>
      </c>
      <c r="D869" s="23" t="str">
        <f t="shared" si="27"/>
        <v>2024</v>
      </c>
      <c r="E869" t="s">
        <v>3187</v>
      </c>
      <c r="F869" s="24" t="s">
        <v>48</v>
      </c>
      <c r="G869" s="17">
        <v>4</v>
      </c>
      <c r="H869" s="19">
        <v>142.58</v>
      </c>
      <c r="I869" t="s">
        <v>3188</v>
      </c>
      <c r="J869" s="24" t="s">
        <v>65</v>
      </c>
      <c r="K869" s="24" t="s">
        <v>50</v>
      </c>
      <c r="L869" t="s">
        <v>3189</v>
      </c>
      <c r="M869" s="17">
        <v>4</v>
      </c>
      <c r="N869" t="s">
        <v>37</v>
      </c>
      <c r="O869" s="24" t="s">
        <v>45</v>
      </c>
      <c r="P869" s="19">
        <v>570.32</v>
      </c>
      <c r="Q869" s="26" t="str">
        <f>IF(OR(P869&lt;'Descriptive Statistics'!$H$17,P869&gt;'Descriptive Statistics'!$H$18),"Potential Outlier","Within Range")</f>
        <v>Within Range</v>
      </c>
      <c r="R869" s="26" t="str">
        <f>IF(OR(G869&lt;'Descriptive Statistics'!$I$17,G869&gt;'Descriptive Statistics'!$I$18),"Potential Outlier","Within Range")</f>
        <v>Within Range</v>
      </c>
      <c r="S869" s="26" t="str">
        <f>IF(OR(H869&lt;'Descriptive Statistics'!$J$17,H869&gt;'Descriptive Statistics'!$J$18),"Potential Outlier","Within Range")</f>
        <v>Within Range</v>
      </c>
    </row>
    <row r="870" hidden="1" spans="1:19">
      <c r="A870" t="s">
        <v>3190</v>
      </c>
      <c r="B870" s="23">
        <v>45472</v>
      </c>
      <c r="C870" s="23" t="str">
        <f t="shared" si="26"/>
        <v>Jun</v>
      </c>
      <c r="D870" s="23" t="str">
        <f t="shared" si="27"/>
        <v>2024</v>
      </c>
      <c r="E870" t="s">
        <v>3191</v>
      </c>
      <c r="F870" s="24" t="s">
        <v>16</v>
      </c>
      <c r="G870" s="17">
        <v>4</v>
      </c>
      <c r="H870" s="19">
        <v>316.32</v>
      </c>
      <c r="I870" t="s">
        <v>3192</v>
      </c>
      <c r="J870" s="24" t="s">
        <v>18</v>
      </c>
      <c r="K870" s="24" t="s">
        <v>50</v>
      </c>
      <c r="L870" t="s">
        <v>3193</v>
      </c>
      <c r="M870" s="17">
        <v>7</v>
      </c>
      <c r="N870" t="s">
        <v>4295</v>
      </c>
      <c r="O870" s="24" t="s">
        <v>45</v>
      </c>
      <c r="P870" s="19">
        <v>1265.28</v>
      </c>
      <c r="Q870" s="26" t="str">
        <f>IF(OR(P870&lt;'Descriptive Statistics'!$H$17,P870&gt;'Descriptive Statistics'!$H$18),"Potential Outlier","Within Range")</f>
        <v>Within Range</v>
      </c>
      <c r="R870" s="26" t="str">
        <f>IF(OR(G870&lt;'Descriptive Statistics'!$I$17,G870&gt;'Descriptive Statistics'!$I$18),"Potential Outlier","Within Range")</f>
        <v>Within Range</v>
      </c>
      <c r="S870" s="26" t="str">
        <f>IF(OR(H870&lt;'Descriptive Statistics'!$J$17,H870&gt;'Descriptive Statistics'!$J$18),"Potential Outlier","Within Range")</f>
        <v>Within Range</v>
      </c>
    </row>
    <row r="871" hidden="1" spans="1:19">
      <c r="A871" t="s">
        <v>3194</v>
      </c>
      <c r="B871" s="23">
        <v>45368</v>
      </c>
      <c r="C871" s="23" t="str">
        <f t="shared" si="26"/>
        <v>Mar</v>
      </c>
      <c r="D871" s="23" t="str">
        <f t="shared" si="27"/>
        <v>2024</v>
      </c>
      <c r="E871" t="s">
        <v>3195</v>
      </c>
      <c r="F871" s="24" t="s">
        <v>73</v>
      </c>
      <c r="G871" s="17">
        <v>2</v>
      </c>
      <c r="H871" s="19">
        <v>533.95</v>
      </c>
      <c r="I871" t="s">
        <v>719</v>
      </c>
      <c r="J871" s="24" t="s">
        <v>27</v>
      </c>
      <c r="K871" s="24" t="s">
        <v>50</v>
      </c>
      <c r="L871" t="s">
        <v>3196</v>
      </c>
      <c r="M871" s="17">
        <v>5</v>
      </c>
      <c r="N871" t="s">
        <v>81</v>
      </c>
      <c r="O871" s="24" t="s">
        <v>76</v>
      </c>
      <c r="P871" s="19">
        <v>1067.9</v>
      </c>
      <c r="Q871" s="26" t="str">
        <f>IF(OR(P871&lt;'Descriptive Statistics'!$H$17,P871&gt;'Descriptive Statistics'!$H$18),"Potential Outlier","Within Range")</f>
        <v>Within Range</v>
      </c>
      <c r="R871" s="26" t="str">
        <f>IF(OR(G871&lt;'Descriptive Statistics'!$I$17,G871&gt;'Descriptive Statistics'!$I$18),"Potential Outlier","Within Range")</f>
        <v>Within Range</v>
      </c>
      <c r="S871" s="26" t="str">
        <f>IF(OR(H871&lt;'Descriptive Statistics'!$J$17,H871&gt;'Descriptive Statistics'!$J$18),"Potential Outlier","Within Range")</f>
        <v>Within Range</v>
      </c>
    </row>
    <row r="872" hidden="1" spans="1:19">
      <c r="A872" t="s">
        <v>3197</v>
      </c>
      <c r="B872" s="23">
        <v>45809</v>
      </c>
      <c r="C872" s="23" t="str">
        <f t="shared" si="26"/>
        <v>Jun</v>
      </c>
      <c r="D872" s="23" t="str">
        <f t="shared" si="27"/>
        <v>2025</v>
      </c>
      <c r="E872" t="s">
        <v>3198</v>
      </c>
      <c r="F872" s="24" t="s">
        <v>25</v>
      </c>
      <c r="G872" s="17">
        <v>4</v>
      </c>
      <c r="H872" s="19">
        <v>470.09</v>
      </c>
      <c r="I872" t="s">
        <v>3199</v>
      </c>
      <c r="J872" s="24" t="s">
        <v>18</v>
      </c>
      <c r="K872" s="24" t="s">
        <v>50</v>
      </c>
      <c r="L872" t="s">
        <v>3200</v>
      </c>
      <c r="M872" s="17">
        <v>4</v>
      </c>
      <c r="N872" t="s">
        <v>37</v>
      </c>
      <c r="O872" s="24" t="s">
        <v>76</v>
      </c>
      <c r="P872" s="19">
        <v>1880.36</v>
      </c>
      <c r="Q872" s="26" t="str">
        <f>IF(OR(P872&lt;'Descriptive Statistics'!$H$17,P872&gt;'Descriptive Statistics'!$H$18),"Potential Outlier","Within Range")</f>
        <v>Within Range</v>
      </c>
      <c r="R872" s="26" t="str">
        <f>IF(OR(G872&lt;'Descriptive Statistics'!$I$17,G872&gt;'Descriptive Statistics'!$I$18),"Potential Outlier","Within Range")</f>
        <v>Within Range</v>
      </c>
      <c r="S872" s="26" t="str">
        <f>IF(OR(H872&lt;'Descriptive Statistics'!$J$17,H872&gt;'Descriptive Statistics'!$J$18),"Potential Outlier","Within Range")</f>
        <v>Within Range</v>
      </c>
    </row>
    <row r="873" hidden="1" spans="1:19">
      <c r="A873" t="s">
        <v>3201</v>
      </c>
      <c r="B873" s="23">
        <v>45428</v>
      </c>
      <c r="C873" s="23" t="str">
        <f t="shared" si="26"/>
        <v>May</v>
      </c>
      <c r="D873" s="23" t="str">
        <f t="shared" si="27"/>
        <v>2024</v>
      </c>
      <c r="E873" t="s">
        <v>3202</v>
      </c>
      <c r="F873" s="24" t="s">
        <v>32</v>
      </c>
      <c r="G873" s="17">
        <v>3</v>
      </c>
      <c r="H873" s="19">
        <v>324.3</v>
      </c>
      <c r="I873" t="s">
        <v>3203</v>
      </c>
      <c r="J873" s="24" t="s">
        <v>18</v>
      </c>
      <c r="K873" s="24" t="s">
        <v>89</v>
      </c>
      <c r="L873" t="s">
        <v>3204</v>
      </c>
      <c r="M873" s="17">
        <v>8</v>
      </c>
      <c r="N873" t="s">
        <v>37</v>
      </c>
      <c r="O873" s="24" t="s">
        <v>38</v>
      </c>
      <c r="P873" s="19">
        <v>972.9</v>
      </c>
      <c r="Q873" s="26" t="str">
        <f>IF(OR(P873&lt;'Descriptive Statistics'!$H$17,P873&gt;'Descriptive Statistics'!$H$18),"Potential Outlier","Within Range")</f>
        <v>Within Range</v>
      </c>
      <c r="R873" s="26" t="str">
        <f>IF(OR(G873&lt;'Descriptive Statistics'!$I$17,G873&gt;'Descriptive Statistics'!$I$18),"Potential Outlier","Within Range")</f>
        <v>Within Range</v>
      </c>
      <c r="S873" s="26" t="str">
        <f>IF(OR(H873&lt;'Descriptive Statistics'!$J$17,H873&gt;'Descriptive Statistics'!$J$18),"Potential Outlier","Within Range")</f>
        <v>Within Range</v>
      </c>
    </row>
    <row r="874" hidden="1" spans="1:19">
      <c r="A874" t="s">
        <v>3205</v>
      </c>
      <c r="B874" s="23">
        <v>45117</v>
      </c>
      <c r="C874" s="23" t="str">
        <f t="shared" si="26"/>
        <v>Jul</v>
      </c>
      <c r="D874" s="23" t="str">
        <f t="shared" si="27"/>
        <v>2023</v>
      </c>
      <c r="E874" t="s">
        <v>3206</v>
      </c>
      <c r="F874" s="24" t="s">
        <v>41</v>
      </c>
      <c r="G874" s="17">
        <v>4</v>
      </c>
      <c r="H874" s="19">
        <v>629.34</v>
      </c>
      <c r="I874" t="s">
        <v>830</v>
      </c>
      <c r="J874" s="24" t="s">
        <v>65</v>
      </c>
      <c r="K874" s="24" t="s">
        <v>19</v>
      </c>
      <c r="L874" t="s">
        <v>3207</v>
      </c>
      <c r="M874" s="17">
        <v>7</v>
      </c>
      <c r="N874" t="s">
        <v>4295</v>
      </c>
      <c r="O874" s="24" t="s">
        <v>38</v>
      </c>
      <c r="P874" s="19">
        <v>2517.36</v>
      </c>
      <c r="Q874" s="26" t="str">
        <f>IF(OR(P874&lt;'Descriptive Statistics'!$H$17,P874&gt;'Descriptive Statistics'!$H$18),"Potential Outlier","Within Range")</f>
        <v>Within Range</v>
      </c>
      <c r="R874" s="26" t="str">
        <f>IF(OR(G874&lt;'Descriptive Statistics'!$I$17,G874&gt;'Descriptive Statistics'!$I$18),"Potential Outlier","Within Range")</f>
        <v>Within Range</v>
      </c>
      <c r="S874" s="26" t="str">
        <f>IF(OR(H874&lt;'Descriptive Statistics'!$J$17,H874&gt;'Descriptive Statistics'!$J$18),"Potential Outlier","Within Range")</f>
        <v>Within Range</v>
      </c>
    </row>
    <row r="875" hidden="1" spans="1:19">
      <c r="A875" t="s">
        <v>3208</v>
      </c>
      <c r="B875" s="23">
        <v>45424</v>
      </c>
      <c r="C875" s="23" t="str">
        <f t="shared" si="26"/>
        <v>May</v>
      </c>
      <c r="D875" s="23" t="str">
        <f t="shared" si="27"/>
        <v>2024</v>
      </c>
      <c r="E875" t="s">
        <v>3209</v>
      </c>
      <c r="F875" s="24" t="s">
        <v>73</v>
      </c>
      <c r="G875" s="17">
        <v>3</v>
      </c>
      <c r="H875" s="19">
        <v>136.84</v>
      </c>
      <c r="I875" t="s">
        <v>3210</v>
      </c>
      <c r="J875" s="24" t="s">
        <v>65</v>
      </c>
      <c r="K875" s="24" t="s">
        <v>50</v>
      </c>
      <c r="L875" t="s">
        <v>3211</v>
      </c>
      <c r="M875" s="17">
        <v>3</v>
      </c>
      <c r="N875" t="s">
        <v>21</v>
      </c>
      <c r="O875" s="24" t="s">
        <v>45</v>
      </c>
      <c r="P875" s="19">
        <v>410.52</v>
      </c>
      <c r="Q875" s="26" t="str">
        <f>IF(OR(P875&lt;'Descriptive Statistics'!$H$17,P875&gt;'Descriptive Statistics'!$H$18),"Potential Outlier","Within Range")</f>
        <v>Within Range</v>
      </c>
      <c r="R875" s="26" t="str">
        <f>IF(OR(G875&lt;'Descriptive Statistics'!$I$17,G875&gt;'Descriptive Statistics'!$I$18),"Potential Outlier","Within Range")</f>
        <v>Within Range</v>
      </c>
      <c r="S875" s="26" t="str">
        <f>IF(OR(H875&lt;'Descriptive Statistics'!$J$17,H875&gt;'Descriptive Statistics'!$J$18),"Potential Outlier","Within Range")</f>
        <v>Within Range</v>
      </c>
    </row>
    <row r="876" hidden="1" spans="1:19">
      <c r="A876" t="s">
        <v>3212</v>
      </c>
      <c r="B876" s="23">
        <v>45230</v>
      </c>
      <c r="C876" s="23" t="str">
        <f t="shared" si="26"/>
        <v>Oct</v>
      </c>
      <c r="D876" s="23" t="str">
        <f t="shared" si="27"/>
        <v>2023</v>
      </c>
      <c r="E876" t="s">
        <v>3213</v>
      </c>
      <c r="F876" s="24" t="s">
        <v>41</v>
      </c>
      <c r="G876" s="17">
        <v>2</v>
      </c>
      <c r="H876" s="19">
        <v>488.9</v>
      </c>
      <c r="I876" t="s">
        <v>2648</v>
      </c>
      <c r="J876" s="24" t="s">
        <v>65</v>
      </c>
      <c r="K876" s="24" t="s">
        <v>50</v>
      </c>
      <c r="L876" t="s">
        <v>3214</v>
      </c>
      <c r="M876" s="17">
        <v>7</v>
      </c>
      <c r="N876" t="s">
        <v>37</v>
      </c>
      <c r="O876" s="24" t="s">
        <v>45</v>
      </c>
      <c r="P876" s="19">
        <v>977.8</v>
      </c>
      <c r="Q876" s="26" t="str">
        <f>IF(OR(P876&lt;'Descriptive Statistics'!$H$17,P876&gt;'Descriptive Statistics'!$H$18),"Potential Outlier","Within Range")</f>
        <v>Within Range</v>
      </c>
      <c r="R876" s="26" t="str">
        <f>IF(OR(G876&lt;'Descriptive Statistics'!$I$17,G876&gt;'Descriptive Statistics'!$I$18),"Potential Outlier","Within Range")</f>
        <v>Within Range</v>
      </c>
      <c r="S876" s="26" t="str">
        <f>IF(OR(H876&lt;'Descriptive Statistics'!$J$17,H876&gt;'Descriptive Statistics'!$J$18),"Potential Outlier","Within Range")</f>
        <v>Within Range</v>
      </c>
    </row>
    <row r="877" hidden="1" spans="1:19">
      <c r="A877" t="s">
        <v>3215</v>
      </c>
      <c r="B877" s="23">
        <v>45141</v>
      </c>
      <c r="C877" s="23" t="str">
        <f t="shared" si="26"/>
        <v>Aug</v>
      </c>
      <c r="D877" s="23" t="str">
        <f t="shared" si="27"/>
        <v>2023</v>
      </c>
      <c r="E877" t="s">
        <v>3216</v>
      </c>
      <c r="F877" s="24" t="s">
        <v>58</v>
      </c>
      <c r="G877" s="17">
        <v>5</v>
      </c>
      <c r="H877" s="19">
        <v>133.39</v>
      </c>
      <c r="I877" t="s">
        <v>403</v>
      </c>
      <c r="J877" s="24" t="s">
        <v>34</v>
      </c>
      <c r="K877" s="24" t="s">
        <v>50</v>
      </c>
      <c r="L877" t="s">
        <v>3217</v>
      </c>
      <c r="M877" s="17">
        <v>6</v>
      </c>
      <c r="N877" t="s">
        <v>37</v>
      </c>
      <c r="O877" s="24" t="s">
        <v>29</v>
      </c>
      <c r="P877" s="19">
        <v>666.95</v>
      </c>
      <c r="Q877" s="26" t="str">
        <f>IF(OR(P877&lt;'Descriptive Statistics'!$H$17,P877&gt;'Descriptive Statistics'!$H$18),"Potential Outlier","Within Range")</f>
        <v>Within Range</v>
      </c>
      <c r="R877" s="26" t="str">
        <f>IF(OR(G877&lt;'Descriptive Statistics'!$I$17,G877&gt;'Descriptive Statistics'!$I$18),"Potential Outlier","Within Range")</f>
        <v>Within Range</v>
      </c>
      <c r="S877" s="26" t="str">
        <f>IF(OR(H877&lt;'Descriptive Statistics'!$J$17,H877&gt;'Descriptive Statistics'!$J$18),"Potential Outlier","Within Range")</f>
        <v>Within Range</v>
      </c>
    </row>
    <row r="878" hidden="1" spans="1:19">
      <c r="A878" t="s">
        <v>3218</v>
      </c>
      <c r="B878" s="23">
        <v>45452</v>
      </c>
      <c r="C878" s="23" t="str">
        <f t="shared" si="26"/>
        <v>Jun</v>
      </c>
      <c r="D878" s="23" t="str">
        <f t="shared" si="27"/>
        <v>2024</v>
      </c>
      <c r="E878" t="s">
        <v>3219</v>
      </c>
      <c r="F878" s="24" t="s">
        <v>41</v>
      </c>
      <c r="G878" s="17">
        <v>5</v>
      </c>
      <c r="H878" s="19">
        <v>608.91</v>
      </c>
      <c r="I878" t="s">
        <v>2760</v>
      </c>
      <c r="J878" s="24" t="s">
        <v>60</v>
      </c>
      <c r="K878" s="24" t="s">
        <v>89</v>
      </c>
      <c r="L878" t="s">
        <v>3220</v>
      </c>
      <c r="M878" s="17">
        <v>6</v>
      </c>
      <c r="N878" t="s">
        <v>21</v>
      </c>
      <c r="O878" s="24" t="s">
        <v>76</v>
      </c>
      <c r="P878" s="19">
        <v>3044.55</v>
      </c>
      <c r="Q878" s="26" t="str">
        <f>IF(OR(P878&lt;'Descriptive Statistics'!$H$17,P878&gt;'Descriptive Statistics'!$H$18),"Potential Outlier","Within Range")</f>
        <v>Within Range</v>
      </c>
      <c r="R878" s="26" t="str">
        <f>IF(OR(G878&lt;'Descriptive Statistics'!$I$17,G878&gt;'Descriptive Statistics'!$I$18),"Potential Outlier","Within Range")</f>
        <v>Within Range</v>
      </c>
      <c r="S878" s="26" t="str">
        <f>IF(OR(H878&lt;'Descriptive Statistics'!$J$17,H878&gt;'Descriptive Statistics'!$J$18),"Potential Outlier","Within Range")</f>
        <v>Within Range</v>
      </c>
    </row>
    <row r="879" hidden="1" spans="1:19">
      <c r="A879" t="s">
        <v>3221</v>
      </c>
      <c r="B879" s="23">
        <v>45498</v>
      </c>
      <c r="C879" s="23" t="str">
        <f t="shared" si="26"/>
        <v>Jul</v>
      </c>
      <c r="D879" s="23" t="str">
        <f t="shared" si="27"/>
        <v>2024</v>
      </c>
      <c r="E879" t="s">
        <v>3222</v>
      </c>
      <c r="F879" s="24" t="s">
        <v>32</v>
      </c>
      <c r="G879" s="17">
        <v>1</v>
      </c>
      <c r="H879" s="19">
        <v>524.06</v>
      </c>
      <c r="I879" t="s">
        <v>2346</v>
      </c>
      <c r="J879" s="24" t="s">
        <v>18</v>
      </c>
      <c r="K879" s="24" t="s">
        <v>89</v>
      </c>
      <c r="L879" t="s">
        <v>3223</v>
      </c>
      <c r="M879" s="17">
        <v>3</v>
      </c>
      <c r="N879" t="s">
        <v>37</v>
      </c>
      <c r="O879" s="24" t="s">
        <v>38</v>
      </c>
      <c r="P879" s="19">
        <v>524.06</v>
      </c>
      <c r="Q879" s="26" t="str">
        <f>IF(OR(P879&lt;'Descriptive Statistics'!$H$17,P879&gt;'Descriptive Statistics'!$H$18),"Potential Outlier","Within Range")</f>
        <v>Within Range</v>
      </c>
      <c r="R879" s="26" t="str">
        <f>IF(OR(G879&lt;'Descriptive Statistics'!$I$17,G879&gt;'Descriptive Statistics'!$I$18),"Potential Outlier","Within Range")</f>
        <v>Within Range</v>
      </c>
      <c r="S879" s="26" t="str">
        <f>IF(OR(H879&lt;'Descriptive Statistics'!$J$17,H879&gt;'Descriptive Statistics'!$J$18),"Potential Outlier","Within Range")</f>
        <v>Within Range</v>
      </c>
    </row>
    <row r="880" hidden="1" spans="1:19">
      <c r="A880" t="s">
        <v>3224</v>
      </c>
      <c r="B880" s="23">
        <v>45078</v>
      </c>
      <c r="C880" s="23" t="str">
        <f t="shared" si="26"/>
        <v>Jun</v>
      </c>
      <c r="D880" s="23" t="str">
        <f t="shared" si="27"/>
        <v>2023</v>
      </c>
      <c r="E880" t="s">
        <v>3225</v>
      </c>
      <c r="F880" s="24" t="s">
        <v>73</v>
      </c>
      <c r="G880" s="17">
        <v>2</v>
      </c>
      <c r="H880" s="19">
        <v>330.69</v>
      </c>
      <c r="I880" t="s">
        <v>3226</v>
      </c>
      <c r="J880" s="24" t="s">
        <v>27</v>
      </c>
      <c r="K880" s="24" t="s">
        <v>35</v>
      </c>
      <c r="L880" t="s">
        <v>3227</v>
      </c>
      <c r="M880" s="17">
        <v>5</v>
      </c>
      <c r="N880" t="s">
        <v>21</v>
      </c>
      <c r="O880" s="24" t="s">
        <v>76</v>
      </c>
      <c r="P880" s="19">
        <v>661.38</v>
      </c>
      <c r="Q880" s="26" t="str">
        <f>IF(OR(P880&lt;'Descriptive Statistics'!$H$17,P880&gt;'Descriptive Statistics'!$H$18),"Potential Outlier","Within Range")</f>
        <v>Within Range</v>
      </c>
      <c r="R880" s="26" t="str">
        <f>IF(OR(G880&lt;'Descriptive Statistics'!$I$17,G880&gt;'Descriptive Statistics'!$I$18),"Potential Outlier","Within Range")</f>
        <v>Within Range</v>
      </c>
      <c r="S880" s="26" t="str">
        <f>IF(OR(H880&lt;'Descriptive Statistics'!$J$17,H880&gt;'Descriptive Statistics'!$J$18),"Potential Outlier","Within Range")</f>
        <v>Within Range</v>
      </c>
    </row>
    <row r="881" hidden="1" spans="1:19">
      <c r="A881" t="s">
        <v>3228</v>
      </c>
      <c r="B881" s="23">
        <v>45755</v>
      </c>
      <c r="C881" s="23" t="str">
        <f t="shared" si="26"/>
        <v>Apr</v>
      </c>
      <c r="D881" s="23" t="str">
        <f t="shared" si="27"/>
        <v>2025</v>
      </c>
      <c r="E881" t="s">
        <v>3229</v>
      </c>
      <c r="F881" s="24" t="s">
        <v>25</v>
      </c>
      <c r="G881" s="17">
        <v>2</v>
      </c>
      <c r="H881" s="19">
        <v>547.67</v>
      </c>
      <c r="I881" t="s">
        <v>2116</v>
      </c>
      <c r="J881" s="24" t="s">
        <v>60</v>
      </c>
      <c r="K881" s="24" t="s">
        <v>19</v>
      </c>
      <c r="L881" t="s">
        <v>3230</v>
      </c>
      <c r="M881" s="17">
        <v>3</v>
      </c>
      <c r="N881" t="s">
        <v>4295</v>
      </c>
      <c r="O881" s="24" t="s">
        <v>22</v>
      </c>
      <c r="P881" s="19">
        <v>1095.34</v>
      </c>
      <c r="Q881" s="26" t="str">
        <f>IF(OR(P881&lt;'Descriptive Statistics'!$H$17,P881&gt;'Descriptive Statistics'!$H$18),"Potential Outlier","Within Range")</f>
        <v>Within Range</v>
      </c>
      <c r="R881" s="26" t="str">
        <f>IF(OR(G881&lt;'Descriptive Statistics'!$I$17,G881&gt;'Descriptive Statistics'!$I$18),"Potential Outlier","Within Range")</f>
        <v>Within Range</v>
      </c>
      <c r="S881" s="26" t="str">
        <f>IF(OR(H881&lt;'Descriptive Statistics'!$J$17,H881&gt;'Descriptive Statistics'!$J$18),"Potential Outlier","Within Range")</f>
        <v>Within Range</v>
      </c>
    </row>
    <row r="882" hidden="1" spans="1:19">
      <c r="A882" t="s">
        <v>3231</v>
      </c>
      <c r="B882" s="23">
        <v>45728</v>
      </c>
      <c r="C882" s="23" t="str">
        <f t="shared" si="26"/>
        <v>Mar</v>
      </c>
      <c r="D882" s="23" t="str">
        <f t="shared" si="27"/>
        <v>2025</v>
      </c>
      <c r="E882" t="s">
        <v>3232</v>
      </c>
      <c r="F882" s="24" t="s">
        <v>58</v>
      </c>
      <c r="G882" s="17">
        <v>4</v>
      </c>
      <c r="H882" s="19">
        <v>233.7</v>
      </c>
      <c r="I882" t="s">
        <v>980</v>
      </c>
      <c r="J882" s="24" t="s">
        <v>27</v>
      </c>
      <c r="K882" s="24" t="s">
        <v>19</v>
      </c>
      <c r="L882" t="s">
        <v>3233</v>
      </c>
      <c r="M882" s="17">
        <v>8</v>
      </c>
      <c r="N882" t="s">
        <v>21</v>
      </c>
      <c r="O882" s="24" t="s">
        <v>45</v>
      </c>
      <c r="P882" s="19">
        <v>934.8</v>
      </c>
      <c r="Q882" s="26" t="str">
        <f>IF(OR(P882&lt;'Descriptive Statistics'!$H$17,P882&gt;'Descriptive Statistics'!$H$18),"Potential Outlier","Within Range")</f>
        <v>Within Range</v>
      </c>
      <c r="R882" s="26" t="str">
        <f>IF(OR(G882&lt;'Descriptive Statistics'!$I$17,G882&gt;'Descriptive Statistics'!$I$18),"Potential Outlier","Within Range")</f>
        <v>Within Range</v>
      </c>
      <c r="S882" s="26" t="str">
        <f>IF(OR(H882&lt;'Descriptive Statistics'!$J$17,H882&gt;'Descriptive Statistics'!$J$18),"Potential Outlier","Within Range")</f>
        <v>Within Range</v>
      </c>
    </row>
    <row r="883" hidden="1" spans="1:19">
      <c r="A883" t="s">
        <v>3234</v>
      </c>
      <c r="B883" s="23">
        <v>44929</v>
      </c>
      <c r="C883" s="23" t="str">
        <f t="shared" si="26"/>
        <v>Jan</v>
      </c>
      <c r="D883" s="23" t="str">
        <f t="shared" si="27"/>
        <v>2023</v>
      </c>
      <c r="E883" t="s">
        <v>3235</v>
      </c>
      <c r="F883" s="24" t="s">
        <v>32</v>
      </c>
      <c r="G883" s="17">
        <v>2</v>
      </c>
      <c r="H883" s="19">
        <v>448.85</v>
      </c>
      <c r="I883" t="s">
        <v>3236</v>
      </c>
      <c r="J883" s="24" t="s">
        <v>34</v>
      </c>
      <c r="K883" s="24" t="s">
        <v>89</v>
      </c>
      <c r="L883" t="s">
        <v>3237</v>
      </c>
      <c r="M883" s="17">
        <v>6</v>
      </c>
      <c r="N883" t="s">
        <v>4295</v>
      </c>
      <c r="O883" s="24" t="s">
        <v>22</v>
      </c>
      <c r="P883" s="19">
        <v>897.7</v>
      </c>
      <c r="Q883" s="26" t="str">
        <f>IF(OR(P883&lt;'Descriptive Statistics'!$H$17,P883&gt;'Descriptive Statistics'!$H$18),"Potential Outlier","Within Range")</f>
        <v>Within Range</v>
      </c>
      <c r="R883" s="26" t="str">
        <f>IF(OR(G883&lt;'Descriptive Statistics'!$I$17,G883&gt;'Descriptive Statistics'!$I$18),"Potential Outlier","Within Range")</f>
        <v>Within Range</v>
      </c>
      <c r="S883" s="26" t="str">
        <f>IF(OR(H883&lt;'Descriptive Statistics'!$J$17,H883&gt;'Descriptive Statistics'!$J$18),"Potential Outlier","Within Range")</f>
        <v>Within Range</v>
      </c>
    </row>
    <row r="884" hidden="1" spans="1:19">
      <c r="A884" t="s">
        <v>3238</v>
      </c>
      <c r="B884" s="23">
        <v>45836</v>
      </c>
      <c r="C884" s="23" t="str">
        <f t="shared" si="26"/>
        <v>Jun</v>
      </c>
      <c r="D884" s="23" t="str">
        <f t="shared" si="27"/>
        <v>2025</v>
      </c>
      <c r="E884" t="s">
        <v>3239</v>
      </c>
      <c r="F884" s="24" t="s">
        <v>25</v>
      </c>
      <c r="G884" s="17">
        <v>2</v>
      </c>
      <c r="H884" s="19">
        <v>274.12</v>
      </c>
      <c r="I884" t="s">
        <v>426</v>
      </c>
      <c r="J884" s="24" t="s">
        <v>65</v>
      </c>
      <c r="K884" s="24" t="s">
        <v>50</v>
      </c>
      <c r="L884" t="s">
        <v>3240</v>
      </c>
      <c r="M884" s="17">
        <v>6</v>
      </c>
      <c r="N884" t="s">
        <v>37</v>
      </c>
      <c r="O884" s="24" t="s">
        <v>29</v>
      </c>
      <c r="P884" s="19">
        <v>548.24</v>
      </c>
      <c r="Q884" s="26" t="str">
        <f>IF(OR(P884&lt;'Descriptive Statistics'!$H$17,P884&gt;'Descriptive Statistics'!$H$18),"Potential Outlier","Within Range")</f>
        <v>Within Range</v>
      </c>
      <c r="R884" s="26" t="str">
        <f>IF(OR(G884&lt;'Descriptive Statistics'!$I$17,G884&gt;'Descriptive Statistics'!$I$18),"Potential Outlier","Within Range")</f>
        <v>Within Range</v>
      </c>
      <c r="S884" s="26" t="str">
        <f>IF(OR(H884&lt;'Descriptive Statistics'!$J$17,H884&gt;'Descriptive Statistics'!$J$18),"Potential Outlier","Within Range")</f>
        <v>Within Range</v>
      </c>
    </row>
    <row r="885" hidden="1" spans="1:19">
      <c r="A885" t="s">
        <v>3241</v>
      </c>
      <c r="B885" s="23">
        <v>45790</v>
      </c>
      <c r="C885" s="23" t="str">
        <f t="shared" si="26"/>
        <v>May</v>
      </c>
      <c r="D885" s="23" t="str">
        <f t="shared" si="27"/>
        <v>2025</v>
      </c>
      <c r="E885" t="s">
        <v>3242</v>
      </c>
      <c r="F885" s="24" t="s">
        <v>48</v>
      </c>
      <c r="G885" s="17">
        <v>5</v>
      </c>
      <c r="H885" s="19">
        <v>561.48</v>
      </c>
      <c r="I885" t="s">
        <v>3243</v>
      </c>
      <c r="J885" s="24" t="s">
        <v>27</v>
      </c>
      <c r="K885" s="24" t="s">
        <v>50</v>
      </c>
      <c r="L885" t="s">
        <v>3244</v>
      </c>
      <c r="M885" s="17">
        <v>9</v>
      </c>
      <c r="N885" t="s">
        <v>37</v>
      </c>
      <c r="O885" s="24" t="s">
        <v>45</v>
      </c>
      <c r="P885" s="19">
        <v>2807.4</v>
      </c>
      <c r="Q885" s="26" t="str">
        <f>IF(OR(P885&lt;'Descriptive Statistics'!$H$17,P885&gt;'Descriptive Statistics'!$H$18),"Potential Outlier","Within Range")</f>
        <v>Within Range</v>
      </c>
      <c r="R885" s="26" t="str">
        <f>IF(OR(G885&lt;'Descriptive Statistics'!$I$17,G885&gt;'Descriptive Statistics'!$I$18),"Potential Outlier","Within Range")</f>
        <v>Within Range</v>
      </c>
      <c r="S885" s="26" t="str">
        <f>IF(OR(H885&lt;'Descriptive Statistics'!$J$17,H885&gt;'Descriptive Statistics'!$J$18),"Potential Outlier","Within Range")</f>
        <v>Within Range</v>
      </c>
    </row>
    <row r="886" hidden="1" spans="1:19">
      <c r="A886" t="s">
        <v>3245</v>
      </c>
      <c r="B886" s="23">
        <v>45427</v>
      </c>
      <c r="C886" s="23" t="str">
        <f t="shared" si="26"/>
        <v>May</v>
      </c>
      <c r="D886" s="23" t="str">
        <f t="shared" si="27"/>
        <v>2024</v>
      </c>
      <c r="E886" t="s">
        <v>3246</v>
      </c>
      <c r="F886" s="24" t="s">
        <v>41</v>
      </c>
      <c r="G886" s="17">
        <v>1</v>
      </c>
      <c r="H886" s="19">
        <v>595.54</v>
      </c>
      <c r="I886" t="s">
        <v>3247</v>
      </c>
      <c r="J886" s="24" t="s">
        <v>60</v>
      </c>
      <c r="K886" s="24" t="s">
        <v>19</v>
      </c>
      <c r="L886" t="s">
        <v>3248</v>
      </c>
      <c r="M886" s="17">
        <v>4</v>
      </c>
      <c r="N886" t="s">
        <v>4295</v>
      </c>
      <c r="O886" s="24" t="s">
        <v>22</v>
      </c>
      <c r="P886" s="19">
        <v>595.54</v>
      </c>
      <c r="Q886" s="26" t="str">
        <f>IF(OR(P886&lt;'Descriptive Statistics'!$H$17,P886&gt;'Descriptive Statistics'!$H$18),"Potential Outlier","Within Range")</f>
        <v>Within Range</v>
      </c>
      <c r="R886" s="26" t="str">
        <f>IF(OR(G886&lt;'Descriptive Statistics'!$I$17,G886&gt;'Descriptive Statistics'!$I$18),"Potential Outlier","Within Range")</f>
        <v>Within Range</v>
      </c>
      <c r="S886" s="26" t="str">
        <f>IF(OR(H886&lt;'Descriptive Statistics'!$J$17,H886&gt;'Descriptive Statistics'!$J$18),"Potential Outlier","Within Range")</f>
        <v>Within Range</v>
      </c>
    </row>
    <row r="887" hidden="1" spans="1:19">
      <c r="A887" t="s">
        <v>3249</v>
      </c>
      <c r="B887" s="23">
        <v>45389</v>
      </c>
      <c r="C887" s="23" t="str">
        <f t="shared" si="26"/>
        <v>Apr</v>
      </c>
      <c r="D887" s="23" t="str">
        <f t="shared" si="27"/>
        <v>2024</v>
      </c>
      <c r="E887" t="s">
        <v>3250</v>
      </c>
      <c r="F887" s="24" t="s">
        <v>58</v>
      </c>
      <c r="G887" s="17">
        <v>4</v>
      </c>
      <c r="H887" s="19">
        <v>515.59</v>
      </c>
      <c r="I887" t="s">
        <v>3251</v>
      </c>
      <c r="J887" s="24" t="s">
        <v>34</v>
      </c>
      <c r="K887" s="24" t="s">
        <v>19</v>
      </c>
      <c r="L887" t="s">
        <v>3252</v>
      </c>
      <c r="M887" s="17">
        <v>7</v>
      </c>
      <c r="N887" t="s">
        <v>37</v>
      </c>
      <c r="O887" s="24" t="s">
        <v>76</v>
      </c>
      <c r="P887" s="19">
        <v>2062.36</v>
      </c>
      <c r="Q887" s="26" t="str">
        <f>IF(OR(P887&lt;'Descriptive Statistics'!$H$17,P887&gt;'Descriptive Statistics'!$H$18),"Potential Outlier","Within Range")</f>
        <v>Within Range</v>
      </c>
      <c r="R887" s="26" t="str">
        <f>IF(OR(G887&lt;'Descriptive Statistics'!$I$17,G887&gt;'Descriptive Statistics'!$I$18),"Potential Outlier","Within Range")</f>
        <v>Within Range</v>
      </c>
      <c r="S887" s="26" t="str">
        <f>IF(OR(H887&lt;'Descriptive Statistics'!$J$17,H887&gt;'Descriptive Statistics'!$J$18),"Potential Outlier","Within Range")</f>
        <v>Within Range</v>
      </c>
    </row>
    <row r="888" hidden="1" spans="1:19">
      <c r="A888" t="s">
        <v>3253</v>
      </c>
      <c r="B888" s="23">
        <v>45224</v>
      </c>
      <c r="C888" s="23" t="str">
        <f t="shared" si="26"/>
        <v>Oct</v>
      </c>
      <c r="D888" s="23" t="str">
        <f t="shared" si="27"/>
        <v>2023</v>
      </c>
      <c r="E888" t="s">
        <v>3254</v>
      </c>
      <c r="F888" s="24" t="s">
        <v>25</v>
      </c>
      <c r="G888" s="17">
        <v>1</v>
      </c>
      <c r="H888" s="19">
        <v>460.13</v>
      </c>
      <c r="I888" t="s">
        <v>3255</v>
      </c>
      <c r="J888" s="24" t="s">
        <v>34</v>
      </c>
      <c r="K888" s="24" t="s">
        <v>43</v>
      </c>
      <c r="L888" t="s">
        <v>3256</v>
      </c>
      <c r="M888" s="17">
        <v>1</v>
      </c>
      <c r="N888" t="s">
        <v>4295</v>
      </c>
      <c r="O888" s="24" t="s">
        <v>76</v>
      </c>
      <c r="P888" s="19">
        <v>460.13</v>
      </c>
      <c r="Q888" s="26" t="str">
        <f>IF(OR(P888&lt;'Descriptive Statistics'!$H$17,P888&gt;'Descriptive Statistics'!$H$18),"Potential Outlier","Within Range")</f>
        <v>Within Range</v>
      </c>
      <c r="R888" s="26" t="str">
        <f>IF(OR(G888&lt;'Descriptive Statistics'!$I$17,G888&gt;'Descriptive Statistics'!$I$18),"Potential Outlier","Within Range")</f>
        <v>Within Range</v>
      </c>
      <c r="S888" s="26" t="str">
        <f>IF(OR(H888&lt;'Descriptive Statistics'!$J$17,H888&gt;'Descriptive Statistics'!$J$18),"Potential Outlier","Within Range")</f>
        <v>Within Range</v>
      </c>
    </row>
    <row r="889" hidden="1" spans="1:19">
      <c r="A889" t="s">
        <v>3257</v>
      </c>
      <c r="B889" s="23">
        <v>45645</v>
      </c>
      <c r="C889" s="23" t="str">
        <f t="shared" si="26"/>
        <v>Dec</v>
      </c>
      <c r="D889" s="23" t="str">
        <f t="shared" si="27"/>
        <v>2024</v>
      </c>
      <c r="E889" t="s">
        <v>3258</v>
      </c>
      <c r="F889" s="24" t="s">
        <v>41</v>
      </c>
      <c r="G889" s="17">
        <v>3</v>
      </c>
      <c r="H889" s="19">
        <v>171.66</v>
      </c>
      <c r="I889" t="s">
        <v>3259</v>
      </c>
      <c r="J889" s="24" t="s">
        <v>18</v>
      </c>
      <c r="K889" s="24" t="s">
        <v>50</v>
      </c>
      <c r="L889" t="s">
        <v>3260</v>
      </c>
      <c r="M889" s="17">
        <v>7</v>
      </c>
      <c r="N889" t="s">
        <v>4295</v>
      </c>
      <c r="O889" s="24" t="s">
        <v>76</v>
      </c>
      <c r="P889" s="19">
        <v>514.98</v>
      </c>
      <c r="Q889" s="26" t="str">
        <f>IF(OR(P889&lt;'Descriptive Statistics'!$H$17,P889&gt;'Descriptive Statistics'!$H$18),"Potential Outlier","Within Range")</f>
        <v>Within Range</v>
      </c>
      <c r="R889" s="26" t="str">
        <f>IF(OR(G889&lt;'Descriptive Statistics'!$I$17,G889&gt;'Descriptive Statistics'!$I$18),"Potential Outlier","Within Range")</f>
        <v>Within Range</v>
      </c>
      <c r="S889" s="26" t="str">
        <f>IF(OR(H889&lt;'Descriptive Statistics'!$J$17,H889&gt;'Descriptive Statistics'!$J$18),"Potential Outlier","Within Range")</f>
        <v>Within Range</v>
      </c>
    </row>
    <row r="890" hidden="1" spans="1:19">
      <c r="A890" t="s">
        <v>3261</v>
      </c>
      <c r="B890" s="23">
        <v>45496</v>
      </c>
      <c r="C890" s="23" t="str">
        <f t="shared" si="26"/>
        <v>Jul</v>
      </c>
      <c r="D890" s="23" t="str">
        <f t="shared" si="27"/>
        <v>2024</v>
      </c>
      <c r="E890" t="s">
        <v>3262</v>
      </c>
      <c r="F890" s="24" t="s">
        <v>58</v>
      </c>
      <c r="G890" s="17">
        <v>2</v>
      </c>
      <c r="H890" s="19">
        <v>266.95</v>
      </c>
      <c r="I890" t="s">
        <v>3263</v>
      </c>
      <c r="J890" s="24" t="s">
        <v>34</v>
      </c>
      <c r="K890" s="24" t="s">
        <v>89</v>
      </c>
      <c r="L890" t="s">
        <v>3264</v>
      </c>
      <c r="M890" s="17">
        <v>3</v>
      </c>
      <c r="N890" t="s">
        <v>4295</v>
      </c>
      <c r="O890" s="24" t="s">
        <v>22</v>
      </c>
      <c r="P890" s="19">
        <v>533.9</v>
      </c>
      <c r="Q890" s="26" t="str">
        <f>IF(OR(P890&lt;'Descriptive Statistics'!$H$17,P890&gt;'Descriptive Statistics'!$H$18),"Potential Outlier","Within Range")</f>
        <v>Within Range</v>
      </c>
      <c r="R890" s="26" t="str">
        <f>IF(OR(G890&lt;'Descriptive Statistics'!$I$17,G890&gt;'Descriptive Statistics'!$I$18),"Potential Outlier","Within Range")</f>
        <v>Within Range</v>
      </c>
      <c r="S890" s="26" t="str">
        <f>IF(OR(H890&lt;'Descriptive Statistics'!$J$17,H890&gt;'Descriptive Statistics'!$J$18),"Potential Outlier","Within Range")</f>
        <v>Within Range</v>
      </c>
    </row>
    <row r="891" hidden="1" spans="1:19">
      <c r="A891" t="s">
        <v>3265</v>
      </c>
      <c r="B891" s="23">
        <v>45592</v>
      </c>
      <c r="C891" s="23" t="str">
        <f t="shared" si="26"/>
        <v>Oct</v>
      </c>
      <c r="D891" s="23" t="str">
        <f t="shared" si="27"/>
        <v>2024</v>
      </c>
      <c r="E891" t="s">
        <v>3266</v>
      </c>
      <c r="F891" s="24" t="s">
        <v>16</v>
      </c>
      <c r="G891" s="17">
        <v>5</v>
      </c>
      <c r="H891" s="19">
        <v>650.72</v>
      </c>
      <c r="I891" t="s">
        <v>3267</v>
      </c>
      <c r="J891" s="24" t="s">
        <v>34</v>
      </c>
      <c r="K891" s="24" t="s">
        <v>35</v>
      </c>
      <c r="L891" t="s">
        <v>3268</v>
      </c>
      <c r="M891" s="17">
        <v>8</v>
      </c>
      <c r="N891" t="s">
        <v>81</v>
      </c>
      <c r="O891" s="24" t="s">
        <v>38</v>
      </c>
      <c r="P891" s="19">
        <v>3253.6</v>
      </c>
      <c r="Q891" s="26" t="str">
        <f>IF(OR(P891&lt;'Descriptive Statistics'!$H$17,P891&gt;'Descriptive Statistics'!$H$18),"Potential Outlier","Within Range")</f>
        <v>Within Range</v>
      </c>
      <c r="R891" s="26" t="str">
        <f>IF(OR(G891&lt;'Descriptive Statistics'!$I$17,G891&gt;'Descriptive Statistics'!$I$18),"Potential Outlier","Within Range")</f>
        <v>Within Range</v>
      </c>
      <c r="S891" s="26" t="str">
        <f>IF(OR(H891&lt;'Descriptive Statistics'!$J$17,H891&gt;'Descriptive Statistics'!$J$18),"Potential Outlier","Within Range")</f>
        <v>Within Range</v>
      </c>
    </row>
    <row r="892" hidden="1" spans="1:19">
      <c r="A892" t="s">
        <v>3269</v>
      </c>
      <c r="B892" s="23">
        <v>45149</v>
      </c>
      <c r="C892" s="23" t="str">
        <f t="shared" si="26"/>
        <v>Aug</v>
      </c>
      <c r="D892" s="23" t="str">
        <f t="shared" si="27"/>
        <v>2023</v>
      </c>
      <c r="E892" t="s">
        <v>3270</v>
      </c>
      <c r="F892" s="24" t="s">
        <v>58</v>
      </c>
      <c r="G892" s="17">
        <v>3</v>
      </c>
      <c r="H892" s="19">
        <v>439.53</v>
      </c>
      <c r="I892" t="s">
        <v>1849</v>
      </c>
      <c r="J892" s="24" t="s">
        <v>18</v>
      </c>
      <c r="K892" s="24" t="s">
        <v>89</v>
      </c>
      <c r="L892" t="s">
        <v>3271</v>
      </c>
      <c r="M892" s="17">
        <v>5</v>
      </c>
      <c r="N892" t="s">
        <v>4295</v>
      </c>
      <c r="O892" s="24" t="s">
        <v>76</v>
      </c>
      <c r="P892" s="19">
        <v>1318.59</v>
      </c>
      <c r="Q892" s="26" t="str">
        <f>IF(OR(P892&lt;'Descriptive Statistics'!$H$17,P892&gt;'Descriptive Statistics'!$H$18),"Potential Outlier","Within Range")</f>
        <v>Within Range</v>
      </c>
      <c r="R892" s="26" t="str">
        <f>IF(OR(G892&lt;'Descriptive Statistics'!$I$17,G892&gt;'Descriptive Statistics'!$I$18),"Potential Outlier","Within Range")</f>
        <v>Within Range</v>
      </c>
      <c r="S892" s="26" t="str">
        <f>IF(OR(H892&lt;'Descriptive Statistics'!$J$17,H892&gt;'Descriptive Statistics'!$J$18),"Potential Outlier","Within Range")</f>
        <v>Within Range</v>
      </c>
    </row>
    <row r="893" hidden="1" spans="1:19">
      <c r="A893" t="s">
        <v>3272</v>
      </c>
      <c r="B893" s="23">
        <v>45241</v>
      </c>
      <c r="C893" s="23" t="str">
        <f t="shared" si="26"/>
        <v>Nov</v>
      </c>
      <c r="D893" s="23" t="str">
        <f t="shared" si="27"/>
        <v>2023</v>
      </c>
      <c r="E893" t="s">
        <v>3273</v>
      </c>
      <c r="F893" s="24" t="s">
        <v>16</v>
      </c>
      <c r="G893" s="17">
        <v>3</v>
      </c>
      <c r="H893" s="19">
        <v>654.54</v>
      </c>
      <c r="I893" t="s">
        <v>3274</v>
      </c>
      <c r="J893" s="24" t="s">
        <v>65</v>
      </c>
      <c r="K893" s="24" t="s">
        <v>43</v>
      </c>
      <c r="L893" t="s">
        <v>3275</v>
      </c>
      <c r="M893" s="17">
        <v>7</v>
      </c>
      <c r="N893" t="s">
        <v>21</v>
      </c>
      <c r="O893" s="24" t="s">
        <v>29</v>
      </c>
      <c r="P893" s="19">
        <v>1963.62</v>
      </c>
      <c r="Q893" s="26" t="str">
        <f>IF(OR(P893&lt;'Descriptive Statistics'!$H$17,P893&gt;'Descriptive Statistics'!$H$18),"Potential Outlier","Within Range")</f>
        <v>Within Range</v>
      </c>
      <c r="R893" s="26" t="str">
        <f>IF(OR(G893&lt;'Descriptive Statistics'!$I$17,G893&gt;'Descriptive Statistics'!$I$18),"Potential Outlier","Within Range")</f>
        <v>Within Range</v>
      </c>
      <c r="S893" s="26" t="str">
        <f>IF(OR(H893&lt;'Descriptive Statistics'!$J$17,H893&gt;'Descriptive Statistics'!$J$18),"Potential Outlier","Within Range")</f>
        <v>Within Range</v>
      </c>
    </row>
    <row r="894" hidden="1" spans="1:19">
      <c r="A894" t="s">
        <v>3276</v>
      </c>
      <c r="B894" s="23">
        <v>45447</v>
      </c>
      <c r="C894" s="23" t="str">
        <f t="shared" si="26"/>
        <v>Jun</v>
      </c>
      <c r="D894" s="23" t="str">
        <f t="shared" si="27"/>
        <v>2024</v>
      </c>
      <c r="E894" t="s">
        <v>3277</v>
      </c>
      <c r="F894" s="24" t="s">
        <v>73</v>
      </c>
      <c r="G894" s="17">
        <v>1</v>
      </c>
      <c r="H894" s="19">
        <v>394.53</v>
      </c>
      <c r="I894" t="s">
        <v>3278</v>
      </c>
      <c r="J894" s="24" t="s">
        <v>65</v>
      </c>
      <c r="K894" s="24" t="s">
        <v>19</v>
      </c>
      <c r="L894" t="s">
        <v>3279</v>
      </c>
      <c r="M894" s="17">
        <v>2</v>
      </c>
      <c r="N894" t="s">
        <v>37</v>
      </c>
      <c r="O894" s="24" t="s">
        <v>29</v>
      </c>
      <c r="P894" s="19">
        <v>394.53</v>
      </c>
      <c r="Q894" s="26" t="str">
        <f>IF(OR(P894&lt;'Descriptive Statistics'!$H$17,P894&gt;'Descriptive Statistics'!$H$18),"Potential Outlier","Within Range")</f>
        <v>Within Range</v>
      </c>
      <c r="R894" s="26" t="str">
        <f>IF(OR(G894&lt;'Descriptive Statistics'!$I$17,G894&gt;'Descriptive Statistics'!$I$18),"Potential Outlier","Within Range")</f>
        <v>Within Range</v>
      </c>
      <c r="S894" s="26" t="str">
        <f>IF(OR(H894&lt;'Descriptive Statistics'!$J$17,H894&gt;'Descriptive Statistics'!$J$18),"Potential Outlier","Within Range")</f>
        <v>Within Range</v>
      </c>
    </row>
    <row r="895" hidden="1" spans="1:19">
      <c r="A895" t="s">
        <v>3280</v>
      </c>
      <c r="B895" s="23">
        <v>45006</v>
      </c>
      <c r="C895" s="23" t="str">
        <f t="shared" si="26"/>
        <v>Mar</v>
      </c>
      <c r="D895" s="23" t="str">
        <f t="shared" si="27"/>
        <v>2023</v>
      </c>
      <c r="E895" t="s">
        <v>3281</v>
      </c>
      <c r="F895" s="24" t="s">
        <v>16</v>
      </c>
      <c r="G895" s="17">
        <v>1</v>
      </c>
      <c r="H895" s="19">
        <v>678.01</v>
      </c>
      <c r="I895" t="s">
        <v>1945</v>
      </c>
      <c r="J895" s="24" t="s">
        <v>65</v>
      </c>
      <c r="K895" s="24" t="s">
        <v>89</v>
      </c>
      <c r="L895" t="s">
        <v>3282</v>
      </c>
      <c r="M895" s="17">
        <v>4</v>
      </c>
      <c r="N895" t="s">
        <v>37</v>
      </c>
      <c r="O895" s="24" t="s">
        <v>29</v>
      </c>
      <c r="P895" s="19">
        <v>678.01</v>
      </c>
      <c r="Q895" s="26" t="str">
        <f>IF(OR(P895&lt;'Descriptive Statistics'!$H$17,P895&gt;'Descriptive Statistics'!$H$18),"Potential Outlier","Within Range")</f>
        <v>Within Range</v>
      </c>
      <c r="R895" s="26" t="str">
        <f>IF(OR(G895&lt;'Descriptive Statistics'!$I$17,G895&gt;'Descriptive Statistics'!$I$18),"Potential Outlier","Within Range")</f>
        <v>Within Range</v>
      </c>
      <c r="S895" s="26" t="str">
        <f>IF(OR(H895&lt;'Descriptive Statistics'!$J$17,H895&gt;'Descriptive Statistics'!$J$18),"Potential Outlier","Within Range")</f>
        <v>Within Range</v>
      </c>
    </row>
    <row r="896" hidden="1" spans="1:19">
      <c r="A896" t="s">
        <v>3283</v>
      </c>
      <c r="B896" s="23">
        <v>45069</v>
      </c>
      <c r="C896" s="23" t="str">
        <f t="shared" si="26"/>
        <v>May</v>
      </c>
      <c r="D896" s="23" t="str">
        <f t="shared" si="27"/>
        <v>2023</v>
      </c>
      <c r="E896" t="s">
        <v>3284</v>
      </c>
      <c r="F896" s="24" t="s">
        <v>32</v>
      </c>
      <c r="G896" s="17">
        <v>3</v>
      </c>
      <c r="H896" s="19">
        <v>575.01</v>
      </c>
      <c r="I896" t="s">
        <v>2062</v>
      </c>
      <c r="J896" s="24" t="s">
        <v>27</v>
      </c>
      <c r="K896" s="24" t="s">
        <v>35</v>
      </c>
      <c r="L896" t="s">
        <v>3285</v>
      </c>
      <c r="M896" s="17">
        <v>8</v>
      </c>
      <c r="N896" t="s">
        <v>81</v>
      </c>
      <c r="O896" s="24" t="s">
        <v>22</v>
      </c>
      <c r="P896" s="19">
        <v>1725.03</v>
      </c>
      <c r="Q896" s="26" t="str">
        <f>IF(OR(P896&lt;'Descriptive Statistics'!$H$17,P896&gt;'Descriptive Statistics'!$H$18),"Potential Outlier","Within Range")</f>
        <v>Within Range</v>
      </c>
      <c r="R896" s="26" t="str">
        <f>IF(OR(G896&lt;'Descriptive Statistics'!$I$17,G896&gt;'Descriptive Statistics'!$I$18),"Potential Outlier","Within Range")</f>
        <v>Within Range</v>
      </c>
      <c r="S896" s="26" t="str">
        <f>IF(OR(H896&lt;'Descriptive Statistics'!$J$17,H896&gt;'Descriptive Statistics'!$J$18),"Potential Outlier","Within Range")</f>
        <v>Within Range</v>
      </c>
    </row>
    <row r="897" hidden="1" spans="1:19">
      <c r="A897" t="s">
        <v>3286</v>
      </c>
      <c r="B897" s="23">
        <v>45239</v>
      </c>
      <c r="C897" s="23" t="str">
        <f t="shared" si="26"/>
        <v>Nov</v>
      </c>
      <c r="D897" s="23" t="str">
        <f t="shared" si="27"/>
        <v>2023</v>
      </c>
      <c r="E897" t="s">
        <v>3287</v>
      </c>
      <c r="F897" s="24" t="s">
        <v>41</v>
      </c>
      <c r="G897" s="17">
        <v>3</v>
      </c>
      <c r="H897" s="19">
        <v>154.64</v>
      </c>
      <c r="I897" t="s">
        <v>3288</v>
      </c>
      <c r="J897" s="24" t="s">
        <v>18</v>
      </c>
      <c r="K897" s="24" t="s">
        <v>89</v>
      </c>
      <c r="L897" t="s">
        <v>3289</v>
      </c>
      <c r="M897" s="17">
        <v>6</v>
      </c>
      <c r="N897" t="s">
        <v>81</v>
      </c>
      <c r="O897" s="24" t="s">
        <v>45</v>
      </c>
      <c r="P897" s="19">
        <v>463.92</v>
      </c>
      <c r="Q897" s="26" t="str">
        <f>IF(OR(P897&lt;'Descriptive Statistics'!$H$17,P897&gt;'Descriptive Statistics'!$H$18),"Potential Outlier","Within Range")</f>
        <v>Within Range</v>
      </c>
      <c r="R897" s="26" t="str">
        <f>IF(OR(G897&lt;'Descriptive Statistics'!$I$17,G897&gt;'Descriptive Statistics'!$I$18),"Potential Outlier","Within Range")</f>
        <v>Within Range</v>
      </c>
      <c r="S897" s="26" t="str">
        <f>IF(OR(H897&lt;'Descriptive Statistics'!$J$17,H897&gt;'Descriptive Statistics'!$J$18),"Potential Outlier","Within Range")</f>
        <v>Within Range</v>
      </c>
    </row>
    <row r="898" hidden="1" spans="1:19">
      <c r="A898" t="s">
        <v>3290</v>
      </c>
      <c r="B898" s="23">
        <v>45583</v>
      </c>
      <c r="C898" s="23" t="str">
        <f t="shared" ref="C898:C961" si="28">TEXT(B898,"MMM")</f>
        <v>Oct</v>
      </c>
      <c r="D898" s="23" t="str">
        <f t="shared" ref="D898:D961" si="29">TEXT(B898,"YYYY")</f>
        <v>2024</v>
      </c>
      <c r="E898" t="s">
        <v>3291</v>
      </c>
      <c r="F898" s="24" t="s">
        <v>73</v>
      </c>
      <c r="G898" s="17">
        <v>3</v>
      </c>
      <c r="H898" s="19">
        <v>147.29</v>
      </c>
      <c r="I898" t="s">
        <v>74</v>
      </c>
      <c r="J898" s="24" t="s">
        <v>60</v>
      </c>
      <c r="K898" s="24" t="s">
        <v>19</v>
      </c>
      <c r="L898" t="s">
        <v>3292</v>
      </c>
      <c r="M898" s="17">
        <v>3</v>
      </c>
      <c r="N898" t="s">
        <v>37</v>
      </c>
      <c r="O898" s="24" t="s">
        <v>76</v>
      </c>
      <c r="P898" s="19">
        <v>441.87</v>
      </c>
      <c r="Q898" s="26" t="str">
        <f>IF(OR(P898&lt;'Descriptive Statistics'!$H$17,P898&gt;'Descriptive Statistics'!$H$18),"Potential Outlier","Within Range")</f>
        <v>Within Range</v>
      </c>
      <c r="R898" s="26" t="str">
        <f>IF(OR(G898&lt;'Descriptive Statistics'!$I$17,G898&gt;'Descriptive Statistics'!$I$18),"Potential Outlier","Within Range")</f>
        <v>Within Range</v>
      </c>
      <c r="S898" s="26" t="str">
        <f>IF(OR(H898&lt;'Descriptive Statistics'!$J$17,H898&gt;'Descriptive Statistics'!$J$18),"Potential Outlier","Within Range")</f>
        <v>Within Range</v>
      </c>
    </row>
    <row r="899" hidden="1" spans="1:19">
      <c r="A899" t="s">
        <v>3293</v>
      </c>
      <c r="B899" s="23">
        <v>45538</v>
      </c>
      <c r="C899" s="23" t="str">
        <f t="shared" si="28"/>
        <v>Sep</v>
      </c>
      <c r="D899" s="23" t="str">
        <f t="shared" si="29"/>
        <v>2024</v>
      </c>
      <c r="E899" t="s">
        <v>3294</v>
      </c>
      <c r="F899" s="24" t="s">
        <v>58</v>
      </c>
      <c r="G899" s="17">
        <v>4</v>
      </c>
      <c r="H899" s="19">
        <v>481.48</v>
      </c>
      <c r="I899" t="s">
        <v>817</v>
      </c>
      <c r="J899" s="24" t="s">
        <v>60</v>
      </c>
      <c r="K899" s="24" t="s">
        <v>50</v>
      </c>
      <c r="L899" t="s">
        <v>3295</v>
      </c>
      <c r="M899" s="17">
        <v>5</v>
      </c>
      <c r="N899" t="s">
        <v>21</v>
      </c>
      <c r="O899" s="24" t="s">
        <v>22</v>
      </c>
      <c r="P899" s="19">
        <v>1925.92</v>
      </c>
      <c r="Q899" s="26" t="str">
        <f>IF(OR(P899&lt;'Descriptive Statistics'!$H$17,P899&gt;'Descriptive Statistics'!$H$18),"Potential Outlier","Within Range")</f>
        <v>Within Range</v>
      </c>
      <c r="R899" s="26" t="str">
        <f>IF(OR(G899&lt;'Descriptive Statistics'!$I$17,G899&gt;'Descriptive Statistics'!$I$18),"Potential Outlier","Within Range")</f>
        <v>Within Range</v>
      </c>
      <c r="S899" s="26" t="str">
        <f>IF(OR(H899&lt;'Descriptive Statistics'!$J$17,H899&gt;'Descriptive Statistics'!$J$18),"Potential Outlier","Within Range")</f>
        <v>Within Range</v>
      </c>
    </row>
    <row r="900" hidden="1" spans="1:19">
      <c r="A900" t="s">
        <v>3296</v>
      </c>
      <c r="B900" s="23">
        <v>45721</v>
      </c>
      <c r="C900" s="23" t="str">
        <f t="shared" si="28"/>
        <v>Mar</v>
      </c>
      <c r="D900" s="23" t="str">
        <f t="shared" si="29"/>
        <v>2025</v>
      </c>
      <c r="E900" t="s">
        <v>3297</v>
      </c>
      <c r="F900" s="24" t="s">
        <v>16</v>
      </c>
      <c r="G900" s="17">
        <v>3</v>
      </c>
      <c r="H900" s="19">
        <v>158.37</v>
      </c>
      <c r="I900" t="s">
        <v>3100</v>
      </c>
      <c r="J900" s="24" t="s">
        <v>65</v>
      </c>
      <c r="K900" s="24" t="s">
        <v>19</v>
      </c>
      <c r="L900" t="s">
        <v>3298</v>
      </c>
      <c r="M900" s="17">
        <v>6</v>
      </c>
      <c r="N900" t="s">
        <v>4295</v>
      </c>
      <c r="O900" s="24" t="s">
        <v>29</v>
      </c>
      <c r="P900" s="19">
        <v>475.11</v>
      </c>
      <c r="Q900" s="26" t="str">
        <f>IF(OR(P900&lt;'Descriptive Statistics'!$H$17,P900&gt;'Descriptive Statistics'!$H$18),"Potential Outlier","Within Range")</f>
        <v>Within Range</v>
      </c>
      <c r="R900" s="26" t="str">
        <f>IF(OR(G900&lt;'Descriptive Statistics'!$I$17,G900&gt;'Descriptive Statistics'!$I$18),"Potential Outlier","Within Range")</f>
        <v>Within Range</v>
      </c>
      <c r="S900" s="26" t="str">
        <f>IF(OR(H900&lt;'Descriptive Statistics'!$J$17,H900&gt;'Descriptive Statistics'!$J$18),"Potential Outlier","Within Range")</f>
        <v>Within Range</v>
      </c>
    </row>
    <row r="901" hidden="1" spans="1:19">
      <c r="A901" t="s">
        <v>3299</v>
      </c>
      <c r="B901" s="23">
        <v>45770</v>
      </c>
      <c r="C901" s="23" t="str">
        <f t="shared" si="28"/>
        <v>Apr</v>
      </c>
      <c r="D901" s="23" t="str">
        <f t="shared" si="29"/>
        <v>2025</v>
      </c>
      <c r="E901" t="s">
        <v>3300</v>
      </c>
      <c r="F901" s="24" t="s">
        <v>48</v>
      </c>
      <c r="G901" s="17">
        <v>2</v>
      </c>
      <c r="H901" s="19">
        <v>323.37</v>
      </c>
      <c r="I901" t="s">
        <v>312</v>
      </c>
      <c r="J901" s="24" t="s">
        <v>27</v>
      </c>
      <c r="K901" s="24" t="s">
        <v>89</v>
      </c>
      <c r="L901" t="s">
        <v>3301</v>
      </c>
      <c r="M901" s="17">
        <v>3</v>
      </c>
      <c r="N901" t="s">
        <v>21</v>
      </c>
      <c r="O901" s="24" t="s">
        <v>22</v>
      </c>
      <c r="P901" s="19">
        <v>646.74</v>
      </c>
      <c r="Q901" s="26" t="str">
        <f>IF(OR(P901&lt;'Descriptive Statistics'!$H$17,P901&gt;'Descriptive Statistics'!$H$18),"Potential Outlier","Within Range")</f>
        <v>Within Range</v>
      </c>
      <c r="R901" s="26" t="str">
        <f>IF(OR(G901&lt;'Descriptive Statistics'!$I$17,G901&gt;'Descriptive Statistics'!$I$18),"Potential Outlier","Within Range")</f>
        <v>Within Range</v>
      </c>
      <c r="S901" s="26" t="str">
        <f>IF(OR(H901&lt;'Descriptive Statistics'!$J$17,H901&gt;'Descriptive Statistics'!$J$18),"Potential Outlier","Within Range")</f>
        <v>Within Range</v>
      </c>
    </row>
    <row r="902" hidden="1" spans="1:19">
      <c r="A902" t="s">
        <v>3302</v>
      </c>
      <c r="B902" s="23">
        <v>45695</v>
      </c>
      <c r="C902" s="23" t="str">
        <f t="shared" si="28"/>
        <v>Feb</v>
      </c>
      <c r="D902" s="23" t="str">
        <f t="shared" si="29"/>
        <v>2025</v>
      </c>
      <c r="E902" t="s">
        <v>3303</v>
      </c>
      <c r="F902" s="24" t="s">
        <v>58</v>
      </c>
      <c r="G902" s="17">
        <v>5</v>
      </c>
      <c r="H902" s="19">
        <v>73.83</v>
      </c>
      <c r="I902" t="s">
        <v>1996</v>
      </c>
      <c r="J902" s="24" t="s">
        <v>18</v>
      </c>
      <c r="K902" s="24" t="s">
        <v>89</v>
      </c>
      <c r="L902" t="s">
        <v>3304</v>
      </c>
      <c r="M902" s="17">
        <v>9</v>
      </c>
      <c r="N902" t="s">
        <v>4295</v>
      </c>
      <c r="O902" s="24" t="s">
        <v>22</v>
      </c>
      <c r="P902" s="19">
        <v>369.15</v>
      </c>
      <c r="Q902" s="26" t="str">
        <f>IF(OR(P902&lt;'Descriptive Statistics'!$H$17,P902&gt;'Descriptive Statistics'!$H$18),"Potential Outlier","Within Range")</f>
        <v>Within Range</v>
      </c>
      <c r="R902" s="26" t="str">
        <f>IF(OR(G902&lt;'Descriptive Statistics'!$I$17,G902&gt;'Descriptive Statistics'!$I$18),"Potential Outlier","Within Range")</f>
        <v>Within Range</v>
      </c>
      <c r="S902" s="26" t="str">
        <f>IF(OR(H902&lt;'Descriptive Statistics'!$J$17,H902&gt;'Descriptive Statistics'!$J$18),"Potential Outlier","Within Range")</f>
        <v>Within Range</v>
      </c>
    </row>
    <row r="903" hidden="1" spans="1:19">
      <c r="A903" t="s">
        <v>3305</v>
      </c>
      <c r="B903" s="23">
        <v>45410</v>
      </c>
      <c r="C903" s="23" t="str">
        <f t="shared" si="28"/>
        <v>Apr</v>
      </c>
      <c r="D903" s="23" t="str">
        <f t="shared" si="29"/>
        <v>2024</v>
      </c>
      <c r="E903" t="s">
        <v>3306</v>
      </c>
      <c r="F903" s="24" t="s">
        <v>32</v>
      </c>
      <c r="G903" s="17">
        <v>1</v>
      </c>
      <c r="H903" s="19">
        <v>458.63</v>
      </c>
      <c r="I903" t="s">
        <v>415</v>
      </c>
      <c r="J903" s="24" t="s">
        <v>18</v>
      </c>
      <c r="K903" s="24" t="s">
        <v>43</v>
      </c>
      <c r="L903" t="s">
        <v>3307</v>
      </c>
      <c r="M903" s="17">
        <v>4</v>
      </c>
      <c r="N903" t="s">
        <v>81</v>
      </c>
      <c r="O903" s="24" t="s">
        <v>29</v>
      </c>
      <c r="P903" s="19">
        <v>458.63</v>
      </c>
      <c r="Q903" s="26" t="str">
        <f>IF(OR(P903&lt;'Descriptive Statistics'!$H$17,P903&gt;'Descriptive Statistics'!$H$18),"Potential Outlier","Within Range")</f>
        <v>Within Range</v>
      </c>
      <c r="R903" s="26" t="str">
        <f>IF(OR(G903&lt;'Descriptive Statistics'!$I$17,G903&gt;'Descriptive Statistics'!$I$18),"Potential Outlier","Within Range")</f>
        <v>Within Range</v>
      </c>
      <c r="S903" s="26" t="str">
        <f>IF(OR(H903&lt;'Descriptive Statistics'!$J$17,H903&gt;'Descriptive Statistics'!$J$18),"Potential Outlier","Within Range")</f>
        <v>Within Range</v>
      </c>
    </row>
    <row r="904" hidden="1" spans="1:19">
      <c r="A904" t="s">
        <v>3308</v>
      </c>
      <c r="B904" s="23">
        <v>45486</v>
      </c>
      <c r="C904" s="23" t="str">
        <f t="shared" si="28"/>
        <v>Jul</v>
      </c>
      <c r="D904" s="23" t="str">
        <f t="shared" si="29"/>
        <v>2024</v>
      </c>
      <c r="E904" t="s">
        <v>3309</v>
      </c>
      <c r="F904" s="24" t="s">
        <v>16</v>
      </c>
      <c r="G904" s="17">
        <v>4</v>
      </c>
      <c r="H904" s="19">
        <v>180.25</v>
      </c>
      <c r="I904" t="s">
        <v>289</v>
      </c>
      <c r="J904" s="24" t="s">
        <v>18</v>
      </c>
      <c r="K904" s="24" t="s">
        <v>35</v>
      </c>
      <c r="L904" t="s">
        <v>3310</v>
      </c>
      <c r="M904" s="17">
        <v>7</v>
      </c>
      <c r="N904" t="s">
        <v>4295</v>
      </c>
      <c r="O904" s="24" t="s">
        <v>45</v>
      </c>
      <c r="P904" s="19">
        <v>721</v>
      </c>
      <c r="Q904" s="26" t="str">
        <f>IF(OR(P904&lt;'Descriptive Statistics'!$H$17,P904&gt;'Descriptive Statistics'!$H$18),"Potential Outlier","Within Range")</f>
        <v>Within Range</v>
      </c>
      <c r="R904" s="26" t="str">
        <f>IF(OR(G904&lt;'Descriptive Statistics'!$I$17,G904&gt;'Descriptive Statistics'!$I$18),"Potential Outlier","Within Range")</f>
        <v>Within Range</v>
      </c>
      <c r="S904" s="26" t="str">
        <f>IF(OR(H904&lt;'Descriptive Statistics'!$J$17,H904&gt;'Descriptive Statistics'!$J$18),"Potential Outlier","Within Range")</f>
        <v>Within Range</v>
      </c>
    </row>
    <row r="905" hidden="1" spans="1:19">
      <c r="A905" t="s">
        <v>3311</v>
      </c>
      <c r="B905" s="23">
        <v>45063</v>
      </c>
      <c r="C905" s="23" t="str">
        <f t="shared" si="28"/>
        <v>May</v>
      </c>
      <c r="D905" s="23" t="str">
        <f t="shared" si="29"/>
        <v>2023</v>
      </c>
      <c r="E905" t="s">
        <v>3312</v>
      </c>
      <c r="F905" s="24" t="s">
        <v>16</v>
      </c>
      <c r="G905" s="17">
        <v>3</v>
      </c>
      <c r="H905" s="19">
        <v>473.49</v>
      </c>
      <c r="I905" t="s">
        <v>2965</v>
      </c>
      <c r="J905" s="24" t="s">
        <v>34</v>
      </c>
      <c r="K905" s="24" t="s">
        <v>89</v>
      </c>
      <c r="L905" t="s">
        <v>3313</v>
      </c>
      <c r="M905" s="17">
        <v>7</v>
      </c>
      <c r="N905" t="s">
        <v>4295</v>
      </c>
      <c r="O905" s="24" t="s">
        <v>38</v>
      </c>
      <c r="P905" s="19">
        <v>1420.47</v>
      </c>
      <c r="Q905" s="26" t="str">
        <f>IF(OR(P905&lt;'Descriptive Statistics'!$H$17,P905&gt;'Descriptive Statistics'!$H$18),"Potential Outlier","Within Range")</f>
        <v>Within Range</v>
      </c>
      <c r="R905" s="26" t="str">
        <f>IF(OR(G905&lt;'Descriptive Statistics'!$I$17,G905&gt;'Descriptive Statistics'!$I$18),"Potential Outlier","Within Range")</f>
        <v>Within Range</v>
      </c>
      <c r="S905" s="26" t="str">
        <f>IF(OR(H905&lt;'Descriptive Statistics'!$J$17,H905&gt;'Descriptive Statistics'!$J$18),"Potential Outlier","Within Range")</f>
        <v>Within Range</v>
      </c>
    </row>
    <row r="906" hidden="1" spans="1:19">
      <c r="A906" t="s">
        <v>3314</v>
      </c>
      <c r="B906" s="23">
        <v>45693</v>
      </c>
      <c r="C906" s="23" t="str">
        <f t="shared" si="28"/>
        <v>Feb</v>
      </c>
      <c r="D906" s="23" t="str">
        <f t="shared" si="29"/>
        <v>2025</v>
      </c>
      <c r="E906" t="s">
        <v>3315</v>
      </c>
      <c r="F906" s="24" t="s">
        <v>16</v>
      </c>
      <c r="G906" s="17">
        <v>4</v>
      </c>
      <c r="H906" s="19">
        <v>237.43</v>
      </c>
      <c r="I906" t="s">
        <v>1727</v>
      </c>
      <c r="J906" s="24" t="s">
        <v>65</v>
      </c>
      <c r="K906" s="24" t="s">
        <v>35</v>
      </c>
      <c r="L906" t="s">
        <v>3316</v>
      </c>
      <c r="M906" s="17">
        <v>8</v>
      </c>
      <c r="N906" t="s">
        <v>81</v>
      </c>
      <c r="O906" s="24" t="s">
        <v>29</v>
      </c>
      <c r="P906" s="19">
        <v>949.72</v>
      </c>
      <c r="Q906" s="26" t="str">
        <f>IF(OR(P906&lt;'Descriptive Statistics'!$H$17,P906&gt;'Descriptive Statistics'!$H$18),"Potential Outlier","Within Range")</f>
        <v>Within Range</v>
      </c>
      <c r="R906" s="26" t="str">
        <f>IF(OR(G906&lt;'Descriptive Statistics'!$I$17,G906&gt;'Descriptive Statistics'!$I$18),"Potential Outlier","Within Range")</f>
        <v>Within Range</v>
      </c>
      <c r="S906" s="26" t="str">
        <f>IF(OR(H906&lt;'Descriptive Statistics'!$J$17,H906&gt;'Descriptive Statistics'!$J$18),"Potential Outlier","Within Range")</f>
        <v>Within Range</v>
      </c>
    </row>
    <row r="907" hidden="1" spans="1:19">
      <c r="A907" t="s">
        <v>3317</v>
      </c>
      <c r="B907" s="23">
        <v>45253</v>
      </c>
      <c r="C907" s="23" t="str">
        <f t="shared" si="28"/>
        <v>Nov</v>
      </c>
      <c r="D907" s="23" t="str">
        <f t="shared" si="29"/>
        <v>2023</v>
      </c>
      <c r="E907" t="s">
        <v>3318</v>
      </c>
      <c r="F907" s="24" t="s">
        <v>58</v>
      </c>
      <c r="G907" s="17">
        <v>1</v>
      </c>
      <c r="H907" s="19">
        <v>442.39</v>
      </c>
      <c r="I907" t="s">
        <v>1256</v>
      </c>
      <c r="J907" s="24" t="s">
        <v>60</v>
      </c>
      <c r="K907" s="24" t="s">
        <v>89</v>
      </c>
      <c r="L907" t="s">
        <v>3319</v>
      </c>
      <c r="M907" s="17">
        <v>6</v>
      </c>
      <c r="N907" t="s">
        <v>37</v>
      </c>
      <c r="O907" s="24" t="s">
        <v>45</v>
      </c>
      <c r="P907" s="19">
        <v>442.39</v>
      </c>
      <c r="Q907" s="26" t="str">
        <f>IF(OR(P907&lt;'Descriptive Statistics'!$H$17,P907&gt;'Descriptive Statistics'!$H$18),"Potential Outlier","Within Range")</f>
        <v>Within Range</v>
      </c>
      <c r="R907" s="26" t="str">
        <f>IF(OR(G907&lt;'Descriptive Statistics'!$I$17,G907&gt;'Descriptive Statistics'!$I$18),"Potential Outlier","Within Range")</f>
        <v>Within Range</v>
      </c>
      <c r="S907" s="26" t="str">
        <f>IF(OR(H907&lt;'Descriptive Statistics'!$J$17,H907&gt;'Descriptive Statistics'!$J$18),"Potential Outlier","Within Range")</f>
        <v>Within Range</v>
      </c>
    </row>
    <row r="908" hidden="1" spans="1:19">
      <c r="A908" t="s">
        <v>3320</v>
      </c>
      <c r="B908" s="23">
        <v>45538</v>
      </c>
      <c r="C908" s="23" t="str">
        <f t="shared" si="28"/>
        <v>Sep</v>
      </c>
      <c r="D908" s="23" t="str">
        <f t="shared" si="29"/>
        <v>2024</v>
      </c>
      <c r="E908" t="s">
        <v>3321</v>
      </c>
      <c r="F908" s="24" t="s">
        <v>16</v>
      </c>
      <c r="G908" s="17">
        <v>1</v>
      </c>
      <c r="H908" s="19">
        <v>62.12</v>
      </c>
      <c r="I908" t="s">
        <v>3322</v>
      </c>
      <c r="J908" s="24" t="s">
        <v>65</v>
      </c>
      <c r="K908" s="24" t="s">
        <v>43</v>
      </c>
      <c r="L908" t="s">
        <v>3323</v>
      </c>
      <c r="M908" s="17">
        <v>2</v>
      </c>
      <c r="N908" t="s">
        <v>4295</v>
      </c>
      <c r="O908" s="24" t="s">
        <v>38</v>
      </c>
      <c r="P908" s="19">
        <v>62.12</v>
      </c>
      <c r="Q908" s="26" t="str">
        <f>IF(OR(P908&lt;'Descriptive Statistics'!$H$17,P908&gt;'Descriptive Statistics'!$H$18),"Potential Outlier","Within Range")</f>
        <v>Within Range</v>
      </c>
      <c r="R908" s="26" t="str">
        <f>IF(OR(G908&lt;'Descriptive Statistics'!$I$17,G908&gt;'Descriptive Statistics'!$I$18),"Potential Outlier","Within Range")</f>
        <v>Within Range</v>
      </c>
      <c r="S908" s="26" t="str">
        <f>IF(OR(H908&lt;'Descriptive Statistics'!$J$17,H908&gt;'Descriptive Statistics'!$J$18),"Potential Outlier","Within Range")</f>
        <v>Within Range</v>
      </c>
    </row>
    <row r="909" hidden="1" spans="1:19">
      <c r="A909" t="s">
        <v>3324</v>
      </c>
      <c r="B909" s="23">
        <v>45508</v>
      </c>
      <c r="C909" s="23" t="str">
        <f t="shared" si="28"/>
        <v>Aug</v>
      </c>
      <c r="D909" s="23" t="str">
        <f t="shared" si="29"/>
        <v>2024</v>
      </c>
      <c r="E909" t="s">
        <v>3325</v>
      </c>
      <c r="F909" s="24" t="s">
        <v>73</v>
      </c>
      <c r="G909" s="17">
        <v>5</v>
      </c>
      <c r="H909" s="19">
        <v>298.39</v>
      </c>
      <c r="I909" t="s">
        <v>561</v>
      </c>
      <c r="J909" s="24" t="s">
        <v>60</v>
      </c>
      <c r="K909" s="24" t="s">
        <v>35</v>
      </c>
      <c r="L909" t="s">
        <v>3326</v>
      </c>
      <c r="M909" s="17">
        <v>7</v>
      </c>
      <c r="N909" t="s">
        <v>81</v>
      </c>
      <c r="O909" s="24" t="s">
        <v>29</v>
      </c>
      <c r="P909" s="19">
        <v>1491.95</v>
      </c>
      <c r="Q909" s="26" t="str">
        <f>IF(OR(P909&lt;'Descriptive Statistics'!$H$17,P909&gt;'Descriptive Statistics'!$H$18),"Potential Outlier","Within Range")</f>
        <v>Within Range</v>
      </c>
      <c r="R909" s="26" t="str">
        <f>IF(OR(G909&lt;'Descriptive Statistics'!$I$17,G909&gt;'Descriptive Statistics'!$I$18),"Potential Outlier","Within Range")</f>
        <v>Within Range</v>
      </c>
      <c r="S909" s="26" t="str">
        <f>IF(OR(H909&lt;'Descriptive Statistics'!$J$17,H909&gt;'Descriptive Statistics'!$J$18),"Potential Outlier","Within Range")</f>
        <v>Within Range</v>
      </c>
    </row>
    <row r="910" hidden="1" spans="1:19">
      <c r="A910" t="s">
        <v>3327</v>
      </c>
      <c r="B910" s="23">
        <v>45783</v>
      </c>
      <c r="C910" s="23" t="str">
        <f t="shared" si="28"/>
        <v>May</v>
      </c>
      <c r="D910" s="23" t="str">
        <f t="shared" si="29"/>
        <v>2025</v>
      </c>
      <c r="E910" t="s">
        <v>3328</v>
      </c>
      <c r="F910" s="24" t="s">
        <v>73</v>
      </c>
      <c r="G910" s="17">
        <v>2</v>
      </c>
      <c r="H910" s="19">
        <v>697.93</v>
      </c>
      <c r="I910" t="s">
        <v>723</v>
      </c>
      <c r="J910" s="24" t="s">
        <v>34</v>
      </c>
      <c r="K910" s="24" t="s">
        <v>35</v>
      </c>
      <c r="L910" t="s">
        <v>3329</v>
      </c>
      <c r="M910" s="17">
        <v>2</v>
      </c>
      <c r="N910" t="s">
        <v>21</v>
      </c>
      <c r="O910" s="24" t="s">
        <v>76</v>
      </c>
      <c r="P910" s="19">
        <v>1395.86</v>
      </c>
      <c r="Q910" s="26" t="str">
        <f>IF(OR(P910&lt;'Descriptive Statistics'!$H$17,P910&gt;'Descriptive Statistics'!$H$18),"Potential Outlier","Within Range")</f>
        <v>Within Range</v>
      </c>
      <c r="R910" s="26" t="str">
        <f>IF(OR(G910&lt;'Descriptive Statistics'!$I$17,G910&gt;'Descriptive Statistics'!$I$18),"Potential Outlier","Within Range")</f>
        <v>Within Range</v>
      </c>
      <c r="S910" s="26" t="str">
        <f>IF(OR(H910&lt;'Descriptive Statistics'!$J$17,H910&gt;'Descriptive Statistics'!$J$18),"Potential Outlier","Within Range")</f>
        <v>Within Range</v>
      </c>
    </row>
    <row r="911" hidden="1" spans="1:19">
      <c r="A911" t="s">
        <v>3330</v>
      </c>
      <c r="B911" s="23">
        <v>45439</v>
      </c>
      <c r="C911" s="23" t="str">
        <f t="shared" si="28"/>
        <v>May</v>
      </c>
      <c r="D911" s="23" t="str">
        <f t="shared" si="29"/>
        <v>2024</v>
      </c>
      <c r="E911" t="s">
        <v>3331</v>
      </c>
      <c r="F911" s="24" t="s">
        <v>32</v>
      </c>
      <c r="G911" s="17">
        <v>2</v>
      </c>
      <c r="H911" s="19">
        <v>291.85</v>
      </c>
      <c r="I911" t="s">
        <v>125</v>
      </c>
      <c r="J911" s="24" t="s">
        <v>65</v>
      </c>
      <c r="K911" s="24" t="s">
        <v>19</v>
      </c>
      <c r="L911" t="s">
        <v>3332</v>
      </c>
      <c r="M911" s="17">
        <v>5</v>
      </c>
      <c r="N911" t="s">
        <v>37</v>
      </c>
      <c r="O911" s="24" t="s">
        <v>22</v>
      </c>
      <c r="P911" s="19">
        <v>583.7</v>
      </c>
      <c r="Q911" s="26" t="str">
        <f>IF(OR(P911&lt;'Descriptive Statistics'!$H$17,P911&gt;'Descriptive Statistics'!$H$18),"Potential Outlier","Within Range")</f>
        <v>Within Range</v>
      </c>
      <c r="R911" s="26" t="str">
        <f>IF(OR(G911&lt;'Descriptive Statistics'!$I$17,G911&gt;'Descriptive Statistics'!$I$18),"Potential Outlier","Within Range")</f>
        <v>Within Range</v>
      </c>
      <c r="S911" s="26" t="str">
        <f>IF(OR(H911&lt;'Descriptive Statistics'!$J$17,H911&gt;'Descriptive Statistics'!$J$18),"Potential Outlier","Within Range")</f>
        <v>Within Range</v>
      </c>
    </row>
    <row r="912" hidden="1" spans="1:19">
      <c r="A912" t="s">
        <v>3333</v>
      </c>
      <c r="B912" s="23">
        <v>45443</v>
      </c>
      <c r="C912" s="23" t="str">
        <f t="shared" si="28"/>
        <v>May</v>
      </c>
      <c r="D912" s="23" t="str">
        <f t="shared" si="29"/>
        <v>2024</v>
      </c>
      <c r="E912" t="s">
        <v>3334</v>
      </c>
      <c r="F912" s="24" t="s">
        <v>48</v>
      </c>
      <c r="G912" s="17">
        <v>3</v>
      </c>
      <c r="H912" s="19">
        <v>308.98</v>
      </c>
      <c r="I912" t="s">
        <v>343</v>
      </c>
      <c r="J912" s="24" t="s">
        <v>65</v>
      </c>
      <c r="K912" s="24" t="s">
        <v>50</v>
      </c>
      <c r="L912" t="s">
        <v>3335</v>
      </c>
      <c r="M912" s="17">
        <v>3</v>
      </c>
      <c r="N912" t="s">
        <v>21</v>
      </c>
      <c r="O912" s="24" t="s">
        <v>22</v>
      </c>
      <c r="P912" s="19">
        <v>926.94</v>
      </c>
      <c r="Q912" s="26" t="str">
        <f>IF(OR(P912&lt;'Descriptive Statistics'!$H$17,P912&gt;'Descriptive Statistics'!$H$18),"Potential Outlier","Within Range")</f>
        <v>Within Range</v>
      </c>
      <c r="R912" s="26" t="str">
        <f>IF(OR(G912&lt;'Descriptive Statistics'!$I$17,G912&gt;'Descriptive Statistics'!$I$18),"Potential Outlier","Within Range")</f>
        <v>Within Range</v>
      </c>
      <c r="S912" s="26" t="str">
        <f>IF(OR(H912&lt;'Descriptive Statistics'!$J$17,H912&gt;'Descriptive Statistics'!$J$18),"Potential Outlier","Within Range")</f>
        <v>Within Range</v>
      </c>
    </row>
    <row r="913" hidden="1" spans="1:19">
      <c r="A913" t="s">
        <v>3336</v>
      </c>
      <c r="B913" s="23">
        <v>45517</v>
      </c>
      <c r="C913" s="23" t="str">
        <f t="shared" si="28"/>
        <v>Aug</v>
      </c>
      <c r="D913" s="23" t="str">
        <f t="shared" si="29"/>
        <v>2024</v>
      </c>
      <c r="E913" t="s">
        <v>3337</v>
      </c>
      <c r="F913" s="24" t="s">
        <v>73</v>
      </c>
      <c r="G913" s="17">
        <v>5</v>
      </c>
      <c r="H913" s="19">
        <v>396.86</v>
      </c>
      <c r="I913" t="s">
        <v>502</v>
      </c>
      <c r="J913" s="24" t="s">
        <v>65</v>
      </c>
      <c r="K913" s="24" t="s">
        <v>35</v>
      </c>
      <c r="L913" t="s">
        <v>3338</v>
      </c>
      <c r="M913" s="17">
        <v>9</v>
      </c>
      <c r="N913" t="s">
        <v>21</v>
      </c>
      <c r="O913" s="24" t="s">
        <v>22</v>
      </c>
      <c r="P913" s="19">
        <v>1984.3</v>
      </c>
      <c r="Q913" s="26" t="str">
        <f>IF(OR(P913&lt;'Descriptive Statistics'!$H$17,P913&gt;'Descriptive Statistics'!$H$18),"Potential Outlier","Within Range")</f>
        <v>Within Range</v>
      </c>
      <c r="R913" s="26" t="str">
        <f>IF(OR(G913&lt;'Descriptive Statistics'!$I$17,G913&gt;'Descriptive Statistics'!$I$18),"Potential Outlier","Within Range")</f>
        <v>Within Range</v>
      </c>
      <c r="S913" s="26" t="str">
        <f>IF(OR(H913&lt;'Descriptive Statistics'!$J$17,H913&gt;'Descriptive Statistics'!$J$18),"Potential Outlier","Within Range")</f>
        <v>Within Range</v>
      </c>
    </row>
    <row r="914" hidden="1" spans="1:19">
      <c r="A914" t="s">
        <v>3339</v>
      </c>
      <c r="B914" s="23">
        <v>45313</v>
      </c>
      <c r="C914" s="23" t="str">
        <f t="shared" si="28"/>
        <v>Jan</v>
      </c>
      <c r="D914" s="23" t="str">
        <f t="shared" si="29"/>
        <v>2024</v>
      </c>
      <c r="E914" t="s">
        <v>3340</v>
      </c>
      <c r="F914" s="24" t="s">
        <v>73</v>
      </c>
      <c r="G914" s="17">
        <v>2</v>
      </c>
      <c r="H914" s="19">
        <v>139.69</v>
      </c>
      <c r="I914" t="s">
        <v>387</v>
      </c>
      <c r="J914" s="24" t="s">
        <v>27</v>
      </c>
      <c r="K914" s="24" t="s">
        <v>43</v>
      </c>
      <c r="L914" t="s">
        <v>3341</v>
      </c>
      <c r="M914" s="17">
        <v>7</v>
      </c>
      <c r="N914" t="s">
        <v>37</v>
      </c>
      <c r="O914" s="24" t="s">
        <v>38</v>
      </c>
      <c r="P914" s="19">
        <v>279.38</v>
      </c>
      <c r="Q914" s="26" t="str">
        <f>IF(OR(P914&lt;'Descriptive Statistics'!$H$17,P914&gt;'Descriptive Statistics'!$H$18),"Potential Outlier","Within Range")</f>
        <v>Within Range</v>
      </c>
      <c r="R914" s="26" t="str">
        <f>IF(OR(G914&lt;'Descriptive Statistics'!$I$17,G914&gt;'Descriptive Statistics'!$I$18),"Potential Outlier","Within Range")</f>
        <v>Within Range</v>
      </c>
      <c r="S914" s="26" t="str">
        <f>IF(OR(H914&lt;'Descriptive Statistics'!$J$17,H914&gt;'Descriptive Statistics'!$J$18),"Potential Outlier","Within Range")</f>
        <v>Within Range</v>
      </c>
    </row>
    <row r="915" hidden="1" spans="1:19">
      <c r="A915" t="s">
        <v>3342</v>
      </c>
      <c r="B915" s="23">
        <v>44973</v>
      </c>
      <c r="C915" s="23" t="str">
        <f t="shared" si="28"/>
        <v>Feb</v>
      </c>
      <c r="D915" s="23" t="str">
        <f t="shared" si="29"/>
        <v>2023</v>
      </c>
      <c r="E915" t="s">
        <v>3343</v>
      </c>
      <c r="F915" s="24" t="s">
        <v>48</v>
      </c>
      <c r="G915" s="17">
        <v>5</v>
      </c>
      <c r="H915" s="19">
        <v>475.95</v>
      </c>
      <c r="I915" t="s">
        <v>787</v>
      </c>
      <c r="J915" s="24" t="s">
        <v>34</v>
      </c>
      <c r="K915" s="24" t="s">
        <v>43</v>
      </c>
      <c r="L915" t="s">
        <v>3344</v>
      </c>
      <c r="M915" s="17">
        <v>8</v>
      </c>
      <c r="N915" t="s">
        <v>81</v>
      </c>
      <c r="O915" s="24" t="s">
        <v>45</v>
      </c>
      <c r="P915" s="19">
        <v>2379.75</v>
      </c>
      <c r="Q915" s="26" t="str">
        <f>IF(OR(P915&lt;'Descriptive Statistics'!$H$17,P915&gt;'Descriptive Statistics'!$H$18),"Potential Outlier","Within Range")</f>
        <v>Within Range</v>
      </c>
      <c r="R915" s="26" t="str">
        <f>IF(OR(G915&lt;'Descriptive Statistics'!$I$17,G915&gt;'Descriptive Statistics'!$I$18),"Potential Outlier","Within Range")</f>
        <v>Within Range</v>
      </c>
      <c r="S915" s="26" t="str">
        <f>IF(OR(H915&lt;'Descriptive Statistics'!$J$17,H915&gt;'Descriptive Statistics'!$J$18),"Potential Outlier","Within Range")</f>
        <v>Within Range</v>
      </c>
    </row>
    <row r="916" hidden="1" spans="1:19">
      <c r="A916" t="s">
        <v>3345</v>
      </c>
      <c r="B916" s="23">
        <v>45698</v>
      </c>
      <c r="C916" s="23" t="str">
        <f t="shared" si="28"/>
        <v>Feb</v>
      </c>
      <c r="D916" s="23" t="str">
        <f t="shared" si="29"/>
        <v>2025</v>
      </c>
      <c r="E916" t="s">
        <v>3346</v>
      </c>
      <c r="F916" s="24" t="s">
        <v>73</v>
      </c>
      <c r="G916" s="17">
        <v>1</v>
      </c>
      <c r="H916" s="19">
        <v>626.6</v>
      </c>
      <c r="I916" t="s">
        <v>1693</v>
      </c>
      <c r="J916" s="24" t="s">
        <v>60</v>
      </c>
      <c r="K916" s="24" t="s">
        <v>43</v>
      </c>
      <c r="L916" t="s">
        <v>3347</v>
      </c>
      <c r="M916" s="17">
        <v>4</v>
      </c>
      <c r="N916" t="s">
        <v>81</v>
      </c>
      <c r="O916" s="24" t="s">
        <v>45</v>
      </c>
      <c r="P916" s="19">
        <v>626.6</v>
      </c>
      <c r="Q916" s="26" t="str">
        <f>IF(OR(P916&lt;'Descriptive Statistics'!$H$17,P916&gt;'Descriptive Statistics'!$H$18),"Potential Outlier","Within Range")</f>
        <v>Within Range</v>
      </c>
      <c r="R916" s="26" t="str">
        <f>IF(OR(G916&lt;'Descriptive Statistics'!$I$17,G916&gt;'Descriptive Statistics'!$I$18),"Potential Outlier","Within Range")</f>
        <v>Within Range</v>
      </c>
      <c r="S916" s="26" t="str">
        <f>IF(OR(H916&lt;'Descriptive Statistics'!$J$17,H916&gt;'Descriptive Statistics'!$J$18),"Potential Outlier","Within Range")</f>
        <v>Within Range</v>
      </c>
    </row>
    <row r="917" hidden="1" spans="1:19">
      <c r="A917" t="s">
        <v>3348</v>
      </c>
      <c r="B917" s="23">
        <v>45338</v>
      </c>
      <c r="C917" s="23" t="str">
        <f t="shared" si="28"/>
        <v>Feb</v>
      </c>
      <c r="D917" s="23" t="str">
        <f t="shared" si="29"/>
        <v>2024</v>
      </c>
      <c r="E917" t="s">
        <v>3349</v>
      </c>
      <c r="F917" s="24" t="s">
        <v>58</v>
      </c>
      <c r="G917" s="17">
        <v>4</v>
      </c>
      <c r="H917" s="19">
        <v>502.99</v>
      </c>
      <c r="I917" t="s">
        <v>3350</v>
      </c>
      <c r="J917" s="24" t="s">
        <v>18</v>
      </c>
      <c r="K917" s="24" t="s">
        <v>19</v>
      </c>
      <c r="L917" t="s">
        <v>3351</v>
      </c>
      <c r="M917" s="17">
        <v>4</v>
      </c>
      <c r="N917" t="s">
        <v>81</v>
      </c>
      <c r="O917" s="24" t="s">
        <v>29</v>
      </c>
      <c r="P917" s="19">
        <v>2011.96</v>
      </c>
      <c r="Q917" s="26" t="str">
        <f>IF(OR(P917&lt;'Descriptive Statistics'!$H$17,P917&gt;'Descriptive Statistics'!$H$18),"Potential Outlier","Within Range")</f>
        <v>Within Range</v>
      </c>
      <c r="R917" s="26" t="str">
        <f>IF(OR(G917&lt;'Descriptive Statistics'!$I$17,G917&gt;'Descriptive Statistics'!$I$18),"Potential Outlier","Within Range")</f>
        <v>Within Range</v>
      </c>
      <c r="S917" s="26" t="str">
        <f>IF(OR(H917&lt;'Descriptive Statistics'!$J$17,H917&gt;'Descriptive Statistics'!$J$18),"Potential Outlier","Within Range")</f>
        <v>Within Range</v>
      </c>
    </row>
    <row r="918" hidden="1" spans="1:19">
      <c r="A918" t="s">
        <v>3352</v>
      </c>
      <c r="B918" s="23">
        <v>45464</v>
      </c>
      <c r="C918" s="23" t="str">
        <f t="shared" si="28"/>
        <v>Jun</v>
      </c>
      <c r="D918" s="23" t="str">
        <f t="shared" si="29"/>
        <v>2024</v>
      </c>
      <c r="E918" t="s">
        <v>3353</v>
      </c>
      <c r="F918" s="24" t="s">
        <v>48</v>
      </c>
      <c r="G918" s="17">
        <v>5</v>
      </c>
      <c r="H918" s="19">
        <v>578.83</v>
      </c>
      <c r="I918" t="s">
        <v>2845</v>
      </c>
      <c r="J918" s="24" t="s">
        <v>65</v>
      </c>
      <c r="K918" s="24" t="s">
        <v>43</v>
      </c>
      <c r="L918" t="s">
        <v>3354</v>
      </c>
      <c r="M918" s="17">
        <v>6</v>
      </c>
      <c r="N918" t="s">
        <v>4295</v>
      </c>
      <c r="O918" s="24" t="s">
        <v>29</v>
      </c>
      <c r="P918" s="19">
        <v>2894.15</v>
      </c>
      <c r="Q918" s="26" t="str">
        <f>IF(OR(P918&lt;'Descriptive Statistics'!$H$17,P918&gt;'Descriptive Statistics'!$H$18),"Potential Outlier","Within Range")</f>
        <v>Within Range</v>
      </c>
      <c r="R918" s="26" t="str">
        <f>IF(OR(G918&lt;'Descriptive Statistics'!$I$17,G918&gt;'Descriptive Statistics'!$I$18),"Potential Outlier","Within Range")</f>
        <v>Within Range</v>
      </c>
      <c r="S918" s="26" t="str">
        <f>IF(OR(H918&lt;'Descriptive Statistics'!$J$17,H918&gt;'Descriptive Statistics'!$J$18),"Potential Outlier","Within Range")</f>
        <v>Within Range</v>
      </c>
    </row>
    <row r="919" hidden="1" spans="1:19">
      <c r="A919" t="s">
        <v>3355</v>
      </c>
      <c r="B919" s="23">
        <v>45677</v>
      </c>
      <c r="C919" s="23" t="str">
        <f t="shared" si="28"/>
        <v>Jan</v>
      </c>
      <c r="D919" s="23" t="str">
        <f t="shared" si="29"/>
        <v>2025</v>
      </c>
      <c r="E919" t="s">
        <v>3356</v>
      </c>
      <c r="F919" s="24" t="s">
        <v>58</v>
      </c>
      <c r="G919" s="17">
        <v>5</v>
      </c>
      <c r="H919" s="19">
        <v>383.82</v>
      </c>
      <c r="I919" t="s">
        <v>3357</v>
      </c>
      <c r="J919" s="24" t="s">
        <v>34</v>
      </c>
      <c r="K919" s="24" t="s">
        <v>43</v>
      </c>
      <c r="L919" t="s">
        <v>3358</v>
      </c>
      <c r="M919" s="17">
        <v>7</v>
      </c>
      <c r="N919" t="s">
        <v>37</v>
      </c>
      <c r="O919" s="24" t="s">
        <v>76</v>
      </c>
      <c r="P919" s="19">
        <v>1919.1</v>
      </c>
      <c r="Q919" s="26" t="str">
        <f>IF(OR(P919&lt;'Descriptive Statistics'!$H$17,P919&gt;'Descriptive Statistics'!$H$18),"Potential Outlier","Within Range")</f>
        <v>Within Range</v>
      </c>
      <c r="R919" s="26" t="str">
        <f>IF(OR(G919&lt;'Descriptive Statistics'!$I$17,G919&gt;'Descriptive Statistics'!$I$18),"Potential Outlier","Within Range")</f>
        <v>Within Range</v>
      </c>
      <c r="S919" s="26" t="str">
        <f>IF(OR(H919&lt;'Descriptive Statistics'!$J$17,H919&gt;'Descriptive Statistics'!$J$18),"Potential Outlier","Within Range")</f>
        <v>Within Range</v>
      </c>
    </row>
    <row r="920" hidden="1" spans="1:19">
      <c r="A920" t="s">
        <v>3359</v>
      </c>
      <c r="B920" s="23">
        <v>45832</v>
      </c>
      <c r="C920" s="23" t="str">
        <f t="shared" si="28"/>
        <v>Jun</v>
      </c>
      <c r="D920" s="23" t="str">
        <f t="shared" si="29"/>
        <v>2025</v>
      </c>
      <c r="E920" t="s">
        <v>3360</v>
      </c>
      <c r="F920" s="24" t="s">
        <v>58</v>
      </c>
      <c r="G920" s="17">
        <v>5</v>
      </c>
      <c r="H920" s="19">
        <v>368.25</v>
      </c>
      <c r="I920" t="s">
        <v>64</v>
      </c>
      <c r="J920" s="24" t="s">
        <v>27</v>
      </c>
      <c r="K920" s="24" t="s">
        <v>50</v>
      </c>
      <c r="L920" t="s">
        <v>3361</v>
      </c>
      <c r="M920" s="17">
        <v>5</v>
      </c>
      <c r="N920" t="s">
        <v>4295</v>
      </c>
      <c r="O920" s="24" t="s">
        <v>22</v>
      </c>
      <c r="P920" s="19">
        <v>1841.25</v>
      </c>
      <c r="Q920" s="26" t="str">
        <f>IF(OR(P920&lt;'Descriptive Statistics'!$H$17,P920&gt;'Descriptive Statistics'!$H$18),"Potential Outlier","Within Range")</f>
        <v>Within Range</v>
      </c>
      <c r="R920" s="26" t="str">
        <f>IF(OR(G920&lt;'Descriptive Statistics'!$I$17,G920&gt;'Descriptive Statistics'!$I$18),"Potential Outlier","Within Range")</f>
        <v>Within Range</v>
      </c>
      <c r="S920" s="26" t="str">
        <f>IF(OR(H920&lt;'Descriptive Statistics'!$J$17,H920&gt;'Descriptive Statistics'!$J$18),"Potential Outlier","Within Range")</f>
        <v>Within Range</v>
      </c>
    </row>
    <row r="921" hidden="1" spans="1:19">
      <c r="A921" t="s">
        <v>3362</v>
      </c>
      <c r="B921" s="23">
        <v>45695</v>
      </c>
      <c r="C921" s="23" t="str">
        <f t="shared" si="28"/>
        <v>Feb</v>
      </c>
      <c r="D921" s="23" t="str">
        <f t="shared" si="29"/>
        <v>2025</v>
      </c>
      <c r="E921" t="s">
        <v>3363</v>
      </c>
      <c r="F921" s="24" t="s">
        <v>48</v>
      </c>
      <c r="G921" s="17">
        <v>2</v>
      </c>
      <c r="H921" s="19">
        <v>374.6</v>
      </c>
      <c r="I921" t="s">
        <v>510</v>
      </c>
      <c r="J921" s="24" t="s">
        <v>27</v>
      </c>
      <c r="K921" s="24" t="s">
        <v>19</v>
      </c>
      <c r="L921" t="s">
        <v>3364</v>
      </c>
      <c r="M921" s="17">
        <v>3</v>
      </c>
      <c r="N921" t="s">
        <v>37</v>
      </c>
      <c r="O921" s="24" t="s">
        <v>29</v>
      </c>
      <c r="P921" s="19">
        <v>749.2</v>
      </c>
      <c r="Q921" s="26" t="str">
        <f>IF(OR(P921&lt;'Descriptive Statistics'!$H$17,P921&gt;'Descriptive Statistics'!$H$18),"Potential Outlier","Within Range")</f>
        <v>Within Range</v>
      </c>
      <c r="R921" s="26" t="str">
        <f>IF(OR(G921&lt;'Descriptive Statistics'!$I$17,G921&gt;'Descriptive Statistics'!$I$18),"Potential Outlier","Within Range")</f>
        <v>Within Range</v>
      </c>
      <c r="S921" s="26" t="str">
        <f>IF(OR(H921&lt;'Descriptive Statistics'!$J$17,H921&gt;'Descriptive Statistics'!$J$18),"Potential Outlier","Within Range")</f>
        <v>Within Range</v>
      </c>
    </row>
    <row r="922" hidden="1" spans="1:19">
      <c r="A922" t="s">
        <v>3365</v>
      </c>
      <c r="B922" s="23">
        <v>45728</v>
      </c>
      <c r="C922" s="23" t="str">
        <f t="shared" si="28"/>
        <v>Mar</v>
      </c>
      <c r="D922" s="23" t="str">
        <f t="shared" si="29"/>
        <v>2025</v>
      </c>
      <c r="E922" t="s">
        <v>3366</v>
      </c>
      <c r="F922" s="24" t="s">
        <v>32</v>
      </c>
      <c r="G922" s="17">
        <v>2</v>
      </c>
      <c r="H922" s="19">
        <v>428.09</v>
      </c>
      <c r="I922" t="s">
        <v>1244</v>
      </c>
      <c r="J922" s="24" t="s">
        <v>34</v>
      </c>
      <c r="K922" s="24" t="s">
        <v>43</v>
      </c>
      <c r="L922" t="s">
        <v>3367</v>
      </c>
      <c r="M922" s="17">
        <v>6</v>
      </c>
      <c r="N922" t="s">
        <v>4295</v>
      </c>
      <c r="O922" s="24" t="s">
        <v>22</v>
      </c>
      <c r="P922" s="19">
        <v>856.18</v>
      </c>
      <c r="Q922" s="26" t="str">
        <f>IF(OR(P922&lt;'Descriptive Statistics'!$H$17,P922&gt;'Descriptive Statistics'!$H$18),"Potential Outlier","Within Range")</f>
        <v>Within Range</v>
      </c>
      <c r="R922" s="26" t="str">
        <f>IF(OR(G922&lt;'Descriptive Statistics'!$I$17,G922&gt;'Descriptive Statistics'!$I$18),"Potential Outlier","Within Range")</f>
        <v>Within Range</v>
      </c>
      <c r="S922" s="26" t="str">
        <f>IF(OR(H922&lt;'Descriptive Statistics'!$J$17,H922&gt;'Descriptive Statistics'!$J$18),"Potential Outlier","Within Range")</f>
        <v>Within Range</v>
      </c>
    </row>
    <row r="923" hidden="1" spans="1:19">
      <c r="A923" t="s">
        <v>3368</v>
      </c>
      <c r="B923" s="23">
        <v>45131</v>
      </c>
      <c r="C923" s="23" t="str">
        <f t="shared" si="28"/>
        <v>Jul</v>
      </c>
      <c r="D923" s="23" t="str">
        <f t="shared" si="29"/>
        <v>2023</v>
      </c>
      <c r="E923" t="s">
        <v>3369</v>
      </c>
      <c r="F923" s="24" t="s">
        <v>32</v>
      </c>
      <c r="G923" s="17">
        <v>1</v>
      </c>
      <c r="H923" s="19">
        <v>438.93</v>
      </c>
      <c r="I923" t="s">
        <v>3370</v>
      </c>
      <c r="J923" s="24" t="s">
        <v>60</v>
      </c>
      <c r="K923" s="24" t="s">
        <v>35</v>
      </c>
      <c r="L923" t="s">
        <v>3371</v>
      </c>
      <c r="M923" s="17">
        <v>3</v>
      </c>
      <c r="N923" t="s">
        <v>21</v>
      </c>
      <c r="O923" s="24" t="s">
        <v>29</v>
      </c>
      <c r="P923" s="19">
        <v>438.93</v>
      </c>
      <c r="Q923" s="26" t="str">
        <f>IF(OR(P923&lt;'Descriptive Statistics'!$H$17,P923&gt;'Descriptive Statistics'!$H$18),"Potential Outlier","Within Range")</f>
        <v>Within Range</v>
      </c>
      <c r="R923" s="26" t="str">
        <f>IF(OR(G923&lt;'Descriptive Statistics'!$I$17,G923&gt;'Descriptive Statistics'!$I$18),"Potential Outlier","Within Range")</f>
        <v>Within Range</v>
      </c>
      <c r="S923" s="26" t="str">
        <f>IF(OR(H923&lt;'Descriptive Statistics'!$J$17,H923&gt;'Descriptive Statistics'!$J$18),"Potential Outlier","Within Range")</f>
        <v>Within Range</v>
      </c>
    </row>
    <row r="924" hidden="1" spans="1:19">
      <c r="A924" t="s">
        <v>3372</v>
      </c>
      <c r="B924" s="23">
        <v>45460</v>
      </c>
      <c r="C924" s="23" t="str">
        <f t="shared" si="28"/>
        <v>Jun</v>
      </c>
      <c r="D924" s="23" t="str">
        <f t="shared" si="29"/>
        <v>2024</v>
      </c>
      <c r="E924" t="s">
        <v>3373</v>
      </c>
      <c r="F924" s="24" t="s">
        <v>73</v>
      </c>
      <c r="G924" s="17">
        <v>2</v>
      </c>
      <c r="H924" s="19">
        <v>563.82</v>
      </c>
      <c r="I924" t="s">
        <v>3374</v>
      </c>
      <c r="J924" s="24" t="s">
        <v>34</v>
      </c>
      <c r="K924" s="24" t="s">
        <v>89</v>
      </c>
      <c r="L924" t="s">
        <v>3375</v>
      </c>
      <c r="M924" s="17">
        <v>3</v>
      </c>
      <c r="N924" t="s">
        <v>4295</v>
      </c>
      <c r="O924" s="24" t="s">
        <v>22</v>
      </c>
      <c r="P924" s="19">
        <v>1127.64</v>
      </c>
      <c r="Q924" s="26" t="str">
        <f>IF(OR(P924&lt;'Descriptive Statistics'!$H$17,P924&gt;'Descriptive Statistics'!$H$18),"Potential Outlier","Within Range")</f>
        <v>Within Range</v>
      </c>
      <c r="R924" s="26" t="str">
        <f>IF(OR(G924&lt;'Descriptive Statistics'!$I$17,G924&gt;'Descriptive Statistics'!$I$18),"Potential Outlier","Within Range")</f>
        <v>Within Range</v>
      </c>
      <c r="S924" s="26" t="str">
        <f>IF(OR(H924&lt;'Descriptive Statistics'!$J$17,H924&gt;'Descriptive Statistics'!$J$18),"Potential Outlier","Within Range")</f>
        <v>Within Range</v>
      </c>
    </row>
    <row r="925" hidden="1" spans="1:19">
      <c r="A925" t="s">
        <v>3376</v>
      </c>
      <c r="B925" s="23">
        <v>44968</v>
      </c>
      <c r="C925" s="23" t="str">
        <f t="shared" si="28"/>
        <v>Feb</v>
      </c>
      <c r="D925" s="23" t="str">
        <f t="shared" si="29"/>
        <v>2023</v>
      </c>
      <c r="E925" t="s">
        <v>3377</v>
      </c>
      <c r="F925" s="24" t="s">
        <v>48</v>
      </c>
      <c r="G925" s="17">
        <v>3</v>
      </c>
      <c r="H925" s="19">
        <v>649.93</v>
      </c>
      <c r="I925" t="s">
        <v>3357</v>
      </c>
      <c r="J925" s="24" t="s">
        <v>34</v>
      </c>
      <c r="K925" s="24" t="s">
        <v>89</v>
      </c>
      <c r="L925" t="s">
        <v>3378</v>
      </c>
      <c r="M925" s="17">
        <v>7</v>
      </c>
      <c r="N925" t="s">
        <v>81</v>
      </c>
      <c r="O925" s="24" t="s">
        <v>45</v>
      </c>
      <c r="P925" s="19">
        <v>1949.79</v>
      </c>
      <c r="Q925" s="26" t="str">
        <f>IF(OR(P925&lt;'Descriptive Statistics'!$H$17,P925&gt;'Descriptive Statistics'!$H$18),"Potential Outlier","Within Range")</f>
        <v>Within Range</v>
      </c>
      <c r="R925" s="26" t="str">
        <f>IF(OR(G925&lt;'Descriptive Statistics'!$I$17,G925&gt;'Descriptive Statistics'!$I$18),"Potential Outlier","Within Range")</f>
        <v>Within Range</v>
      </c>
      <c r="S925" s="26" t="str">
        <f>IF(OR(H925&lt;'Descriptive Statistics'!$J$17,H925&gt;'Descriptive Statistics'!$J$18),"Potential Outlier","Within Range")</f>
        <v>Within Range</v>
      </c>
    </row>
    <row r="926" hidden="1" spans="1:19">
      <c r="A926" t="s">
        <v>3379</v>
      </c>
      <c r="B926" s="23">
        <v>45738</v>
      </c>
      <c r="C926" s="23" t="str">
        <f t="shared" si="28"/>
        <v>Mar</v>
      </c>
      <c r="D926" s="23" t="str">
        <f t="shared" si="29"/>
        <v>2025</v>
      </c>
      <c r="E926" t="s">
        <v>3380</v>
      </c>
      <c r="F926" s="24" t="s">
        <v>48</v>
      </c>
      <c r="G926" s="17">
        <v>5</v>
      </c>
      <c r="H926" s="19">
        <v>268.43</v>
      </c>
      <c r="I926" t="s">
        <v>1996</v>
      </c>
      <c r="J926" s="24" t="s">
        <v>65</v>
      </c>
      <c r="K926" s="24" t="s">
        <v>43</v>
      </c>
      <c r="L926" t="s">
        <v>3381</v>
      </c>
      <c r="M926" s="17">
        <v>5</v>
      </c>
      <c r="N926" t="s">
        <v>21</v>
      </c>
      <c r="O926" s="24" t="s">
        <v>38</v>
      </c>
      <c r="P926" s="19">
        <v>1342.15</v>
      </c>
      <c r="Q926" s="26" t="str">
        <f>IF(OR(P926&lt;'Descriptive Statistics'!$H$17,P926&gt;'Descriptive Statistics'!$H$18),"Potential Outlier","Within Range")</f>
        <v>Within Range</v>
      </c>
      <c r="R926" s="26" t="str">
        <f>IF(OR(G926&lt;'Descriptive Statistics'!$I$17,G926&gt;'Descriptive Statistics'!$I$18),"Potential Outlier","Within Range")</f>
        <v>Within Range</v>
      </c>
      <c r="S926" s="26" t="str">
        <f>IF(OR(H926&lt;'Descriptive Statistics'!$J$17,H926&gt;'Descriptive Statistics'!$J$18),"Potential Outlier","Within Range")</f>
        <v>Within Range</v>
      </c>
    </row>
    <row r="927" hidden="1" spans="1:19">
      <c r="A927" t="s">
        <v>3382</v>
      </c>
      <c r="B927" s="23">
        <v>45646</v>
      </c>
      <c r="C927" s="23" t="str">
        <f t="shared" si="28"/>
        <v>Dec</v>
      </c>
      <c r="D927" s="23" t="str">
        <f t="shared" si="29"/>
        <v>2024</v>
      </c>
      <c r="E927" t="s">
        <v>3383</v>
      </c>
      <c r="F927" s="24" t="s">
        <v>16</v>
      </c>
      <c r="G927" s="17">
        <v>5</v>
      </c>
      <c r="H927" s="19">
        <v>502.47</v>
      </c>
      <c r="I927" t="s">
        <v>1564</v>
      </c>
      <c r="J927" s="24" t="s">
        <v>27</v>
      </c>
      <c r="K927" s="24" t="s">
        <v>19</v>
      </c>
      <c r="L927" t="s">
        <v>3384</v>
      </c>
      <c r="M927" s="17">
        <v>10</v>
      </c>
      <c r="N927" t="s">
        <v>81</v>
      </c>
      <c r="O927" s="24" t="s">
        <v>38</v>
      </c>
      <c r="P927" s="19">
        <v>2512.35</v>
      </c>
      <c r="Q927" s="26" t="str">
        <f>IF(OR(P927&lt;'Descriptive Statistics'!$H$17,P927&gt;'Descriptive Statistics'!$H$18),"Potential Outlier","Within Range")</f>
        <v>Within Range</v>
      </c>
      <c r="R927" s="26" t="str">
        <f>IF(OR(G927&lt;'Descriptive Statistics'!$I$17,G927&gt;'Descriptive Statistics'!$I$18),"Potential Outlier","Within Range")</f>
        <v>Within Range</v>
      </c>
      <c r="S927" s="26" t="str">
        <f>IF(OR(H927&lt;'Descriptive Statistics'!$J$17,H927&gt;'Descriptive Statistics'!$J$18),"Potential Outlier","Within Range")</f>
        <v>Within Range</v>
      </c>
    </row>
    <row r="928" hidden="1" spans="1:19">
      <c r="A928" t="s">
        <v>3385</v>
      </c>
      <c r="B928" s="23">
        <v>45371</v>
      </c>
      <c r="C928" s="23" t="str">
        <f t="shared" si="28"/>
        <v>Mar</v>
      </c>
      <c r="D928" s="23" t="str">
        <f t="shared" si="29"/>
        <v>2024</v>
      </c>
      <c r="E928" t="s">
        <v>3386</v>
      </c>
      <c r="F928" s="24" t="s">
        <v>73</v>
      </c>
      <c r="G928" s="17">
        <v>1</v>
      </c>
      <c r="H928" s="19">
        <v>26.95</v>
      </c>
      <c r="I928" t="s">
        <v>1815</v>
      </c>
      <c r="J928" s="24" t="s">
        <v>65</v>
      </c>
      <c r="K928" s="24" t="s">
        <v>50</v>
      </c>
      <c r="L928" t="s">
        <v>3387</v>
      </c>
      <c r="M928" s="17">
        <v>1</v>
      </c>
      <c r="N928" t="s">
        <v>81</v>
      </c>
      <c r="O928" s="24" t="s">
        <v>38</v>
      </c>
      <c r="P928" s="19">
        <v>26.95</v>
      </c>
      <c r="Q928" s="26" t="str">
        <f>IF(OR(P928&lt;'Descriptive Statistics'!$H$17,P928&gt;'Descriptive Statistics'!$H$18),"Potential Outlier","Within Range")</f>
        <v>Within Range</v>
      </c>
      <c r="R928" s="26" t="str">
        <f>IF(OR(G928&lt;'Descriptive Statistics'!$I$17,G928&gt;'Descriptive Statistics'!$I$18),"Potential Outlier","Within Range")</f>
        <v>Within Range</v>
      </c>
      <c r="S928" s="26" t="str">
        <f>IF(OR(H928&lt;'Descriptive Statistics'!$J$17,H928&gt;'Descriptive Statistics'!$J$18),"Potential Outlier","Within Range")</f>
        <v>Within Range</v>
      </c>
    </row>
    <row r="929" hidden="1" spans="1:19">
      <c r="A929" t="s">
        <v>3388</v>
      </c>
      <c r="B929" s="23">
        <v>44971</v>
      </c>
      <c r="C929" s="23" t="str">
        <f t="shared" si="28"/>
        <v>Feb</v>
      </c>
      <c r="D929" s="23" t="str">
        <f t="shared" si="29"/>
        <v>2023</v>
      </c>
      <c r="E929" t="s">
        <v>3389</v>
      </c>
      <c r="F929" s="24" t="s">
        <v>58</v>
      </c>
      <c r="G929" s="17">
        <v>4</v>
      </c>
      <c r="H929" s="19">
        <v>64.69</v>
      </c>
      <c r="I929" t="s">
        <v>2557</v>
      </c>
      <c r="J929" s="24" t="s">
        <v>18</v>
      </c>
      <c r="K929" s="24" t="s">
        <v>19</v>
      </c>
      <c r="L929" t="s">
        <v>3390</v>
      </c>
      <c r="M929" s="17">
        <v>7</v>
      </c>
      <c r="N929" t="s">
        <v>81</v>
      </c>
      <c r="O929" s="24" t="s">
        <v>76</v>
      </c>
      <c r="P929" s="19">
        <v>258.76</v>
      </c>
      <c r="Q929" s="26" t="str">
        <f>IF(OR(P929&lt;'Descriptive Statistics'!$H$17,P929&gt;'Descriptive Statistics'!$H$18),"Potential Outlier","Within Range")</f>
        <v>Within Range</v>
      </c>
      <c r="R929" s="26" t="str">
        <f>IF(OR(G929&lt;'Descriptive Statistics'!$I$17,G929&gt;'Descriptive Statistics'!$I$18),"Potential Outlier","Within Range")</f>
        <v>Within Range</v>
      </c>
      <c r="S929" s="26" t="str">
        <f>IF(OR(H929&lt;'Descriptive Statistics'!$J$17,H929&gt;'Descriptive Statistics'!$J$18),"Potential Outlier","Within Range")</f>
        <v>Within Range</v>
      </c>
    </row>
    <row r="930" hidden="1" spans="1:19">
      <c r="A930" t="s">
        <v>3391</v>
      </c>
      <c r="B930" s="23">
        <v>45421</v>
      </c>
      <c r="C930" s="23" t="str">
        <f t="shared" si="28"/>
        <v>May</v>
      </c>
      <c r="D930" s="23" t="str">
        <f t="shared" si="29"/>
        <v>2024</v>
      </c>
      <c r="E930" t="s">
        <v>3392</v>
      </c>
      <c r="F930" s="24" t="s">
        <v>58</v>
      </c>
      <c r="G930" s="17">
        <v>3</v>
      </c>
      <c r="H930" s="19">
        <v>247.11</v>
      </c>
      <c r="I930" t="s">
        <v>1015</v>
      </c>
      <c r="J930" s="24" t="s">
        <v>18</v>
      </c>
      <c r="K930" s="24" t="s">
        <v>43</v>
      </c>
      <c r="L930" t="s">
        <v>3393</v>
      </c>
      <c r="M930" s="17">
        <v>3</v>
      </c>
      <c r="N930" t="s">
        <v>81</v>
      </c>
      <c r="O930" s="24" t="s">
        <v>29</v>
      </c>
      <c r="P930" s="19">
        <v>741.33</v>
      </c>
      <c r="Q930" s="26" t="str">
        <f>IF(OR(P930&lt;'Descriptive Statistics'!$H$17,P930&gt;'Descriptive Statistics'!$H$18),"Potential Outlier","Within Range")</f>
        <v>Within Range</v>
      </c>
      <c r="R930" s="26" t="str">
        <f>IF(OR(G930&lt;'Descriptive Statistics'!$I$17,G930&gt;'Descriptive Statistics'!$I$18),"Potential Outlier","Within Range")</f>
        <v>Within Range</v>
      </c>
      <c r="S930" s="26" t="str">
        <f>IF(OR(H930&lt;'Descriptive Statistics'!$J$17,H930&gt;'Descriptive Statistics'!$J$18),"Potential Outlier","Within Range")</f>
        <v>Within Range</v>
      </c>
    </row>
    <row r="931" hidden="1" spans="1:19">
      <c r="A931" t="s">
        <v>3394</v>
      </c>
      <c r="B931" s="23">
        <v>45581</v>
      </c>
      <c r="C931" s="23" t="str">
        <f t="shared" si="28"/>
        <v>Oct</v>
      </c>
      <c r="D931" s="23" t="str">
        <f t="shared" si="29"/>
        <v>2024</v>
      </c>
      <c r="E931" t="s">
        <v>3395</v>
      </c>
      <c r="F931" s="24" t="s">
        <v>32</v>
      </c>
      <c r="G931" s="17">
        <v>2</v>
      </c>
      <c r="H931" s="19">
        <v>536.25</v>
      </c>
      <c r="I931" t="s">
        <v>727</v>
      </c>
      <c r="J931" s="24" t="s">
        <v>18</v>
      </c>
      <c r="K931" s="24" t="s">
        <v>89</v>
      </c>
      <c r="L931" t="s">
        <v>3396</v>
      </c>
      <c r="M931" s="17">
        <v>3</v>
      </c>
      <c r="N931" t="s">
        <v>4295</v>
      </c>
      <c r="O931" s="24" t="s">
        <v>38</v>
      </c>
      <c r="P931" s="19">
        <v>1072.5</v>
      </c>
      <c r="Q931" s="26" t="str">
        <f>IF(OR(P931&lt;'Descriptive Statistics'!$H$17,P931&gt;'Descriptive Statistics'!$H$18),"Potential Outlier","Within Range")</f>
        <v>Within Range</v>
      </c>
      <c r="R931" s="26" t="str">
        <f>IF(OR(G931&lt;'Descriptive Statistics'!$I$17,G931&gt;'Descriptive Statistics'!$I$18),"Potential Outlier","Within Range")</f>
        <v>Within Range</v>
      </c>
      <c r="S931" s="26" t="str">
        <f>IF(OR(H931&lt;'Descriptive Statistics'!$J$17,H931&gt;'Descriptive Statistics'!$J$18),"Potential Outlier","Within Range")</f>
        <v>Within Range</v>
      </c>
    </row>
    <row r="932" hidden="1" spans="1:19">
      <c r="A932" t="s">
        <v>3397</v>
      </c>
      <c r="B932" s="23">
        <v>45642</v>
      </c>
      <c r="C932" s="23" t="str">
        <f t="shared" si="28"/>
        <v>Dec</v>
      </c>
      <c r="D932" s="23" t="str">
        <f t="shared" si="29"/>
        <v>2024</v>
      </c>
      <c r="E932" t="s">
        <v>3398</v>
      </c>
      <c r="F932" s="24" t="s">
        <v>25</v>
      </c>
      <c r="G932" s="17">
        <v>2</v>
      </c>
      <c r="H932" s="19">
        <v>456.04</v>
      </c>
      <c r="I932" t="s">
        <v>109</v>
      </c>
      <c r="J932" s="24" t="s">
        <v>18</v>
      </c>
      <c r="K932" s="24" t="s">
        <v>43</v>
      </c>
      <c r="L932" t="s">
        <v>3399</v>
      </c>
      <c r="M932" s="17">
        <v>4</v>
      </c>
      <c r="N932" t="s">
        <v>37</v>
      </c>
      <c r="O932" s="24" t="s">
        <v>38</v>
      </c>
      <c r="P932" s="19">
        <v>912.08</v>
      </c>
      <c r="Q932" s="26" t="str">
        <f>IF(OR(P932&lt;'Descriptive Statistics'!$H$17,P932&gt;'Descriptive Statistics'!$H$18),"Potential Outlier","Within Range")</f>
        <v>Within Range</v>
      </c>
      <c r="R932" s="26" t="str">
        <f>IF(OR(G932&lt;'Descriptive Statistics'!$I$17,G932&gt;'Descriptive Statistics'!$I$18),"Potential Outlier","Within Range")</f>
        <v>Within Range</v>
      </c>
      <c r="S932" s="26" t="str">
        <f>IF(OR(H932&lt;'Descriptive Statistics'!$J$17,H932&gt;'Descriptive Statistics'!$J$18),"Potential Outlier","Within Range")</f>
        <v>Within Range</v>
      </c>
    </row>
    <row r="933" hidden="1" spans="1:19">
      <c r="A933" t="s">
        <v>3400</v>
      </c>
      <c r="B933" s="23">
        <v>45292</v>
      </c>
      <c r="C933" s="23" t="str">
        <f t="shared" si="28"/>
        <v>Jan</v>
      </c>
      <c r="D933" s="23" t="str">
        <f t="shared" si="29"/>
        <v>2024</v>
      </c>
      <c r="E933" t="s">
        <v>3401</v>
      </c>
      <c r="F933" s="24" t="s">
        <v>48</v>
      </c>
      <c r="G933" s="17">
        <v>2</v>
      </c>
      <c r="H933" s="19">
        <v>40.23</v>
      </c>
      <c r="I933" t="s">
        <v>253</v>
      </c>
      <c r="J933" s="24" t="s">
        <v>34</v>
      </c>
      <c r="K933" s="24" t="s">
        <v>35</v>
      </c>
      <c r="L933" t="s">
        <v>3402</v>
      </c>
      <c r="M933" s="17">
        <v>4</v>
      </c>
      <c r="N933" t="s">
        <v>21</v>
      </c>
      <c r="O933" s="24" t="s">
        <v>76</v>
      </c>
      <c r="P933" s="19">
        <v>80.46</v>
      </c>
      <c r="Q933" s="26" t="str">
        <f>IF(OR(P933&lt;'Descriptive Statistics'!$H$17,P933&gt;'Descriptive Statistics'!$H$18),"Potential Outlier","Within Range")</f>
        <v>Within Range</v>
      </c>
      <c r="R933" s="26" t="str">
        <f>IF(OR(G933&lt;'Descriptive Statistics'!$I$17,G933&gt;'Descriptive Statistics'!$I$18),"Potential Outlier","Within Range")</f>
        <v>Within Range</v>
      </c>
      <c r="S933" s="26" t="str">
        <f>IF(OR(H933&lt;'Descriptive Statistics'!$J$17,H933&gt;'Descriptive Statistics'!$J$18),"Potential Outlier","Within Range")</f>
        <v>Within Range</v>
      </c>
    </row>
    <row r="934" hidden="1" spans="1:19">
      <c r="A934" t="s">
        <v>3403</v>
      </c>
      <c r="B934" s="23">
        <v>45011</v>
      </c>
      <c r="C934" s="23" t="str">
        <f t="shared" si="28"/>
        <v>Mar</v>
      </c>
      <c r="D934" s="23" t="str">
        <f t="shared" si="29"/>
        <v>2023</v>
      </c>
      <c r="E934" t="s">
        <v>3404</v>
      </c>
      <c r="F934" s="24" t="s">
        <v>58</v>
      </c>
      <c r="G934" s="17">
        <v>2</v>
      </c>
      <c r="H934" s="19">
        <v>72.39</v>
      </c>
      <c r="I934" t="s">
        <v>3405</v>
      </c>
      <c r="J934" s="24" t="s">
        <v>27</v>
      </c>
      <c r="K934" s="24" t="s">
        <v>50</v>
      </c>
      <c r="L934" t="s">
        <v>3406</v>
      </c>
      <c r="M934" s="17">
        <v>7</v>
      </c>
      <c r="N934" t="s">
        <v>81</v>
      </c>
      <c r="O934" s="24" t="s">
        <v>22</v>
      </c>
      <c r="P934" s="19">
        <v>144.78</v>
      </c>
      <c r="Q934" s="26" t="str">
        <f>IF(OR(P934&lt;'Descriptive Statistics'!$H$17,P934&gt;'Descriptive Statistics'!$H$18),"Potential Outlier","Within Range")</f>
        <v>Within Range</v>
      </c>
      <c r="R934" s="26" t="str">
        <f>IF(OR(G934&lt;'Descriptive Statistics'!$I$17,G934&gt;'Descriptive Statistics'!$I$18),"Potential Outlier","Within Range")</f>
        <v>Within Range</v>
      </c>
      <c r="S934" s="26" t="str">
        <f>IF(OR(H934&lt;'Descriptive Statistics'!$J$17,H934&gt;'Descriptive Statistics'!$J$18),"Potential Outlier","Within Range")</f>
        <v>Within Range</v>
      </c>
    </row>
    <row r="935" hidden="1" spans="1:19">
      <c r="A935" t="s">
        <v>3407</v>
      </c>
      <c r="B935" s="23">
        <v>44952</v>
      </c>
      <c r="C935" s="23" t="str">
        <f t="shared" si="28"/>
        <v>Jan</v>
      </c>
      <c r="D935" s="23" t="str">
        <f t="shared" si="29"/>
        <v>2023</v>
      </c>
      <c r="E935" t="s">
        <v>3408</v>
      </c>
      <c r="F935" s="24" t="s">
        <v>16</v>
      </c>
      <c r="G935" s="17">
        <v>2</v>
      </c>
      <c r="H935" s="19">
        <v>394.16</v>
      </c>
      <c r="I935" t="s">
        <v>968</v>
      </c>
      <c r="J935" s="24" t="s">
        <v>27</v>
      </c>
      <c r="K935" s="24" t="s">
        <v>19</v>
      </c>
      <c r="L935" t="s">
        <v>3409</v>
      </c>
      <c r="M935" s="17">
        <v>2</v>
      </c>
      <c r="N935" t="s">
        <v>4295</v>
      </c>
      <c r="O935" s="24" t="s">
        <v>29</v>
      </c>
      <c r="P935" s="19">
        <v>788.32</v>
      </c>
      <c r="Q935" s="26" t="str">
        <f>IF(OR(P935&lt;'Descriptive Statistics'!$H$17,P935&gt;'Descriptive Statistics'!$H$18),"Potential Outlier","Within Range")</f>
        <v>Within Range</v>
      </c>
      <c r="R935" s="26" t="str">
        <f>IF(OR(G935&lt;'Descriptive Statistics'!$I$17,G935&gt;'Descriptive Statistics'!$I$18),"Potential Outlier","Within Range")</f>
        <v>Within Range</v>
      </c>
      <c r="S935" s="26" t="str">
        <f>IF(OR(H935&lt;'Descriptive Statistics'!$J$17,H935&gt;'Descriptive Statistics'!$J$18),"Potential Outlier","Within Range")</f>
        <v>Within Range</v>
      </c>
    </row>
    <row r="936" hidden="1" spans="1:19">
      <c r="A936" t="s">
        <v>3410</v>
      </c>
      <c r="B936" s="23">
        <v>45809</v>
      </c>
      <c r="C936" s="23" t="str">
        <f t="shared" si="28"/>
        <v>Jun</v>
      </c>
      <c r="D936" s="23" t="str">
        <f t="shared" si="29"/>
        <v>2025</v>
      </c>
      <c r="E936" t="s">
        <v>3411</v>
      </c>
      <c r="F936" s="24" t="s">
        <v>58</v>
      </c>
      <c r="G936" s="17">
        <v>4</v>
      </c>
      <c r="H936" s="19">
        <v>119.84</v>
      </c>
      <c r="I936" t="s">
        <v>910</v>
      </c>
      <c r="J936" s="24" t="s">
        <v>60</v>
      </c>
      <c r="K936" s="24" t="s">
        <v>19</v>
      </c>
      <c r="L936" t="s">
        <v>3412</v>
      </c>
      <c r="M936" s="17">
        <v>8</v>
      </c>
      <c r="N936" t="s">
        <v>37</v>
      </c>
      <c r="O936" s="24" t="s">
        <v>29</v>
      </c>
      <c r="P936" s="19">
        <v>479.36</v>
      </c>
      <c r="Q936" s="26" t="str">
        <f>IF(OR(P936&lt;'Descriptive Statistics'!$H$17,P936&gt;'Descriptive Statistics'!$H$18),"Potential Outlier","Within Range")</f>
        <v>Within Range</v>
      </c>
      <c r="R936" s="26" t="str">
        <f>IF(OR(G936&lt;'Descriptive Statistics'!$I$17,G936&gt;'Descriptive Statistics'!$I$18),"Potential Outlier","Within Range")</f>
        <v>Within Range</v>
      </c>
      <c r="S936" s="26" t="str">
        <f>IF(OR(H936&lt;'Descriptive Statistics'!$J$17,H936&gt;'Descriptive Statistics'!$J$18),"Potential Outlier","Within Range")</f>
        <v>Within Range</v>
      </c>
    </row>
    <row r="937" hidden="1" spans="1:19">
      <c r="A937" t="s">
        <v>3413</v>
      </c>
      <c r="B937" s="23">
        <v>45254</v>
      </c>
      <c r="C937" s="23" t="str">
        <f t="shared" si="28"/>
        <v>Nov</v>
      </c>
      <c r="D937" s="23" t="str">
        <f t="shared" si="29"/>
        <v>2023</v>
      </c>
      <c r="E937" t="s">
        <v>3414</v>
      </c>
      <c r="F937" s="24" t="s">
        <v>25</v>
      </c>
      <c r="G937" s="17">
        <v>3</v>
      </c>
      <c r="H937" s="19">
        <v>692.71</v>
      </c>
      <c r="I937" t="s">
        <v>1340</v>
      </c>
      <c r="J937" s="24" t="s">
        <v>34</v>
      </c>
      <c r="K937" s="24" t="s">
        <v>50</v>
      </c>
      <c r="L937" t="s">
        <v>3415</v>
      </c>
      <c r="M937" s="17">
        <v>3</v>
      </c>
      <c r="N937" t="s">
        <v>37</v>
      </c>
      <c r="O937" s="24" t="s">
        <v>22</v>
      </c>
      <c r="P937" s="19">
        <v>2078.13</v>
      </c>
      <c r="Q937" s="26" t="str">
        <f>IF(OR(P937&lt;'Descriptive Statistics'!$H$17,P937&gt;'Descriptive Statistics'!$H$18),"Potential Outlier","Within Range")</f>
        <v>Within Range</v>
      </c>
      <c r="R937" s="26" t="str">
        <f>IF(OR(G937&lt;'Descriptive Statistics'!$I$17,G937&gt;'Descriptive Statistics'!$I$18),"Potential Outlier","Within Range")</f>
        <v>Within Range</v>
      </c>
      <c r="S937" s="26" t="str">
        <f>IF(OR(H937&lt;'Descriptive Statistics'!$J$17,H937&gt;'Descriptive Statistics'!$J$18),"Potential Outlier","Within Range")</f>
        <v>Within Range</v>
      </c>
    </row>
    <row r="938" hidden="1" spans="1:19">
      <c r="A938" t="s">
        <v>3416</v>
      </c>
      <c r="B938" s="23">
        <v>45303</v>
      </c>
      <c r="C938" s="23" t="str">
        <f t="shared" si="28"/>
        <v>Jan</v>
      </c>
      <c r="D938" s="23" t="str">
        <f t="shared" si="29"/>
        <v>2024</v>
      </c>
      <c r="E938" t="s">
        <v>3417</v>
      </c>
      <c r="F938" s="24" t="s">
        <v>41</v>
      </c>
      <c r="G938" s="17">
        <v>4</v>
      </c>
      <c r="H938" s="19">
        <v>56.66</v>
      </c>
      <c r="I938" t="s">
        <v>659</v>
      </c>
      <c r="J938" s="24" t="s">
        <v>27</v>
      </c>
      <c r="K938" s="24" t="s">
        <v>50</v>
      </c>
      <c r="L938" t="s">
        <v>3418</v>
      </c>
      <c r="M938" s="17">
        <v>4</v>
      </c>
      <c r="N938" t="s">
        <v>21</v>
      </c>
      <c r="O938" s="24" t="s">
        <v>22</v>
      </c>
      <c r="P938" s="19">
        <v>226.64</v>
      </c>
      <c r="Q938" s="26" t="str">
        <f>IF(OR(P938&lt;'Descriptive Statistics'!$H$17,P938&gt;'Descriptive Statistics'!$H$18),"Potential Outlier","Within Range")</f>
        <v>Within Range</v>
      </c>
      <c r="R938" s="26" t="str">
        <f>IF(OR(G938&lt;'Descriptive Statistics'!$I$17,G938&gt;'Descriptive Statistics'!$I$18),"Potential Outlier","Within Range")</f>
        <v>Within Range</v>
      </c>
      <c r="S938" s="26" t="str">
        <f>IF(OR(H938&lt;'Descriptive Statistics'!$J$17,H938&gt;'Descriptive Statistics'!$J$18),"Potential Outlier","Within Range")</f>
        <v>Within Range</v>
      </c>
    </row>
    <row r="939" hidden="1" spans="1:19">
      <c r="A939" t="s">
        <v>3419</v>
      </c>
      <c r="B939" s="23">
        <v>45307</v>
      </c>
      <c r="C939" s="23" t="str">
        <f t="shared" si="28"/>
        <v>Jan</v>
      </c>
      <c r="D939" s="23" t="str">
        <f t="shared" si="29"/>
        <v>2024</v>
      </c>
      <c r="E939" t="s">
        <v>3420</v>
      </c>
      <c r="F939" s="24" t="s">
        <v>41</v>
      </c>
      <c r="G939" s="17">
        <v>2</v>
      </c>
      <c r="H939" s="19">
        <v>298.53</v>
      </c>
      <c r="I939" t="s">
        <v>1590</v>
      </c>
      <c r="J939" s="24" t="s">
        <v>18</v>
      </c>
      <c r="K939" s="24" t="s">
        <v>35</v>
      </c>
      <c r="L939" t="s">
        <v>3421</v>
      </c>
      <c r="M939" s="17">
        <v>5</v>
      </c>
      <c r="N939" t="s">
        <v>81</v>
      </c>
      <c r="O939" s="24" t="s">
        <v>38</v>
      </c>
      <c r="P939" s="19">
        <v>597.06</v>
      </c>
      <c r="Q939" s="26" t="str">
        <f>IF(OR(P939&lt;'Descriptive Statistics'!$H$17,P939&gt;'Descriptive Statistics'!$H$18),"Potential Outlier","Within Range")</f>
        <v>Within Range</v>
      </c>
      <c r="R939" s="26" t="str">
        <f>IF(OR(G939&lt;'Descriptive Statistics'!$I$17,G939&gt;'Descriptive Statistics'!$I$18),"Potential Outlier","Within Range")</f>
        <v>Within Range</v>
      </c>
      <c r="S939" s="26" t="str">
        <f>IF(OR(H939&lt;'Descriptive Statistics'!$J$17,H939&gt;'Descriptive Statistics'!$J$18),"Potential Outlier","Within Range")</f>
        <v>Within Range</v>
      </c>
    </row>
    <row r="940" hidden="1" spans="1:19">
      <c r="A940" t="s">
        <v>3422</v>
      </c>
      <c r="B940" s="23">
        <v>45119</v>
      </c>
      <c r="C940" s="23" t="str">
        <f t="shared" si="28"/>
        <v>Jul</v>
      </c>
      <c r="D940" s="23" t="str">
        <f t="shared" si="29"/>
        <v>2023</v>
      </c>
      <c r="E940" t="s">
        <v>3423</v>
      </c>
      <c r="F940" s="24" t="s">
        <v>41</v>
      </c>
      <c r="G940" s="17">
        <v>3</v>
      </c>
      <c r="H940" s="19">
        <v>331.46</v>
      </c>
      <c r="I940" t="s">
        <v>1945</v>
      </c>
      <c r="J940" s="24" t="s">
        <v>34</v>
      </c>
      <c r="K940" s="24" t="s">
        <v>35</v>
      </c>
      <c r="L940" t="s">
        <v>3424</v>
      </c>
      <c r="M940" s="17">
        <v>6</v>
      </c>
      <c r="N940" t="s">
        <v>81</v>
      </c>
      <c r="O940" s="24" t="s">
        <v>29</v>
      </c>
      <c r="P940" s="19">
        <v>994.38</v>
      </c>
      <c r="Q940" s="26" t="str">
        <f>IF(OR(P940&lt;'Descriptive Statistics'!$H$17,P940&gt;'Descriptive Statistics'!$H$18),"Potential Outlier","Within Range")</f>
        <v>Within Range</v>
      </c>
      <c r="R940" s="26" t="str">
        <f>IF(OR(G940&lt;'Descriptive Statistics'!$I$17,G940&gt;'Descriptive Statistics'!$I$18),"Potential Outlier","Within Range")</f>
        <v>Within Range</v>
      </c>
      <c r="S940" s="26" t="str">
        <f>IF(OR(H940&lt;'Descriptive Statistics'!$J$17,H940&gt;'Descriptive Statistics'!$J$18),"Potential Outlier","Within Range")</f>
        <v>Within Range</v>
      </c>
    </row>
    <row r="941" hidden="1" spans="1:19">
      <c r="A941" t="s">
        <v>3425</v>
      </c>
      <c r="B941" s="23">
        <v>45763</v>
      </c>
      <c r="C941" s="23" t="str">
        <f t="shared" si="28"/>
        <v>Apr</v>
      </c>
      <c r="D941" s="23" t="str">
        <f t="shared" si="29"/>
        <v>2025</v>
      </c>
      <c r="E941" t="s">
        <v>3426</v>
      </c>
      <c r="F941" s="24" t="s">
        <v>58</v>
      </c>
      <c r="G941" s="17">
        <v>2</v>
      </c>
      <c r="H941" s="19">
        <v>521.4</v>
      </c>
      <c r="I941" t="s">
        <v>3427</v>
      </c>
      <c r="J941" s="24" t="s">
        <v>65</v>
      </c>
      <c r="K941" s="24" t="s">
        <v>50</v>
      </c>
      <c r="L941" t="s">
        <v>3428</v>
      </c>
      <c r="M941" s="17">
        <v>7</v>
      </c>
      <c r="N941" t="s">
        <v>21</v>
      </c>
      <c r="O941" s="24" t="s">
        <v>22</v>
      </c>
      <c r="P941" s="19">
        <v>1042.8</v>
      </c>
      <c r="Q941" s="26" t="str">
        <f>IF(OR(P941&lt;'Descriptive Statistics'!$H$17,P941&gt;'Descriptive Statistics'!$H$18),"Potential Outlier","Within Range")</f>
        <v>Within Range</v>
      </c>
      <c r="R941" s="26" t="str">
        <f>IF(OR(G941&lt;'Descriptive Statistics'!$I$17,G941&gt;'Descriptive Statistics'!$I$18),"Potential Outlier","Within Range")</f>
        <v>Within Range</v>
      </c>
      <c r="S941" s="26" t="str">
        <f>IF(OR(H941&lt;'Descriptive Statistics'!$J$17,H941&gt;'Descriptive Statistics'!$J$18),"Potential Outlier","Within Range")</f>
        <v>Within Range</v>
      </c>
    </row>
    <row r="942" hidden="1" spans="1:19">
      <c r="A942" t="s">
        <v>3429</v>
      </c>
      <c r="B942" s="23">
        <v>45012</v>
      </c>
      <c r="C942" s="23" t="str">
        <f t="shared" si="28"/>
        <v>Mar</v>
      </c>
      <c r="D942" s="23" t="str">
        <f t="shared" si="29"/>
        <v>2023</v>
      </c>
      <c r="E942" t="s">
        <v>3430</v>
      </c>
      <c r="F942" s="24" t="s">
        <v>48</v>
      </c>
      <c r="G942" s="17">
        <v>4</v>
      </c>
      <c r="H942" s="19">
        <v>305.32</v>
      </c>
      <c r="I942" t="s">
        <v>3431</v>
      </c>
      <c r="J942" s="24" t="s">
        <v>27</v>
      </c>
      <c r="K942" s="24" t="s">
        <v>35</v>
      </c>
      <c r="L942" t="s">
        <v>3432</v>
      </c>
      <c r="M942" s="17">
        <v>4</v>
      </c>
      <c r="N942" t="s">
        <v>21</v>
      </c>
      <c r="O942" s="24" t="s">
        <v>76</v>
      </c>
      <c r="P942" s="19">
        <v>1221.28</v>
      </c>
      <c r="Q942" s="26" t="str">
        <f>IF(OR(P942&lt;'Descriptive Statistics'!$H$17,P942&gt;'Descriptive Statistics'!$H$18),"Potential Outlier","Within Range")</f>
        <v>Within Range</v>
      </c>
      <c r="R942" s="26" t="str">
        <f>IF(OR(G942&lt;'Descriptive Statistics'!$I$17,G942&gt;'Descriptive Statistics'!$I$18),"Potential Outlier","Within Range")</f>
        <v>Within Range</v>
      </c>
      <c r="S942" s="26" t="str">
        <f>IF(OR(H942&lt;'Descriptive Statistics'!$J$17,H942&gt;'Descriptive Statistics'!$J$18),"Potential Outlier","Within Range")</f>
        <v>Within Range</v>
      </c>
    </row>
    <row r="943" hidden="1" spans="1:19">
      <c r="A943" t="s">
        <v>3433</v>
      </c>
      <c r="B943" s="23">
        <v>45124</v>
      </c>
      <c r="C943" s="23" t="str">
        <f t="shared" si="28"/>
        <v>Jul</v>
      </c>
      <c r="D943" s="23" t="str">
        <f t="shared" si="29"/>
        <v>2023</v>
      </c>
      <c r="E943" t="s">
        <v>1700</v>
      </c>
      <c r="F943" s="24" t="s">
        <v>48</v>
      </c>
      <c r="G943" s="17">
        <v>5</v>
      </c>
      <c r="H943" s="19">
        <v>111.7</v>
      </c>
      <c r="I943" t="s">
        <v>1332</v>
      </c>
      <c r="J943" s="24" t="s">
        <v>34</v>
      </c>
      <c r="K943" s="24" t="s">
        <v>35</v>
      </c>
      <c r="L943" t="s">
        <v>3434</v>
      </c>
      <c r="M943" s="17">
        <v>9</v>
      </c>
      <c r="N943" t="s">
        <v>37</v>
      </c>
      <c r="O943" s="24" t="s">
        <v>38</v>
      </c>
      <c r="P943" s="19">
        <v>558.5</v>
      </c>
      <c r="Q943" s="26" t="str">
        <f>IF(OR(P943&lt;'Descriptive Statistics'!$H$17,P943&gt;'Descriptive Statistics'!$H$18),"Potential Outlier","Within Range")</f>
        <v>Within Range</v>
      </c>
      <c r="R943" s="26" t="str">
        <f>IF(OR(G943&lt;'Descriptive Statistics'!$I$17,G943&gt;'Descriptive Statistics'!$I$18),"Potential Outlier","Within Range")</f>
        <v>Within Range</v>
      </c>
      <c r="S943" s="26" t="str">
        <f>IF(OR(H943&lt;'Descriptive Statistics'!$J$17,H943&gt;'Descriptive Statistics'!$J$18),"Potential Outlier","Within Range")</f>
        <v>Within Range</v>
      </c>
    </row>
    <row r="944" hidden="1" spans="1:19">
      <c r="A944" t="s">
        <v>3435</v>
      </c>
      <c r="B944" s="23">
        <v>45198</v>
      </c>
      <c r="C944" s="23" t="str">
        <f t="shared" si="28"/>
        <v>Sep</v>
      </c>
      <c r="D944" s="23" t="str">
        <f t="shared" si="29"/>
        <v>2023</v>
      </c>
      <c r="E944" t="s">
        <v>3436</v>
      </c>
      <c r="F944" s="24" t="s">
        <v>32</v>
      </c>
      <c r="G944" s="17">
        <v>1</v>
      </c>
      <c r="H944" s="19">
        <v>479.76</v>
      </c>
      <c r="I944" t="s">
        <v>884</v>
      </c>
      <c r="J944" s="24" t="s">
        <v>34</v>
      </c>
      <c r="K944" s="24" t="s">
        <v>89</v>
      </c>
      <c r="L944" t="s">
        <v>3437</v>
      </c>
      <c r="M944" s="17">
        <v>1</v>
      </c>
      <c r="N944" t="s">
        <v>4295</v>
      </c>
      <c r="O944" s="24" t="s">
        <v>38</v>
      </c>
      <c r="P944" s="19">
        <v>479.76</v>
      </c>
      <c r="Q944" s="26" t="str">
        <f>IF(OR(P944&lt;'Descriptive Statistics'!$H$17,P944&gt;'Descriptive Statistics'!$H$18),"Potential Outlier","Within Range")</f>
        <v>Within Range</v>
      </c>
      <c r="R944" s="26" t="str">
        <f>IF(OR(G944&lt;'Descriptive Statistics'!$I$17,G944&gt;'Descriptive Statistics'!$I$18),"Potential Outlier","Within Range")</f>
        <v>Within Range</v>
      </c>
      <c r="S944" s="26" t="str">
        <f>IF(OR(H944&lt;'Descriptive Statistics'!$J$17,H944&gt;'Descriptive Statistics'!$J$18),"Potential Outlier","Within Range")</f>
        <v>Within Range</v>
      </c>
    </row>
    <row r="945" hidden="1" spans="1:19">
      <c r="A945" t="s">
        <v>3438</v>
      </c>
      <c r="B945" s="23">
        <v>45287</v>
      </c>
      <c r="C945" s="23" t="str">
        <f t="shared" si="28"/>
        <v>Dec</v>
      </c>
      <c r="D945" s="23" t="str">
        <f t="shared" si="29"/>
        <v>2023</v>
      </c>
      <c r="E945" t="s">
        <v>3439</v>
      </c>
      <c r="F945" s="24" t="s">
        <v>16</v>
      </c>
      <c r="G945" s="17">
        <v>3</v>
      </c>
      <c r="H945" s="19">
        <v>193.49</v>
      </c>
      <c r="I945" t="s">
        <v>3440</v>
      </c>
      <c r="J945" s="24" t="s">
        <v>60</v>
      </c>
      <c r="K945" s="24" t="s">
        <v>43</v>
      </c>
      <c r="L945" t="s">
        <v>3441</v>
      </c>
      <c r="M945" s="17">
        <v>6</v>
      </c>
      <c r="N945" t="s">
        <v>37</v>
      </c>
      <c r="O945" s="24" t="s">
        <v>45</v>
      </c>
      <c r="P945" s="19">
        <v>580.47</v>
      </c>
      <c r="Q945" s="26" t="str">
        <f>IF(OR(P945&lt;'Descriptive Statistics'!$H$17,P945&gt;'Descriptive Statistics'!$H$18),"Potential Outlier","Within Range")</f>
        <v>Within Range</v>
      </c>
      <c r="R945" s="26" t="str">
        <f>IF(OR(G945&lt;'Descriptive Statistics'!$I$17,G945&gt;'Descriptive Statistics'!$I$18),"Potential Outlier","Within Range")</f>
        <v>Within Range</v>
      </c>
      <c r="S945" s="26" t="str">
        <f>IF(OR(H945&lt;'Descriptive Statistics'!$J$17,H945&gt;'Descriptive Statistics'!$J$18),"Potential Outlier","Within Range")</f>
        <v>Within Range</v>
      </c>
    </row>
    <row r="946" hidden="1" spans="1:19">
      <c r="A946" t="s">
        <v>3442</v>
      </c>
      <c r="B946" s="23">
        <v>45642</v>
      </c>
      <c r="C946" s="23" t="str">
        <f t="shared" si="28"/>
        <v>Dec</v>
      </c>
      <c r="D946" s="23" t="str">
        <f t="shared" si="29"/>
        <v>2024</v>
      </c>
      <c r="E946" t="s">
        <v>3443</v>
      </c>
      <c r="F946" s="24" t="s">
        <v>58</v>
      </c>
      <c r="G946" s="17">
        <v>2</v>
      </c>
      <c r="H946" s="19">
        <v>426.22</v>
      </c>
      <c r="I946" t="s">
        <v>3210</v>
      </c>
      <c r="J946" s="24" t="s">
        <v>27</v>
      </c>
      <c r="K946" s="24" t="s">
        <v>50</v>
      </c>
      <c r="L946" t="s">
        <v>3444</v>
      </c>
      <c r="M946" s="17">
        <v>7</v>
      </c>
      <c r="N946" t="s">
        <v>81</v>
      </c>
      <c r="O946" s="24" t="s">
        <v>76</v>
      </c>
      <c r="P946" s="19">
        <v>852.44</v>
      </c>
      <c r="Q946" s="26" t="str">
        <f>IF(OR(P946&lt;'Descriptive Statistics'!$H$17,P946&gt;'Descriptive Statistics'!$H$18),"Potential Outlier","Within Range")</f>
        <v>Within Range</v>
      </c>
      <c r="R946" s="26" t="str">
        <f>IF(OR(G946&lt;'Descriptive Statistics'!$I$17,G946&gt;'Descriptive Statistics'!$I$18),"Potential Outlier","Within Range")</f>
        <v>Within Range</v>
      </c>
      <c r="S946" s="26" t="str">
        <f>IF(OR(H946&lt;'Descriptive Statistics'!$J$17,H946&gt;'Descriptive Statistics'!$J$18),"Potential Outlier","Within Range")</f>
        <v>Within Range</v>
      </c>
    </row>
    <row r="947" hidden="1" spans="1:19">
      <c r="A947" t="s">
        <v>3445</v>
      </c>
      <c r="B947" s="23">
        <v>45158</v>
      </c>
      <c r="C947" s="23" t="str">
        <f t="shared" si="28"/>
        <v>Aug</v>
      </c>
      <c r="D947" s="23" t="str">
        <f t="shared" si="29"/>
        <v>2023</v>
      </c>
      <c r="E947" t="s">
        <v>3446</v>
      </c>
      <c r="F947" s="24" t="s">
        <v>32</v>
      </c>
      <c r="G947" s="17">
        <v>5</v>
      </c>
      <c r="H947" s="19">
        <v>276.44</v>
      </c>
      <c r="I947" t="s">
        <v>1352</v>
      </c>
      <c r="J947" s="24" t="s">
        <v>60</v>
      </c>
      <c r="K947" s="24" t="s">
        <v>19</v>
      </c>
      <c r="L947" t="s">
        <v>3447</v>
      </c>
      <c r="M947" s="17">
        <v>10</v>
      </c>
      <c r="N947" t="s">
        <v>37</v>
      </c>
      <c r="O947" s="24" t="s">
        <v>29</v>
      </c>
      <c r="P947" s="19">
        <v>1382.2</v>
      </c>
      <c r="Q947" s="26" t="str">
        <f>IF(OR(P947&lt;'Descriptive Statistics'!$H$17,P947&gt;'Descriptive Statistics'!$H$18),"Potential Outlier","Within Range")</f>
        <v>Within Range</v>
      </c>
      <c r="R947" s="26" t="str">
        <f>IF(OR(G947&lt;'Descriptive Statistics'!$I$17,G947&gt;'Descriptive Statistics'!$I$18),"Potential Outlier","Within Range")</f>
        <v>Within Range</v>
      </c>
      <c r="S947" s="26" t="str">
        <f>IF(OR(H947&lt;'Descriptive Statistics'!$J$17,H947&gt;'Descriptive Statistics'!$J$18),"Potential Outlier","Within Range")</f>
        <v>Within Range</v>
      </c>
    </row>
    <row r="948" hidden="1" spans="1:19">
      <c r="A948" t="s">
        <v>3448</v>
      </c>
      <c r="B948" s="23">
        <v>45416</v>
      </c>
      <c r="C948" s="23" t="str">
        <f t="shared" si="28"/>
        <v>May</v>
      </c>
      <c r="D948" s="23" t="str">
        <f t="shared" si="29"/>
        <v>2024</v>
      </c>
      <c r="E948" t="s">
        <v>3449</v>
      </c>
      <c r="F948" s="24" t="s">
        <v>25</v>
      </c>
      <c r="G948" s="17">
        <v>2</v>
      </c>
      <c r="H948" s="19">
        <v>404.96</v>
      </c>
      <c r="I948" t="s">
        <v>1299</v>
      </c>
      <c r="J948" s="24" t="s">
        <v>65</v>
      </c>
      <c r="K948" s="24" t="s">
        <v>19</v>
      </c>
      <c r="L948" t="s">
        <v>3450</v>
      </c>
      <c r="M948" s="17">
        <v>4</v>
      </c>
      <c r="N948" t="s">
        <v>21</v>
      </c>
      <c r="O948" s="24" t="s">
        <v>38</v>
      </c>
      <c r="P948" s="19">
        <v>809.92</v>
      </c>
      <c r="Q948" s="26" t="str">
        <f>IF(OR(P948&lt;'Descriptive Statistics'!$H$17,P948&gt;'Descriptive Statistics'!$H$18),"Potential Outlier","Within Range")</f>
        <v>Within Range</v>
      </c>
      <c r="R948" s="26" t="str">
        <f>IF(OR(G948&lt;'Descriptive Statistics'!$I$17,G948&gt;'Descriptive Statistics'!$I$18),"Potential Outlier","Within Range")</f>
        <v>Within Range</v>
      </c>
      <c r="S948" s="26" t="str">
        <f>IF(OR(H948&lt;'Descriptive Statistics'!$J$17,H948&gt;'Descriptive Statistics'!$J$18),"Potential Outlier","Within Range")</f>
        <v>Within Range</v>
      </c>
    </row>
    <row r="949" hidden="1" spans="1:19">
      <c r="A949" t="s">
        <v>3451</v>
      </c>
      <c r="B949" s="23">
        <v>45176</v>
      </c>
      <c r="C949" s="23" t="str">
        <f t="shared" si="28"/>
        <v>Sep</v>
      </c>
      <c r="D949" s="23" t="str">
        <f t="shared" si="29"/>
        <v>2023</v>
      </c>
      <c r="E949" t="s">
        <v>3452</v>
      </c>
      <c r="F949" s="24" t="s">
        <v>25</v>
      </c>
      <c r="G949" s="17">
        <v>4</v>
      </c>
      <c r="H949" s="19">
        <v>465.66</v>
      </c>
      <c r="I949" t="s">
        <v>1089</v>
      </c>
      <c r="J949" s="24" t="s">
        <v>27</v>
      </c>
      <c r="K949" s="24" t="s">
        <v>43</v>
      </c>
      <c r="L949" t="s">
        <v>3453</v>
      </c>
      <c r="M949" s="17">
        <v>9</v>
      </c>
      <c r="N949" t="s">
        <v>37</v>
      </c>
      <c r="O949" s="24" t="s">
        <v>38</v>
      </c>
      <c r="P949" s="19">
        <v>1862.64</v>
      </c>
      <c r="Q949" s="26" t="str">
        <f>IF(OR(P949&lt;'Descriptive Statistics'!$H$17,P949&gt;'Descriptive Statistics'!$H$18),"Potential Outlier","Within Range")</f>
        <v>Within Range</v>
      </c>
      <c r="R949" s="26" t="str">
        <f>IF(OR(G949&lt;'Descriptive Statistics'!$I$17,G949&gt;'Descriptive Statistics'!$I$18),"Potential Outlier","Within Range")</f>
        <v>Within Range</v>
      </c>
      <c r="S949" s="26" t="str">
        <f>IF(OR(H949&lt;'Descriptive Statistics'!$J$17,H949&gt;'Descriptive Statistics'!$J$18),"Potential Outlier","Within Range")</f>
        <v>Within Range</v>
      </c>
    </row>
    <row r="950" hidden="1" spans="1:19">
      <c r="A950" t="s">
        <v>3454</v>
      </c>
      <c r="B950" s="23">
        <v>45464</v>
      </c>
      <c r="C950" s="23" t="str">
        <f t="shared" si="28"/>
        <v>Jun</v>
      </c>
      <c r="D950" s="23" t="str">
        <f t="shared" si="29"/>
        <v>2024</v>
      </c>
      <c r="E950" t="s">
        <v>1722</v>
      </c>
      <c r="F950" s="24" t="s">
        <v>25</v>
      </c>
      <c r="G950" s="17">
        <v>2</v>
      </c>
      <c r="H950" s="19">
        <v>594.07</v>
      </c>
      <c r="I950" t="s">
        <v>1794</v>
      </c>
      <c r="J950" s="24" t="s">
        <v>60</v>
      </c>
      <c r="K950" s="24" t="s">
        <v>35</v>
      </c>
      <c r="L950" t="s">
        <v>3455</v>
      </c>
      <c r="M950" s="17">
        <v>2</v>
      </c>
      <c r="N950" t="s">
        <v>4295</v>
      </c>
      <c r="O950" s="24" t="s">
        <v>76</v>
      </c>
      <c r="P950" s="19">
        <v>1188.14</v>
      </c>
      <c r="Q950" s="26" t="str">
        <f>IF(OR(P950&lt;'Descriptive Statistics'!$H$17,P950&gt;'Descriptive Statistics'!$H$18),"Potential Outlier","Within Range")</f>
        <v>Within Range</v>
      </c>
      <c r="R950" s="26" t="str">
        <f>IF(OR(G950&lt;'Descriptive Statistics'!$I$17,G950&gt;'Descriptive Statistics'!$I$18),"Potential Outlier","Within Range")</f>
        <v>Within Range</v>
      </c>
      <c r="S950" s="26" t="str">
        <f>IF(OR(H950&lt;'Descriptive Statistics'!$J$17,H950&gt;'Descriptive Statistics'!$J$18),"Potential Outlier","Within Range")</f>
        <v>Within Range</v>
      </c>
    </row>
    <row r="951" hidden="1" spans="1:19">
      <c r="A951" t="s">
        <v>3456</v>
      </c>
      <c r="B951" s="23">
        <v>45239</v>
      </c>
      <c r="C951" s="23" t="str">
        <f t="shared" si="28"/>
        <v>Nov</v>
      </c>
      <c r="D951" s="23" t="str">
        <f t="shared" si="29"/>
        <v>2023</v>
      </c>
      <c r="E951" t="s">
        <v>3457</v>
      </c>
      <c r="F951" s="24" t="s">
        <v>73</v>
      </c>
      <c r="G951" s="17">
        <v>5</v>
      </c>
      <c r="H951" s="19">
        <v>110.38</v>
      </c>
      <c r="I951" t="s">
        <v>1560</v>
      </c>
      <c r="J951" s="24" t="s">
        <v>65</v>
      </c>
      <c r="K951" s="24" t="s">
        <v>89</v>
      </c>
      <c r="L951" t="s">
        <v>3458</v>
      </c>
      <c r="M951" s="17">
        <v>10</v>
      </c>
      <c r="N951" t="s">
        <v>4295</v>
      </c>
      <c r="O951" s="24" t="s">
        <v>29</v>
      </c>
      <c r="P951" s="19">
        <v>551.9</v>
      </c>
      <c r="Q951" s="26" t="str">
        <f>IF(OR(P951&lt;'Descriptive Statistics'!$H$17,P951&gt;'Descriptive Statistics'!$H$18),"Potential Outlier","Within Range")</f>
        <v>Within Range</v>
      </c>
      <c r="R951" s="26" t="str">
        <f>IF(OR(G951&lt;'Descriptive Statistics'!$I$17,G951&gt;'Descriptive Statistics'!$I$18),"Potential Outlier","Within Range")</f>
        <v>Within Range</v>
      </c>
      <c r="S951" s="26" t="str">
        <f>IF(OR(H951&lt;'Descriptive Statistics'!$J$17,H951&gt;'Descriptive Statistics'!$J$18),"Potential Outlier","Within Range")</f>
        <v>Within Range</v>
      </c>
    </row>
    <row r="952" hidden="1" spans="1:19">
      <c r="A952" t="s">
        <v>3459</v>
      </c>
      <c r="B952" s="23">
        <v>45443</v>
      </c>
      <c r="C952" s="23" t="str">
        <f t="shared" si="28"/>
        <v>May</v>
      </c>
      <c r="D952" s="23" t="str">
        <f t="shared" si="29"/>
        <v>2024</v>
      </c>
      <c r="E952" t="s">
        <v>3460</v>
      </c>
      <c r="F952" s="24" t="s">
        <v>58</v>
      </c>
      <c r="G952" s="17">
        <v>1</v>
      </c>
      <c r="H952" s="19">
        <v>596.24</v>
      </c>
      <c r="I952" t="s">
        <v>113</v>
      </c>
      <c r="J952" s="24" t="s">
        <v>34</v>
      </c>
      <c r="K952" s="24" t="s">
        <v>43</v>
      </c>
      <c r="L952" t="s">
        <v>3461</v>
      </c>
      <c r="M952" s="17">
        <v>4</v>
      </c>
      <c r="N952" t="s">
        <v>37</v>
      </c>
      <c r="O952" s="24" t="s">
        <v>22</v>
      </c>
      <c r="P952" s="19">
        <v>596.24</v>
      </c>
      <c r="Q952" s="26" t="str">
        <f>IF(OR(P952&lt;'Descriptive Statistics'!$H$17,P952&gt;'Descriptive Statistics'!$H$18),"Potential Outlier","Within Range")</f>
        <v>Within Range</v>
      </c>
      <c r="R952" s="26" t="str">
        <f>IF(OR(G952&lt;'Descriptive Statistics'!$I$17,G952&gt;'Descriptive Statistics'!$I$18),"Potential Outlier","Within Range")</f>
        <v>Within Range</v>
      </c>
      <c r="S952" s="26" t="str">
        <f>IF(OR(H952&lt;'Descriptive Statistics'!$J$17,H952&gt;'Descriptive Statistics'!$J$18),"Potential Outlier","Within Range")</f>
        <v>Within Range</v>
      </c>
    </row>
    <row r="953" hidden="1" spans="1:19">
      <c r="A953" t="s">
        <v>3462</v>
      </c>
      <c r="B953" s="23">
        <v>45495</v>
      </c>
      <c r="C953" s="23" t="str">
        <f t="shared" si="28"/>
        <v>Jul</v>
      </c>
      <c r="D953" s="23" t="str">
        <f t="shared" si="29"/>
        <v>2024</v>
      </c>
      <c r="E953" t="s">
        <v>3463</v>
      </c>
      <c r="F953" s="24" t="s">
        <v>48</v>
      </c>
      <c r="G953" s="17">
        <v>2</v>
      </c>
      <c r="H953" s="19">
        <v>306.24</v>
      </c>
      <c r="I953" t="s">
        <v>1066</v>
      </c>
      <c r="J953" s="24" t="s">
        <v>27</v>
      </c>
      <c r="K953" s="24" t="s">
        <v>43</v>
      </c>
      <c r="L953" t="s">
        <v>3464</v>
      </c>
      <c r="M953" s="17">
        <v>4</v>
      </c>
      <c r="N953" t="s">
        <v>37</v>
      </c>
      <c r="O953" s="24" t="s">
        <v>38</v>
      </c>
      <c r="P953" s="19">
        <v>612.48</v>
      </c>
      <c r="Q953" s="26" t="str">
        <f>IF(OR(P953&lt;'Descriptive Statistics'!$H$17,P953&gt;'Descriptive Statistics'!$H$18),"Potential Outlier","Within Range")</f>
        <v>Within Range</v>
      </c>
      <c r="R953" s="26" t="str">
        <f>IF(OR(G953&lt;'Descriptive Statistics'!$I$17,G953&gt;'Descriptive Statistics'!$I$18),"Potential Outlier","Within Range")</f>
        <v>Within Range</v>
      </c>
      <c r="S953" s="26" t="str">
        <f>IF(OR(H953&lt;'Descriptive Statistics'!$J$17,H953&gt;'Descriptive Statistics'!$J$18),"Potential Outlier","Within Range")</f>
        <v>Within Range</v>
      </c>
    </row>
    <row r="954" hidden="1" spans="1:19">
      <c r="A954" t="s">
        <v>3465</v>
      </c>
      <c r="B954" s="23">
        <v>45715</v>
      </c>
      <c r="C954" s="23" t="str">
        <f t="shared" si="28"/>
        <v>Feb</v>
      </c>
      <c r="D954" s="23" t="str">
        <f t="shared" si="29"/>
        <v>2025</v>
      </c>
      <c r="E954" t="s">
        <v>3466</v>
      </c>
      <c r="F954" s="24" t="s">
        <v>16</v>
      </c>
      <c r="G954" s="17">
        <v>3</v>
      </c>
      <c r="H954" s="19">
        <v>503.39</v>
      </c>
      <c r="I954" t="s">
        <v>3467</v>
      </c>
      <c r="J954" s="24" t="s">
        <v>27</v>
      </c>
      <c r="K954" s="24" t="s">
        <v>89</v>
      </c>
      <c r="L954" t="s">
        <v>3468</v>
      </c>
      <c r="M954" s="17">
        <v>5</v>
      </c>
      <c r="N954" t="s">
        <v>4295</v>
      </c>
      <c r="O954" s="24" t="s">
        <v>45</v>
      </c>
      <c r="P954" s="19">
        <v>1510.17</v>
      </c>
      <c r="Q954" s="26" t="str">
        <f>IF(OR(P954&lt;'Descriptive Statistics'!$H$17,P954&gt;'Descriptive Statistics'!$H$18),"Potential Outlier","Within Range")</f>
        <v>Within Range</v>
      </c>
      <c r="R954" s="26" t="str">
        <f>IF(OR(G954&lt;'Descriptive Statistics'!$I$17,G954&gt;'Descriptive Statistics'!$I$18),"Potential Outlier","Within Range")</f>
        <v>Within Range</v>
      </c>
      <c r="S954" s="26" t="str">
        <f>IF(OR(H954&lt;'Descriptive Statistics'!$J$17,H954&gt;'Descriptive Statistics'!$J$18),"Potential Outlier","Within Range")</f>
        <v>Within Range</v>
      </c>
    </row>
    <row r="955" hidden="1" spans="1:19">
      <c r="A955" t="s">
        <v>3469</v>
      </c>
      <c r="B955" s="23">
        <v>44963</v>
      </c>
      <c r="C955" s="23" t="str">
        <f t="shared" si="28"/>
        <v>Feb</v>
      </c>
      <c r="D955" s="23" t="str">
        <f t="shared" si="29"/>
        <v>2023</v>
      </c>
      <c r="E955" t="s">
        <v>3470</v>
      </c>
      <c r="F955" s="24" t="s">
        <v>25</v>
      </c>
      <c r="G955" s="17">
        <v>1</v>
      </c>
      <c r="H955" s="19">
        <v>131.61</v>
      </c>
      <c r="I955" t="s">
        <v>363</v>
      </c>
      <c r="J955" s="24" t="s">
        <v>65</v>
      </c>
      <c r="K955" s="24" t="s">
        <v>19</v>
      </c>
      <c r="L955" t="s">
        <v>3471</v>
      </c>
      <c r="M955" s="17">
        <v>2</v>
      </c>
      <c r="N955" t="s">
        <v>37</v>
      </c>
      <c r="O955" s="24" t="s">
        <v>45</v>
      </c>
      <c r="P955" s="19">
        <v>131.61</v>
      </c>
      <c r="Q955" s="26" t="str">
        <f>IF(OR(P955&lt;'Descriptive Statistics'!$H$17,P955&gt;'Descriptive Statistics'!$H$18),"Potential Outlier","Within Range")</f>
        <v>Within Range</v>
      </c>
      <c r="R955" s="26" t="str">
        <f>IF(OR(G955&lt;'Descriptive Statistics'!$I$17,G955&gt;'Descriptive Statistics'!$I$18),"Potential Outlier","Within Range")</f>
        <v>Within Range</v>
      </c>
      <c r="S955" s="26" t="str">
        <f>IF(OR(H955&lt;'Descriptive Statistics'!$J$17,H955&gt;'Descriptive Statistics'!$J$18),"Potential Outlier","Within Range")</f>
        <v>Within Range</v>
      </c>
    </row>
    <row r="956" hidden="1" spans="1:19">
      <c r="A956" t="s">
        <v>3472</v>
      </c>
      <c r="B956" s="23">
        <v>45587</v>
      </c>
      <c r="C956" s="23" t="str">
        <f t="shared" si="28"/>
        <v>Oct</v>
      </c>
      <c r="D956" s="23" t="str">
        <f t="shared" si="29"/>
        <v>2024</v>
      </c>
      <c r="E956" t="s">
        <v>3473</v>
      </c>
      <c r="F956" s="24" t="s">
        <v>41</v>
      </c>
      <c r="G956" s="17">
        <v>3</v>
      </c>
      <c r="H956" s="19">
        <v>443.44</v>
      </c>
      <c r="I956" t="s">
        <v>667</v>
      </c>
      <c r="J956" s="24" t="s">
        <v>60</v>
      </c>
      <c r="K956" s="24" t="s">
        <v>19</v>
      </c>
      <c r="L956" t="s">
        <v>3474</v>
      </c>
      <c r="M956" s="17">
        <v>3</v>
      </c>
      <c r="N956" t="s">
        <v>37</v>
      </c>
      <c r="O956" s="24" t="s">
        <v>76</v>
      </c>
      <c r="P956" s="19">
        <v>1330.32</v>
      </c>
      <c r="Q956" s="26" t="str">
        <f>IF(OR(P956&lt;'Descriptive Statistics'!$H$17,P956&gt;'Descriptive Statistics'!$H$18),"Potential Outlier","Within Range")</f>
        <v>Within Range</v>
      </c>
      <c r="R956" s="26" t="str">
        <f>IF(OR(G956&lt;'Descriptive Statistics'!$I$17,G956&gt;'Descriptive Statistics'!$I$18),"Potential Outlier","Within Range")</f>
        <v>Within Range</v>
      </c>
      <c r="S956" s="26" t="str">
        <f>IF(OR(H956&lt;'Descriptive Statistics'!$J$17,H956&gt;'Descriptive Statistics'!$J$18),"Potential Outlier","Within Range")</f>
        <v>Within Range</v>
      </c>
    </row>
    <row r="957" hidden="1" spans="1:19">
      <c r="A957" t="s">
        <v>3475</v>
      </c>
      <c r="B957" s="23">
        <v>44949</v>
      </c>
      <c r="C957" s="23" t="str">
        <f t="shared" si="28"/>
        <v>Jan</v>
      </c>
      <c r="D957" s="23" t="str">
        <f t="shared" si="29"/>
        <v>2023</v>
      </c>
      <c r="E957" t="s">
        <v>3476</v>
      </c>
      <c r="F957" s="24" t="s">
        <v>41</v>
      </c>
      <c r="G957" s="17">
        <v>1</v>
      </c>
      <c r="H957" s="19">
        <v>408.13</v>
      </c>
      <c r="I957" t="s">
        <v>992</v>
      </c>
      <c r="J957" s="24" t="s">
        <v>60</v>
      </c>
      <c r="K957" s="24" t="s">
        <v>19</v>
      </c>
      <c r="L957" t="s">
        <v>3477</v>
      </c>
      <c r="M957" s="17">
        <v>3</v>
      </c>
      <c r="N957" t="s">
        <v>81</v>
      </c>
      <c r="O957" s="24" t="s">
        <v>22</v>
      </c>
      <c r="P957" s="19">
        <v>408.13</v>
      </c>
      <c r="Q957" s="26" t="str">
        <f>IF(OR(P957&lt;'Descriptive Statistics'!$H$17,P957&gt;'Descriptive Statistics'!$H$18),"Potential Outlier","Within Range")</f>
        <v>Within Range</v>
      </c>
      <c r="R957" s="26" t="str">
        <f>IF(OR(G957&lt;'Descriptive Statistics'!$I$17,G957&gt;'Descriptive Statistics'!$I$18),"Potential Outlier","Within Range")</f>
        <v>Within Range</v>
      </c>
      <c r="S957" s="26" t="str">
        <f>IF(OR(H957&lt;'Descriptive Statistics'!$J$17,H957&gt;'Descriptive Statistics'!$J$18),"Potential Outlier","Within Range")</f>
        <v>Within Range</v>
      </c>
    </row>
    <row r="958" hidden="1" spans="1:19">
      <c r="A958" t="s">
        <v>3478</v>
      </c>
      <c r="B958" s="23">
        <v>45393</v>
      </c>
      <c r="C958" s="23" t="str">
        <f t="shared" si="28"/>
        <v>Apr</v>
      </c>
      <c r="D958" s="23" t="str">
        <f t="shared" si="29"/>
        <v>2024</v>
      </c>
      <c r="E958" t="s">
        <v>2899</v>
      </c>
      <c r="F958" s="24" t="s">
        <v>25</v>
      </c>
      <c r="G958" s="17">
        <v>2</v>
      </c>
      <c r="H958" s="19">
        <v>160.98</v>
      </c>
      <c r="I958" t="s">
        <v>3479</v>
      </c>
      <c r="J958" s="24" t="s">
        <v>18</v>
      </c>
      <c r="K958" s="24" t="s">
        <v>50</v>
      </c>
      <c r="L958" t="s">
        <v>3480</v>
      </c>
      <c r="M958" s="17">
        <v>3</v>
      </c>
      <c r="N958" t="s">
        <v>21</v>
      </c>
      <c r="O958" s="24" t="s">
        <v>29</v>
      </c>
      <c r="P958" s="19">
        <v>321.96</v>
      </c>
      <c r="Q958" s="26" t="str">
        <f>IF(OR(P958&lt;'Descriptive Statistics'!$H$17,P958&gt;'Descriptive Statistics'!$H$18),"Potential Outlier","Within Range")</f>
        <v>Within Range</v>
      </c>
      <c r="R958" s="26" t="str">
        <f>IF(OR(G958&lt;'Descriptive Statistics'!$I$17,G958&gt;'Descriptive Statistics'!$I$18),"Potential Outlier","Within Range")</f>
        <v>Within Range</v>
      </c>
      <c r="S958" s="26" t="str">
        <f>IF(OR(H958&lt;'Descriptive Statistics'!$J$17,H958&gt;'Descriptive Statistics'!$J$18),"Potential Outlier","Within Range")</f>
        <v>Within Range</v>
      </c>
    </row>
    <row r="959" hidden="1" spans="1:19">
      <c r="A959" t="s">
        <v>3481</v>
      </c>
      <c r="B959" s="23">
        <v>44938</v>
      </c>
      <c r="C959" s="23" t="str">
        <f t="shared" si="28"/>
        <v>Jan</v>
      </c>
      <c r="D959" s="23" t="str">
        <f t="shared" si="29"/>
        <v>2023</v>
      </c>
      <c r="E959" t="s">
        <v>3482</v>
      </c>
      <c r="F959" s="24" t="s">
        <v>16</v>
      </c>
      <c r="G959" s="17">
        <v>5</v>
      </c>
      <c r="H959" s="19">
        <v>643.89</v>
      </c>
      <c r="I959" t="s">
        <v>3483</v>
      </c>
      <c r="J959" s="24" t="s">
        <v>65</v>
      </c>
      <c r="K959" s="24" t="s">
        <v>43</v>
      </c>
      <c r="L959" t="s">
        <v>3484</v>
      </c>
      <c r="M959" s="17">
        <v>8</v>
      </c>
      <c r="N959" t="s">
        <v>81</v>
      </c>
      <c r="O959" s="24" t="s">
        <v>45</v>
      </c>
      <c r="P959" s="19">
        <v>3219.45</v>
      </c>
      <c r="Q959" s="26" t="str">
        <f>IF(OR(P959&lt;'Descriptive Statistics'!$H$17,P959&gt;'Descriptive Statistics'!$H$18),"Potential Outlier","Within Range")</f>
        <v>Within Range</v>
      </c>
      <c r="R959" s="26" t="str">
        <f>IF(OR(G959&lt;'Descriptive Statistics'!$I$17,G959&gt;'Descriptive Statistics'!$I$18),"Potential Outlier","Within Range")</f>
        <v>Within Range</v>
      </c>
      <c r="S959" s="26" t="str">
        <f>IF(OR(H959&lt;'Descriptive Statistics'!$J$17,H959&gt;'Descriptive Statistics'!$J$18),"Potential Outlier","Within Range")</f>
        <v>Within Range</v>
      </c>
    </row>
    <row r="960" hidden="1" spans="1:19">
      <c r="A960" t="s">
        <v>3485</v>
      </c>
      <c r="B960" s="23">
        <v>45059</v>
      </c>
      <c r="C960" s="23" t="str">
        <f t="shared" si="28"/>
        <v>May</v>
      </c>
      <c r="D960" s="23" t="str">
        <f t="shared" si="29"/>
        <v>2023</v>
      </c>
      <c r="E960" t="s">
        <v>3486</v>
      </c>
      <c r="F960" s="24" t="s">
        <v>73</v>
      </c>
      <c r="G960" s="17">
        <v>3</v>
      </c>
      <c r="H960" s="19">
        <v>158.66</v>
      </c>
      <c r="I960" t="s">
        <v>1151</v>
      </c>
      <c r="J960" s="24" t="s">
        <v>60</v>
      </c>
      <c r="K960" s="24" t="s">
        <v>50</v>
      </c>
      <c r="L960" t="s">
        <v>3487</v>
      </c>
      <c r="M960" s="17">
        <v>7</v>
      </c>
      <c r="N960" t="s">
        <v>81</v>
      </c>
      <c r="O960" s="24" t="s">
        <v>38</v>
      </c>
      <c r="P960" s="19">
        <v>475.98</v>
      </c>
      <c r="Q960" s="26" t="str">
        <f>IF(OR(P960&lt;'Descriptive Statistics'!$H$17,P960&gt;'Descriptive Statistics'!$H$18),"Potential Outlier","Within Range")</f>
        <v>Within Range</v>
      </c>
      <c r="R960" s="26" t="str">
        <f>IF(OR(G960&lt;'Descriptive Statistics'!$I$17,G960&gt;'Descriptive Statistics'!$I$18),"Potential Outlier","Within Range")</f>
        <v>Within Range</v>
      </c>
      <c r="S960" s="26" t="str">
        <f>IF(OR(H960&lt;'Descriptive Statistics'!$J$17,H960&gt;'Descriptive Statistics'!$J$18),"Potential Outlier","Within Range")</f>
        <v>Within Range</v>
      </c>
    </row>
    <row r="961" hidden="1" spans="1:19">
      <c r="A961" t="s">
        <v>3488</v>
      </c>
      <c r="B961" s="23">
        <v>45395</v>
      </c>
      <c r="C961" s="23" t="str">
        <f t="shared" si="28"/>
        <v>Apr</v>
      </c>
      <c r="D961" s="23" t="str">
        <f t="shared" si="29"/>
        <v>2024</v>
      </c>
      <c r="E961" t="s">
        <v>3489</v>
      </c>
      <c r="F961" s="24" t="s">
        <v>32</v>
      </c>
      <c r="G961" s="17">
        <v>2</v>
      </c>
      <c r="H961" s="19">
        <v>143.82</v>
      </c>
      <c r="I961" t="s">
        <v>1190</v>
      </c>
      <c r="J961" s="24" t="s">
        <v>34</v>
      </c>
      <c r="K961" s="24" t="s">
        <v>43</v>
      </c>
      <c r="L961" t="s">
        <v>3490</v>
      </c>
      <c r="M961" s="17">
        <v>6</v>
      </c>
      <c r="N961" t="s">
        <v>21</v>
      </c>
      <c r="O961" s="24" t="s">
        <v>22</v>
      </c>
      <c r="P961" s="19">
        <v>287.64</v>
      </c>
      <c r="Q961" s="26" t="str">
        <f>IF(OR(P961&lt;'Descriptive Statistics'!$H$17,P961&gt;'Descriptive Statistics'!$H$18),"Potential Outlier","Within Range")</f>
        <v>Within Range</v>
      </c>
      <c r="R961" s="26" t="str">
        <f>IF(OR(G961&lt;'Descriptive Statistics'!$I$17,G961&gt;'Descriptive Statistics'!$I$18),"Potential Outlier","Within Range")</f>
        <v>Within Range</v>
      </c>
      <c r="S961" s="26" t="str">
        <f>IF(OR(H961&lt;'Descriptive Statistics'!$J$17,H961&gt;'Descriptive Statistics'!$J$18),"Potential Outlier","Within Range")</f>
        <v>Within Range</v>
      </c>
    </row>
    <row r="962" hidden="1" spans="1:19">
      <c r="A962" t="s">
        <v>3491</v>
      </c>
      <c r="B962" s="23">
        <v>45271</v>
      </c>
      <c r="C962" s="23" t="str">
        <f t="shared" ref="C962:C1025" si="30">TEXT(B962,"MMM")</f>
        <v>Dec</v>
      </c>
      <c r="D962" s="23" t="str">
        <f t="shared" ref="D962:D1025" si="31">TEXT(B962,"YYYY")</f>
        <v>2023</v>
      </c>
      <c r="E962" t="s">
        <v>3492</v>
      </c>
      <c r="F962" s="24" t="s">
        <v>58</v>
      </c>
      <c r="G962" s="17">
        <v>3</v>
      </c>
      <c r="H962" s="19">
        <v>379.07</v>
      </c>
      <c r="I962" t="s">
        <v>1431</v>
      </c>
      <c r="J962" s="24" t="s">
        <v>60</v>
      </c>
      <c r="K962" s="24" t="s">
        <v>89</v>
      </c>
      <c r="L962" t="s">
        <v>3493</v>
      </c>
      <c r="M962" s="17">
        <v>3</v>
      </c>
      <c r="N962" t="s">
        <v>81</v>
      </c>
      <c r="O962" s="24" t="s">
        <v>76</v>
      </c>
      <c r="P962" s="19">
        <v>1137.21</v>
      </c>
      <c r="Q962" s="26" t="str">
        <f>IF(OR(P962&lt;'Descriptive Statistics'!$H$17,P962&gt;'Descriptive Statistics'!$H$18),"Potential Outlier","Within Range")</f>
        <v>Within Range</v>
      </c>
      <c r="R962" s="26" t="str">
        <f>IF(OR(G962&lt;'Descriptive Statistics'!$I$17,G962&gt;'Descriptive Statistics'!$I$18),"Potential Outlier","Within Range")</f>
        <v>Within Range</v>
      </c>
      <c r="S962" s="26" t="str">
        <f>IF(OR(H962&lt;'Descriptive Statistics'!$J$17,H962&gt;'Descriptive Statistics'!$J$18),"Potential Outlier","Within Range")</f>
        <v>Within Range</v>
      </c>
    </row>
    <row r="963" hidden="1" spans="1:19">
      <c r="A963" t="s">
        <v>3494</v>
      </c>
      <c r="B963" s="23">
        <v>45607</v>
      </c>
      <c r="C963" s="23" t="str">
        <f t="shared" si="30"/>
        <v>Nov</v>
      </c>
      <c r="D963" s="23" t="str">
        <f t="shared" si="31"/>
        <v>2024</v>
      </c>
      <c r="E963" t="s">
        <v>3495</v>
      </c>
      <c r="F963" s="24" t="s">
        <v>25</v>
      </c>
      <c r="G963" s="17">
        <v>1</v>
      </c>
      <c r="H963" s="19">
        <v>601.36</v>
      </c>
      <c r="I963" t="s">
        <v>1306</v>
      </c>
      <c r="J963" s="24" t="s">
        <v>27</v>
      </c>
      <c r="K963" s="24" t="s">
        <v>19</v>
      </c>
      <c r="L963" t="s">
        <v>3496</v>
      </c>
      <c r="M963" s="17">
        <v>1</v>
      </c>
      <c r="N963" t="s">
        <v>4295</v>
      </c>
      <c r="O963" s="24" t="s">
        <v>45</v>
      </c>
      <c r="P963" s="19">
        <v>601.36</v>
      </c>
      <c r="Q963" s="26" t="str">
        <f>IF(OR(P963&lt;'Descriptive Statistics'!$H$17,P963&gt;'Descriptive Statistics'!$H$18),"Potential Outlier","Within Range")</f>
        <v>Within Range</v>
      </c>
      <c r="R963" s="26" t="str">
        <f>IF(OR(G963&lt;'Descriptive Statistics'!$I$17,G963&gt;'Descriptive Statistics'!$I$18),"Potential Outlier","Within Range")</f>
        <v>Within Range</v>
      </c>
      <c r="S963" s="26" t="str">
        <f>IF(OR(H963&lt;'Descriptive Statistics'!$J$17,H963&gt;'Descriptive Statistics'!$J$18),"Potential Outlier","Within Range")</f>
        <v>Within Range</v>
      </c>
    </row>
    <row r="964" hidden="1" spans="1:19">
      <c r="A964" t="s">
        <v>3497</v>
      </c>
      <c r="B964" s="23">
        <v>45541</v>
      </c>
      <c r="C964" s="23" t="str">
        <f t="shared" si="30"/>
        <v>Sep</v>
      </c>
      <c r="D964" s="23" t="str">
        <f t="shared" si="31"/>
        <v>2024</v>
      </c>
      <c r="E964" t="s">
        <v>3498</v>
      </c>
      <c r="F964" s="24" t="s">
        <v>25</v>
      </c>
      <c r="G964" s="17">
        <v>2</v>
      </c>
      <c r="H964" s="19">
        <v>142.08</v>
      </c>
      <c r="I964" t="s">
        <v>984</v>
      </c>
      <c r="J964" s="24" t="s">
        <v>60</v>
      </c>
      <c r="K964" s="24" t="s">
        <v>50</v>
      </c>
      <c r="L964" t="s">
        <v>3499</v>
      </c>
      <c r="M964" s="17">
        <v>4</v>
      </c>
      <c r="N964" t="s">
        <v>21</v>
      </c>
      <c r="O964" s="24" t="s">
        <v>29</v>
      </c>
      <c r="P964" s="19">
        <v>284.16</v>
      </c>
      <c r="Q964" s="26" t="str">
        <f>IF(OR(P964&lt;'Descriptive Statistics'!$H$17,P964&gt;'Descriptive Statistics'!$H$18),"Potential Outlier","Within Range")</f>
        <v>Within Range</v>
      </c>
      <c r="R964" s="26" t="str">
        <f>IF(OR(G964&lt;'Descriptive Statistics'!$I$17,G964&gt;'Descriptive Statistics'!$I$18),"Potential Outlier","Within Range")</f>
        <v>Within Range</v>
      </c>
      <c r="S964" s="26" t="str">
        <f>IF(OR(H964&lt;'Descriptive Statistics'!$J$17,H964&gt;'Descriptive Statistics'!$J$18),"Potential Outlier","Within Range")</f>
        <v>Within Range</v>
      </c>
    </row>
    <row r="965" hidden="1" spans="1:19">
      <c r="A965" t="s">
        <v>3500</v>
      </c>
      <c r="B965" s="23">
        <v>45362</v>
      </c>
      <c r="C965" s="23" t="str">
        <f t="shared" si="30"/>
        <v>Mar</v>
      </c>
      <c r="D965" s="23" t="str">
        <f t="shared" si="31"/>
        <v>2024</v>
      </c>
      <c r="E965" t="s">
        <v>3501</v>
      </c>
      <c r="F965" s="24" t="s">
        <v>41</v>
      </c>
      <c r="G965" s="17">
        <v>5</v>
      </c>
      <c r="H965" s="19">
        <v>530.34</v>
      </c>
      <c r="I965" t="s">
        <v>743</v>
      </c>
      <c r="J965" s="24" t="s">
        <v>27</v>
      </c>
      <c r="K965" s="24" t="s">
        <v>19</v>
      </c>
      <c r="L965" t="s">
        <v>3502</v>
      </c>
      <c r="M965" s="17">
        <v>9</v>
      </c>
      <c r="N965" t="s">
        <v>37</v>
      </c>
      <c r="O965" s="24" t="s">
        <v>76</v>
      </c>
      <c r="P965" s="19">
        <v>2651.7</v>
      </c>
      <c r="Q965" s="26" t="str">
        <f>IF(OR(P965&lt;'Descriptive Statistics'!$H$17,P965&gt;'Descriptive Statistics'!$H$18),"Potential Outlier","Within Range")</f>
        <v>Within Range</v>
      </c>
      <c r="R965" s="26" t="str">
        <f>IF(OR(G965&lt;'Descriptive Statistics'!$I$17,G965&gt;'Descriptive Statistics'!$I$18),"Potential Outlier","Within Range")</f>
        <v>Within Range</v>
      </c>
      <c r="S965" s="26" t="str">
        <f>IF(OR(H965&lt;'Descriptive Statistics'!$J$17,H965&gt;'Descriptive Statistics'!$J$18),"Potential Outlier","Within Range")</f>
        <v>Within Range</v>
      </c>
    </row>
    <row r="966" hidden="1" spans="1:19">
      <c r="A966" t="s">
        <v>3503</v>
      </c>
      <c r="B966" s="23">
        <v>45158</v>
      </c>
      <c r="C966" s="23" t="str">
        <f t="shared" si="30"/>
        <v>Aug</v>
      </c>
      <c r="D966" s="23" t="str">
        <f t="shared" si="31"/>
        <v>2023</v>
      </c>
      <c r="E966" t="s">
        <v>3504</v>
      </c>
      <c r="F966" s="24" t="s">
        <v>25</v>
      </c>
      <c r="G966" s="17">
        <v>5</v>
      </c>
      <c r="H966" s="19">
        <v>364.42</v>
      </c>
      <c r="I966" t="s">
        <v>1549</v>
      </c>
      <c r="J966" s="24" t="s">
        <v>34</v>
      </c>
      <c r="K966" s="24" t="s">
        <v>35</v>
      </c>
      <c r="L966" t="s">
        <v>3505</v>
      </c>
      <c r="M966" s="17">
        <v>10</v>
      </c>
      <c r="N966" t="s">
        <v>21</v>
      </c>
      <c r="O966" s="24" t="s">
        <v>29</v>
      </c>
      <c r="P966" s="19">
        <v>1822.1</v>
      </c>
      <c r="Q966" s="26" t="str">
        <f>IF(OR(P966&lt;'Descriptive Statistics'!$H$17,P966&gt;'Descriptive Statistics'!$H$18),"Potential Outlier","Within Range")</f>
        <v>Within Range</v>
      </c>
      <c r="R966" s="26" t="str">
        <f>IF(OR(G966&lt;'Descriptive Statistics'!$I$17,G966&gt;'Descriptive Statistics'!$I$18),"Potential Outlier","Within Range")</f>
        <v>Within Range</v>
      </c>
      <c r="S966" s="26" t="str">
        <f>IF(OR(H966&lt;'Descriptive Statistics'!$J$17,H966&gt;'Descriptive Statistics'!$J$18),"Potential Outlier","Within Range")</f>
        <v>Within Range</v>
      </c>
    </row>
    <row r="967" hidden="1" spans="1:19">
      <c r="A967" t="s">
        <v>3506</v>
      </c>
      <c r="B967" s="23">
        <v>45826</v>
      </c>
      <c r="C967" s="23" t="str">
        <f t="shared" si="30"/>
        <v>Jun</v>
      </c>
      <c r="D967" s="23" t="str">
        <f t="shared" si="31"/>
        <v>2025</v>
      </c>
      <c r="E967" t="s">
        <v>3507</v>
      </c>
      <c r="F967" s="24" t="s">
        <v>58</v>
      </c>
      <c r="G967" s="17">
        <v>4</v>
      </c>
      <c r="H967" s="19">
        <v>578.28</v>
      </c>
      <c r="I967" t="s">
        <v>1085</v>
      </c>
      <c r="J967" s="24" t="s">
        <v>60</v>
      </c>
      <c r="K967" s="24" t="s">
        <v>35</v>
      </c>
      <c r="L967" t="s">
        <v>3508</v>
      </c>
      <c r="M967" s="17">
        <v>5</v>
      </c>
      <c r="N967" t="s">
        <v>37</v>
      </c>
      <c r="O967" s="24" t="s">
        <v>38</v>
      </c>
      <c r="P967" s="19">
        <v>2313.12</v>
      </c>
      <c r="Q967" s="26" t="str">
        <f>IF(OR(P967&lt;'Descriptive Statistics'!$H$17,P967&gt;'Descriptive Statistics'!$H$18),"Potential Outlier","Within Range")</f>
        <v>Within Range</v>
      </c>
      <c r="R967" s="26" t="str">
        <f>IF(OR(G967&lt;'Descriptive Statistics'!$I$17,G967&gt;'Descriptive Statistics'!$I$18),"Potential Outlier","Within Range")</f>
        <v>Within Range</v>
      </c>
      <c r="S967" s="26" t="str">
        <f>IF(OR(H967&lt;'Descriptive Statistics'!$J$17,H967&gt;'Descriptive Statistics'!$J$18),"Potential Outlier","Within Range")</f>
        <v>Within Range</v>
      </c>
    </row>
    <row r="968" hidden="1" spans="1:19">
      <c r="A968" t="s">
        <v>3509</v>
      </c>
      <c r="B968" s="23">
        <v>45797</v>
      </c>
      <c r="C968" s="23" t="str">
        <f t="shared" si="30"/>
        <v>May</v>
      </c>
      <c r="D968" s="23" t="str">
        <f t="shared" si="31"/>
        <v>2025</v>
      </c>
      <c r="E968" t="s">
        <v>3510</v>
      </c>
      <c r="F968" s="24" t="s">
        <v>16</v>
      </c>
      <c r="G968" s="17">
        <v>5</v>
      </c>
      <c r="H968" s="19">
        <v>280.52</v>
      </c>
      <c r="I968" t="s">
        <v>3511</v>
      </c>
      <c r="J968" s="24" t="s">
        <v>34</v>
      </c>
      <c r="K968" s="24" t="s">
        <v>35</v>
      </c>
      <c r="L968" t="s">
        <v>3512</v>
      </c>
      <c r="M968" s="17">
        <v>7</v>
      </c>
      <c r="N968" t="s">
        <v>81</v>
      </c>
      <c r="O968" s="24" t="s">
        <v>45</v>
      </c>
      <c r="P968" s="19">
        <v>1402.6</v>
      </c>
      <c r="Q968" s="26" t="str">
        <f>IF(OR(P968&lt;'Descriptive Statistics'!$H$17,P968&gt;'Descriptive Statistics'!$H$18),"Potential Outlier","Within Range")</f>
        <v>Within Range</v>
      </c>
      <c r="R968" s="26" t="str">
        <f>IF(OR(G968&lt;'Descriptive Statistics'!$I$17,G968&gt;'Descriptive Statistics'!$I$18),"Potential Outlier","Within Range")</f>
        <v>Within Range</v>
      </c>
      <c r="S968" s="26" t="str">
        <f>IF(OR(H968&lt;'Descriptive Statistics'!$J$17,H968&gt;'Descriptive Statistics'!$J$18),"Potential Outlier","Within Range")</f>
        <v>Within Range</v>
      </c>
    </row>
    <row r="969" hidden="1" spans="1:19">
      <c r="A969" t="s">
        <v>3513</v>
      </c>
      <c r="B969" s="23">
        <v>45783</v>
      </c>
      <c r="C969" s="23" t="str">
        <f t="shared" si="30"/>
        <v>May</v>
      </c>
      <c r="D969" s="23" t="str">
        <f t="shared" si="31"/>
        <v>2025</v>
      </c>
      <c r="E969" t="s">
        <v>3514</v>
      </c>
      <c r="F969" s="24" t="s">
        <v>32</v>
      </c>
      <c r="G969" s="17">
        <v>5</v>
      </c>
      <c r="H969" s="19">
        <v>638.92</v>
      </c>
      <c r="I969" t="s">
        <v>3515</v>
      </c>
      <c r="J969" s="24" t="s">
        <v>34</v>
      </c>
      <c r="K969" s="24" t="s">
        <v>43</v>
      </c>
      <c r="L969" t="s">
        <v>3516</v>
      </c>
      <c r="M969" s="17">
        <v>5</v>
      </c>
      <c r="N969" t="s">
        <v>37</v>
      </c>
      <c r="O969" s="24" t="s">
        <v>76</v>
      </c>
      <c r="P969" s="19">
        <v>3194.6</v>
      </c>
      <c r="Q969" s="26" t="str">
        <f>IF(OR(P969&lt;'Descriptive Statistics'!$H$17,P969&gt;'Descriptive Statistics'!$H$18),"Potential Outlier","Within Range")</f>
        <v>Within Range</v>
      </c>
      <c r="R969" s="26" t="str">
        <f>IF(OR(G969&lt;'Descriptive Statistics'!$I$17,G969&gt;'Descriptive Statistics'!$I$18),"Potential Outlier","Within Range")</f>
        <v>Within Range</v>
      </c>
      <c r="S969" s="26" t="str">
        <f>IF(OR(H969&lt;'Descriptive Statistics'!$J$17,H969&gt;'Descriptive Statistics'!$J$18),"Potential Outlier","Within Range")</f>
        <v>Within Range</v>
      </c>
    </row>
    <row r="970" hidden="1" spans="1:19">
      <c r="A970" t="s">
        <v>3517</v>
      </c>
      <c r="B970" s="23">
        <v>45330</v>
      </c>
      <c r="C970" s="23" t="str">
        <f t="shared" si="30"/>
        <v>Feb</v>
      </c>
      <c r="D970" s="23" t="str">
        <f t="shared" si="31"/>
        <v>2024</v>
      </c>
      <c r="E970" t="s">
        <v>3518</v>
      </c>
      <c r="F970" s="24" t="s">
        <v>16</v>
      </c>
      <c r="G970" s="17">
        <v>4</v>
      </c>
      <c r="H970" s="19">
        <v>412.2</v>
      </c>
      <c r="I970" t="s">
        <v>3042</v>
      </c>
      <c r="J970" s="24" t="s">
        <v>34</v>
      </c>
      <c r="K970" s="24" t="s">
        <v>19</v>
      </c>
      <c r="L970" t="s">
        <v>3519</v>
      </c>
      <c r="M970" s="17">
        <v>6</v>
      </c>
      <c r="N970" t="s">
        <v>81</v>
      </c>
      <c r="O970" s="24" t="s">
        <v>29</v>
      </c>
      <c r="P970" s="19">
        <v>1648.8</v>
      </c>
      <c r="Q970" s="26" t="str">
        <f>IF(OR(P970&lt;'Descriptive Statistics'!$H$17,P970&gt;'Descriptive Statistics'!$H$18),"Potential Outlier","Within Range")</f>
        <v>Within Range</v>
      </c>
      <c r="R970" s="26" t="str">
        <f>IF(OR(G970&lt;'Descriptive Statistics'!$I$17,G970&gt;'Descriptive Statistics'!$I$18),"Potential Outlier","Within Range")</f>
        <v>Within Range</v>
      </c>
      <c r="S970" s="26" t="str">
        <f>IF(OR(H970&lt;'Descriptive Statistics'!$J$17,H970&gt;'Descriptive Statistics'!$J$18),"Potential Outlier","Within Range")</f>
        <v>Within Range</v>
      </c>
    </row>
    <row r="971" hidden="1" spans="1:19">
      <c r="A971" t="s">
        <v>3520</v>
      </c>
      <c r="B971" s="23">
        <v>45813</v>
      </c>
      <c r="C971" s="23" t="str">
        <f t="shared" si="30"/>
        <v>Jun</v>
      </c>
      <c r="D971" s="23" t="str">
        <f t="shared" si="31"/>
        <v>2025</v>
      </c>
      <c r="E971" t="s">
        <v>3521</v>
      </c>
      <c r="F971" s="24" t="s">
        <v>73</v>
      </c>
      <c r="G971" s="17">
        <v>1</v>
      </c>
      <c r="H971" s="19">
        <v>440.34</v>
      </c>
      <c r="I971" t="s">
        <v>3522</v>
      </c>
      <c r="J971" s="24" t="s">
        <v>60</v>
      </c>
      <c r="K971" s="24" t="s">
        <v>19</v>
      </c>
      <c r="L971" t="s">
        <v>3523</v>
      </c>
      <c r="M971" s="17">
        <v>2</v>
      </c>
      <c r="N971" t="s">
        <v>81</v>
      </c>
      <c r="O971" s="24" t="s">
        <v>45</v>
      </c>
      <c r="P971" s="19">
        <v>440.34</v>
      </c>
      <c r="Q971" s="26" t="str">
        <f>IF(OR(P971&lt;'Descriptive Statistics'!$H$17,P971&gt;'Descriptive Statistics'!$H$18),"Potential Outlier","Within Range")</f>
        <v>Within Range</v>
      </c>
      <c r="R971" s="26" t="str">
        <f>IF(OR(G971&lt;'Descriptive Statistics'!$I$17,G971&gt;'Descriptive Statistics'!$I$18),"Potential Outlier","Within Range")</f>
        <v>Within Range</v>
      </c>
      <c r="S971" s="26" t="str">
        <f>IF(OR(H971&lt;'Descriptive Statistics'!$J$17,H971&gt;'Descriptive Statistics'!$J$18),"Potential Outlier","Within Range")</f>
        <v>Within Range</v>
      </c>
    </row>
    <row r="972" hidden="1" spans="1:19">
      <c r="A972" t="s">
        <v>3524</v>
      </c>
      <c r="B972" s="23">
        <v>45542</v>
      </c>
      <c r="C972" s="23" t="str">
        <f t="shared" si="30"/>
        <v>Sep</v>
      </c>
      <c r="D972" s="23" t="str">
        <f t="shared" si="31"/>
        <v>2024</v>
      </c>
      <c r="E972" t="s">
        <v>3525</v>
      </c>
      <c r="F972" s="24" t="s">
        <v>73</v>
      </c>
      <c r="G972" s="17">
        <v>1</v>
      </c>
      <c r="H972" s="19">
        <v>627.15</v>
      </c>
      <c r="I972" t="s">
        <v>3526</v>
      </c>
      <c r="J972" s="24" t="s">
        <v>65</v>
      </c>
      <c r="K972" s="24" t="s">
        <v>50</v>
      </c>
      <c r="L972" t="s">
        <v>3527</v>
      </c>
      <c r="M972" s="17">
        <v>5</v>
      </c>
      <c r="N972" t="s">
        <v>21</v>
      </c>
      <c r="O972" s="24" t="s">
        <v>22</v>
      </c>
      <c r="P972" s="19">
        <v>627.15</v>
      </c>
      <c r="Q972" s="26" t="str">
        <f>IF(OR(P972&lt;'Descriptive Statistics'!$H$17,P972&gt;'Descriptive Statistics'!$H$18),"Potential Outlier","Within Range")</f>
        <v>Within Range</v>
      </c>
      <c r="R972" s="26" t="str">
        <f>IF(OR(G972&lt;'Descriptive Statistics'!$I$17,G972&gt;'Descriptive Statistics'!$I$18),"Potential Outlier","Within Range")</f>
        <v>Within Range</v>
      </c>
      <c r="S972" s="26" t="str">
        <f>IF(OR(H972&lt;'Descriptive Statistics'!$J$17,H972&gt;'Descriptive Statistics'!$J$18),"Potential Outlier","Within Range")</f>
        <v>Within Range</v>
      </c>
    </row>
    <row r="973" hidden="1" spans="1:19">
      <c r="A973" t="s">
        <v>3528</v>
      </c>
      <c r="B973" s="23">
        <v>45439</v>
      </c>
      <c r="C973" s="23" t="str">
        <f t="shared" si="30"/>
        <v>May</v>
      </c>
      <c r="D973" s="23" t="str">
        <f t="shared" si="31"/>
        <v>2024</v>
      </c>
      <c r="E973" t="s">
        <v>3529</v>
      </c>
      <c r="F973" s="24" t="s">
        <v>16</v>
      </c>
      <c r="G973" s="17">
        <v>2</v>
      </c>
      <c r="H973" s="19">
        <v>605.26</v>
      </c>
      <c r="I973" t="s">
        <v>54</v>
      </c>
      <c r="J973" s="24" t="s">
        <v>65</v>
      </c>
      <c r="K973" s="24" t="s">
        <v>35</v>
      </c>
      <c r="L973" t="s">
        <v>3530</v>
      </c>
      <c r="M973" s="17">
        <v>4</v>
      </c>
      <c r="N973" t="s">
        <v>81</v>
      </c>
      <c r="O973" s="24" t="s">
        <v>29</v>
      </c>
      <c r="P973" s="19">
        <v>1210.52</v>
      </c>
      <c r="Q973" s="26" t="str">
        <f>IF(OR(P973&lt;'Descriptive Statistics'!$H$17,P973&gt;'Descriptive Statistics'!$H$18),"Potential Outlier","Within Range")</f>
        <v>Within Range</v>
      </c>
      <c r="R973" s="26" t="str">
        <f>IF(OR(G973&lt;'Descriptive Statistics'!$I$17,G973&gt;'Descriptive Statistics'!$I$18),"Potential Outlier","Within Range")</f>
        <v>Within Range</v>
      </c>
      <c r="S973" s="26" t="str">
        <f>IF(OR(H973&lt;'Descriptive Statistics'!$J$17,H973&gt;'Descriptive Statistics'!$J$18),"Potential Outlier","Within Range")</f>
        <v>Within Range</v>
      </c>
    </row>
    <row r="974" hidden="1" spans="1:19">
      <c r="A974" t="s">
        <v>3531</v>
      </c>
      <c r="B974" s="23">
        <v>45452</v>
      </c>
      <c r="C974" s="23" t="str">
        <f t="shared" si="30"/>
        <v>Jun</v>
      </c>
      <c r="D974" s="23" t="str">
        <f t="shared" si="31"/>
        <v>2024</v>
      </c>
      <c r="E974" t="s">
        <v>3532</v>
      </c>
      <c r="F974" s="24" t="s">
        <v>58</v>
      </c>
      <c r="G974" s="17">
        <v>1</v>
      </c>
      <c r="H974" s="19">
        <v>90.27</v>
      </c>
      <c r="I974" t="s">
        <v>3533</v>
      </c>
      <c r="J974" s="24" t="s">
        <v>65</v>
      </c>
      <c r="K974" s="24" t="s">
        <v>50</v>
      </c>
      <c r="L974" t="s">
        <v>3534</v>
      </c>
      <c r="M974" s="17">
        <v>5</v>
      </c>
      <c r="N974" t="s">
        <v>21</v>
      </c>
      <c r="O974" s="24" t="s">
        <v>45</v>
      </c>
      <c r="P974" s="19">
        <v>90.27</v>
      </c>
      <c r="Q974" s="26" t="str">
        <f>IF(OR(P974&lt;'Descriptive Statistics'!$H$17,P974&gt;'Descriptive Statistics'!$H$18),"Potential Outlier","Within Range")</f>
        <v>Within Range</v>
      </c>
      <c r="R974" s="26" t="str">
        <f>IF(OR(G974&lt;'Descriptive Statistics'!$I$17,G974&gt;'Descriptive Statistics'!$I$18),"Potential Outlier","Within Range")</f>
        <v>Within Range</v>
      </c>
      <c r="S974" s="26" t="str">
        <f>IF(OR(H974&lt;'Descriptive Statistics'!$J$17,H974&gt;'Descriptive Statistics'!$J$18),"Potential Outlier","Within Range")</f>
        <v>Within Range</v>
      </c>
    </row>
    <row r="975" hidden="1" spans="1:19">
      <c r="A975" t="s">
        <v>3535</v>
      </c>
      <c r="B975" s="23">
        <v>45817</v>
      </c>
      <c r="C975" s="23" t="str">
        <f t="shared" si="30"/>
        <v>Jun</v>
      </c>
      <c r="D975" s="23" t="str">
        <f t="shared" si="31"/>
        <v>2025</v>
      </c>
      <c r="E975" t="s">
        <v>3536</v>
      </c>
      <c r="F975" s="24" t="s">
        <v>73</v>
      </c>
      <c r="G975" s="17">
        <v>5</v>
      </c>
      <c r="H975" s="19">
        <v>230.77</v>
      </c>
      <c r="I975" t="s">
        <v>3322</v>
      </c>
      <c r="J975" s="24" t="s">
        <v>27</v>
      </c>
      <c r="K975" s="24" t="s">
        <v>89</v>
      </c>
      <c r="L975" t="s">
        <v>3537</v>
      </c>
      <c r="M975" s="17">
        <v>10</v>
      </c>
      <c r="N975" t="s">
        <v>81</v>
      </c>
      <c r="O975" s="24" t="s">
        <v>29</v>
      </c>
      <c r="P975" s="19">
        <v>1153.85</v>
      </c>
      <c r="Q975" s="26" t="str">
        <f>IF(OR(P975&lt;'Descriptive Statistics'!$H$17,P975&gt;'Descriptive Statistics'!$H$18),"Potential Outlier","Within Range")</f>
        <v>Within Range</v>
      </c>
      <c r="R975" s="26" t="str">
        <f>IF(OR(G975&lt;'Descriptive Statistics'!$I$17,G975&gt;'Descriptive Statistics'!$I$18),"Potential Outlier","Within Range")</f>
        <v>Within Range</v>
      </c>
      <c r="S975" s="26" t="str">
        <f>IF(OR(H975&lt;'Descriptive Statistics'!$J$17,H975&gt;'Descriptive Statistics'!$J$18),"Potential Outlier","Within Range")</f>
        <v>Within Range</v>
      </c>
    </row>
    <row r="976" hidden="1" spans="1:19">
      <c r="A976" t="s">
        <v>3538</v>
      </c>
      <c r="B976" s="23">
        <v>45196</v>
      </c>
      <c r="C976" s="23" t="str">
        <f t="shared" si="30"/>
        <v>Sep</v>
      </c>
      <c r="D976" s="23" t="str">
        <f t="shared" si="31"/>
        <v>2023</v>
      </c>
      <c r="E976" t="s">
        <v>3539</v>
      </c>
      <c r="F976" s="24" t="s">
        <v>73</v>
      </c>
      <c r="G976" s="17">
        <v>5</v>
      </c>
      <c r="H976" s="19">
        <v>266.78</v>
      </c>
      <c r="I976" t="s">
        <v>1237</v>
      </c>
      <c r="J976" s="24" t="s">
        <v>60</v>
      </c>
      <c r="K976" s="24" t="s">
        <v>35</v>
      </c>
      <c r="L976" t="s">
        <v>3540</v>
      </c>
      <c r="M976" s="17">
        <v>5</v>
      </c>
      <c r="N976" t="s">
        <v>4295</v>
      </c>
      <c r="O976" s="24" t="s">
        <v>38</v>
      </c>
      <c r="P976" s="19">
        <v>1333.9</v>
      </c>
      <c r="Q976" s="26" t="str">
        <f>IF(OR(P976&lt;'Descriptive Statistics'!$H$17,P976&gt;'Descriptive Statistics'!$H$18),"Potential Outlier","Within Range")</f>
        <v>Within Range</v>
      </c>
      <c r="R976" s="26" t="str">
        <f>IF(OR(G976&lt;'Descriptive Statistics'!$I$17,G976&gt;'Descriptive Statistics'!$I$18),"Potential Outlier","Within Range")</f>
        <v>Within Range</v>
      </c>
      <c r="S976" s="26" t="str">
        <f>IF(OR(H976&lt;'Descriptive Statistics'!$J$17,H976&gt;'Descriptive Statistics'!$J$18),"Potential Outlier","Within Range")</f>
        <v>Within Range</v>
      </c>
    </row>
    <row r="977" hidden="1" spans="1:19">
      <c r="A977" t="s">
        <v>3541</v>
      </c>
      <c r="B977" s="23">
        <v>45064</v>
      </c>
      <c r="C977" s="23" t="str">
        <f t="shared" si="30"/>
        <v>May</v>
      </c>
      <c r="D977" s="23" t="str">
        <f t="shared" si="31"/>
        <v>2023</v>
      </c>
      <c r="E977" t="s">
        <v>3542</v>
      </c>
      <c r="F977" s="24" t="s">
        <v>73</v>
      </c>
      <c r="G977" s="17">
        <v>1</v>
      </c>
      <c r="H977" s="19">
        <v>105.92</v>
      </c>
      <c r="I977" t="s">
        <v>1093</v>
      </c>
      <c r="J977" s="24" t="s">
        <v>60</v>
      </c>
      <c r="K977" s="24" t="s">
        <v>43</v>
      </c>
      <c r="L977" t="s">
        <v>3543</v>
      </c>
      <c r="M977" s="17">
        <v>6</v>
      </c>
      <c r="N977" t="s">
        <v>21</v>
      </c>
      <c r="O977" s="24" t="s">
        <v>38</v>
      </c>
      <c r="P977" s="19">
        <v>105.92</v>
      </c>
      <c r="Q977" s="26" t="str">
        <f>IF(OR(P977&lt;'Descriptive Statistics'!$H$17,P977&gt;'Descriptive Statistics'!$H$18),"Potential Outlier","Within Range")</f>
        <v>Within Range</v>
      </c>
      <c r="R977" s="26" t="str">
        <f>IF(OR(G977&lt;'Descriptive Statistics'!$I$17,G977&gt;'Descriptive Statistics'!$I$18),"Potential Outlier","Within Range")</f>
        <v>Within Range</v>
      </c>
      <c r="S977" s="26" t="str">
        <f>IF(OR(H977&lt;'Descriptive Statistics'!$J$17,H977&gt;'Descriptive Statistics'!$J$18),"Potential Outlier","Within Range")</f>
        <v>Within Range</v>
      </c>
    </row>
    <row r="978" hidden="1" spans="1:19">
      <c r="A978" t="s">
        <v>3544</v>
      </c>
      <c r="B978" s="23">
        <v>45386</v>
      </c>
      <c r="C978" s="23" t="str">
        <f t="shared" si="30"/>
        <v>Apr</v>
      </c>
      <c r="D978" s="23" t="str">
        <f t="shared" si="31"/>
        <v>2024</v>
      </c>
      <c r="E978" t="s">
        <v>3545</v>
      </c>
      <c r="F978" s="24" t="s">
        <v>32</v>
      </c>
      <c r="G978" s="17">
        <v>3</v>
      </c>
      <c r="H978" s="19">
        <v>589.3</v>
      </c>
      <c r="I978" t="s">
        <v>3025</v>
      </c>
      <c r="J978" s="24" t="s">
        <v>34</v>
      </c>
      <c r="K978" s="24" t="s">
        <v>43</v>
      </c>
      <c r="L978" t="s">
        <v>3546</v>
      </c>
      <c r="M978" s="17">
        <v>6</v>
      </c>
      <c r="N978" t="s">
        <v>81</v>
      </c>
      <c r="O978" s="24" t="s">
        <v>29</v>
      </c>
      <c r="P978" s="19">
        <v>1767.9</v>
      </c>
      <c r="Q978" s="26" t="str">
        <f>IF(OR(P978&lt;'Descriptive Statistics'!$H$17,P978&gt;'Descriptive Statistics'!$H$18),"Potential Outlier","Within Range")</f>
        <v>Within Range</v>
      </c>
      <c r="R978" s="26" t="str">
        <f>IF(OR(G978&lt;'Descriptive Statistics'!$I$17,G978&gt;'Descriptive Statistics'!$I$18),"Potential Outlier","Within Range")</f>
        <v>Within Range</v>
      </c>
      <c r="S978" s="26" t="str">
        <f>IF(OR(H978&lt;'Descriptive Statistics'!$J$17,H978&gt;'Descriptive Statistics'!$J$18),"Potential Outlier","Within Range")</f>
        <v>Within Range</v>
      </c>
    </row>
    <row r="979" hidden="1" spans="1:19">
      <c r="A979" t="s">
        <v>3547</v>
      </c>
      <c r="B979" s="23">
        <v>44954</v>
      </c>
      <c r="C979" s="23" t="str">
        <f t="shared" si="30"/>
        <v>Jan</v>
      </c>
      <c r="D979" s="23" t="str">
        <f t="shared" si="31"/>
        <v>2023</v>
      </c>
      <c r="E979" t="s">
        <v>3548</v>
      </c>
      <c r="F979" s="24" t="s">
        <v>41</v>
      </c>
      <c r="G979" s="17">
        <v>4</v>
      </c>
      <c r="H979" s="19">
        <v>649.47</v>
      </c>
      <c r="I979" t="s">
        <v>3549</v>
      </c>
      <c r="J979" s="24" t="s">
        <v>65</v>
      </c>
      <c r="K979" s="24" t="s">
        <v>89</v>
      </c>
      <c r="L979" t="s">
        <v>3550</v>
      </c>
      <c r="M979" s="17">
        <v>8</v>
      </c>
      <c r="N979" t="s">
        <v>21</v>
      </c>
      <c r="O979" s="24" t="s">
        <v>76</v>
      </c>
      <c r="P979" s="19">
        <v>2597.88</v>
      </c>
      <c r="Q979" s="26" t="str">
        <f>IF(OR(P979&lt;'Descriptive Statistics'!$H$17,P979&gt;'Descriptive Statistics'!$H$18),"Potential Outlier","Within Range")</f>
        <v>Within Range</v>
      </c>
      <c r="R979" s="26" t="str">
        <f>IF(OR(G979&lt;'Descriptive Statistics'!$I$17,G979&gt;'Descriptive Statistics'!$I$18),"Potential Outlier","Within Range")</f>
        <v>Within Range</v>
      </c>
      <c r="S979" s="26" t="str">
        <f>IF(OR(H979&lt;'Descriptive Statistics'!$J$17,H979&gt;'Descriptive Statistics'!$J$18),"Potential Outlier","Within Range")</f>
        <v>Within Range</v>
      </c>
    </row>
    <row r="980" hidden="1" spans="1:19">
      <c r="A980" t="s">
        <v>3551</v>
      </c>
      <c r="B980" s="23">
        <v>45468</v>
      </c>
      <c r="C980" s="23" t="str">
        <f t="shared" si="30"/>
        <v>Jun</v>
      </c>
      <c r="D980" s="23" t="str">
        <f t="shared" si="31"/>
        <v>2024</v>
      </c>
      <c r="E980" t="s">
        <v>3552</v>
      </c>
      <c r="F980" s="24" t="s">
        <v>48</v>
      </c>
      <c r="G980" s="17">
        <v>4</v>
      </c>
      <c r="H980" s="19">
        <v>107.49</v>
      </c>
      <c r="I980" t="s">
        <v>2651</v>
      </c>
      <c r="J980" s="24" t="s">
        <v>65</v>
      </c>
      <c r="K980" s="24" t="s">
        <v>50</v>
      </c>
      <c r="L980" t="s">
        <v>3553</v>
      </c>
      <c r="M980" s="17">
        <v>5</v>
      </c>
      <c r="N980" t="s">
        <v>4295</v>
      </c>
      <c r="O980" s="24" t="s">
        <v>76</v>
      </c>
      <c r="P980" s="19">
        <v>429.96</v>
      </c>
      <c r="Q980" s="26" t="str">
        <f>IF(OR(P980&lt;'Descriptive Statistics'!$H$17,P980&gt;'Descriptive Statistics'!$H$18),"Potential Outlier","Within Range")</f>
        <v>Within Range</v>
      </c>
      <c r="R980" s="26" t="str">
        <f>IF(OR(G980&lt;'Descriptive Statistics'!$I$17,G980&gt;'Descriptive Statistics'!$I$18),"Potential Outlier","Within Range")</f>
        <v>Within Range</v>
      </c>
      <c r="S980" s="26" t="str">
        <f>IF(OR(H980&lt;'Descriptive Statistics'!$J$17,H980&gt;'Descriptive Statistics'!$J$18),"Potential Outlier","Within Range")</f>
        <v>Within Range</v>
      </c>
    </row>
    <row r="981" hidden="1" spans="1:19">
      <c r="A981" t="s">
        <v>3554</v>
      </c>
      <c r="B981" s="23">
        <v>45077</v>
      </c>
      <c r="C981" s="23" t="str">
        <f t="shared" si="30"/>
        <v>May</v>
      </c>
      <c r="D981" s="23" t="str">
        <f t="shared" si="31"/>
        <v>2023</v>
      </c>
      <c r="E981" t="s">
        <v>3555</v>
      </c>
      <c r="F981" s="24" t="s">
        <v>16</v>
      </c>
      <c r="G981" s="17">
        <v>3</v>
      </c>
      <c r="H981" s="19">
        <v>669.06</v>
      </c>
      <c r="I981" t="s">
        <v>1113</v>
      </c>
      <c r="J981" s="24" t="s">
        <v>65</v>
      </c>
      <c r="K981" s="24" t="s">
        <v>50</v>
      </c>
      <c r="L981" t="s">
        <v>3556</v>
      </c>
      <c r="M981" s="17">
        <v>7</v>
      </c>
      <c r="N981" t="s">
        <v>21</v>
      </c>
      <c r="O981" s="24" t="s">
        <v>45</v>
      </c>
      <c r="P981" s="19">
        <v>2007.18</v>
      </c>
      <c r="Q981" s="26" t="str">
        <f>IF(OR(P981&lt;'Descriptive Statistics'!$H$17,P981&gt;'Descriptive Statistics'!$H$18),"Potential Outlier","Within Range")</f>
        <v>Within Range</v>
      </c>
      <c r="R981" s="26" t="str">
        <f>IF(OR(G981&lt;'Descriptive Statistics'!$I$17,G981&gt;'Descriptive Statistics'!$I$18),"Potential Outlier","Within Range")</f>
        <v>Within Range</v>
      </c>
      <c r="S981" s="26" t="str">
        <f>IF(OR(H981&lt;'Descriptive Statistics'!$J$17,H981&gt;'Descriptive Statistics'!$J$18),"Potential Outlier","Within Range")</f>
        <v>Within Range</v>
      </c>
    </row>
    <row r="982" hidden="1" spans="1:19">
      <c r="A982" t="s">
        <v>3557</v>
      </c>
      <c r="B982" s="23">
        <v>45213</v>
      </c>
      <c r="C982" s="23" t="str">
        <f t="shared" si="30"/>
        <v>Oct</v>
      </c>
      <c r="D982" s="23" t="str">
        <f t="shared" si="31"/>
        <v>2023</v>
      </c>
      <c r="E982" t="s">
        <v>3558</v>
      </c>
      <c r="F982" s="24" t="s">
        <v>41</v>
      </c>
      <c r="G982" s="17">
        <v>3</v>
      </c>
      <c r="H982" s="19">
        <v>69.65</v>
      </c>
      <c r="I982" t="s">
        <v>3559</v>
      </c>
      <c r="J982" s="24" t="s">
        <v>65</v>
      </c>
      <c r="K982" s="24" t="s">
        <v>50</v>
      </c>
      <c r="L982" t="s">
        <v>3560</v>
      </c>
      <c r="M982" s="17">
        <v>7</v>
      </c>
      <c r="N982" t="s">
        <v>81</v>
      </c>
      <c r="O982" s="24" t="s">
        <v>22</v>
      </c>
      <c r="P982" s="19">
        <v>208.95</v>
      </c>
      <c r="Q982" s="26" t="str">
        <f>IF(OR(P982&lt;'Descriptive Statistics'!$H$17,P982&gt;'Descriptive Statistics'!$H$18),"Potential Outlier","Within Range")</f>
        <v>Within Range</v>
      </c>
      <c r="R982" s="26" t="str">
        <f>IF(OR(G982&lt;'Descriptive Statistics'!$I$17,G982&gt;'Descriptive Statistics'!$I$18),"Potential Outlier","Within Range")</f>
        <v>Within Range</v>
      </c>
      <c r="S982" s="26" t="str">
        <f>IF(OR(H982&lt;'Descriptive Statistics'!$J$17,H982&gt;'Descriptive Statistics'!$J$18),"Potential Outlier","Within Range")</f>
        <v>Within Range</v>
      </c>
    </row>
    <row r="983" hidden="1" spans="1:19">
      <c r="A983" t="s">
        <v>3561</v>
      </c>
      <c r="B983" s="23">
        <v>45256</v>
      </c>
      <c r="C983" s="23" t="str">
        <f t="shared" si="30"/>
        <v>Nov</v>
      </c>
      <c r="D983" s="23" t="str">
        <f t="shared" si="31"/>
        <v>2023</v>
      </c>
      <c r="E983" t="s">
        <v>3562</v>
      </c>
      <c r="F983" s="24" t="s">
        <v>25</v>
      </c>
      <c r="G983" s="17">
        <v>4</v>
      </c>
      <c r="H983" s="19">
        <v>136.83</v>
      </c>
      <c r="I983" t="s">
        <v>3563</v>
      </c>
      <c r="J983" s="24" t="s">
        <v>18</v>
      </c>
      <c r="K983" s="24" t="s">
        <v>89</v>
      </c>
      <c r="L983" t="s">
        <v>3564</v>
      </c>
      <c r="M983" s="17">
        <v>8</v>
      </c>
      <c r="N983" t="s">
        <v>21</v>
      </c>
      <c r="O983" s="24" t="s">
        <v>38</v>
      </c>
      <c r="P983" s="19">
        <v>547.32</v>
      </c>
      <c r="Q983" s="26" t="str">
        <f>IF(OR(P983&lt;'Descriptive Statistics'!$H$17,P983&gt;'Descriptive Statistics'!$H$18),"Potential Outlier","Within Range")</f>
        <v>Within Range</v>
      </c>
      <c r="R983" s="26" t="str">
        <f>IF(OR(G983&lt;'Descriptive Statistics'!$I$17,G983&gt;'Descriptive Statistics'!$I$18),"Potential Outlier","Within Range")</f>
        <v>Within Range</v>
      </c>
      <c r="S983" s="26" t="str">
        <f>IF(OR(H983&lt;'Descriptive Statistics'!$J$17,H983&gt;'Descriptive Statistics'!$J$18),"Potential Outlier","Within Range")</f>
        <v>Within Range</v>
      </c>
    </row>
    <row r="984" hidden="1" spans="1:19">
      <c r="A984" t="s">
        <v>3565</v>
      </c>
      <c r="B984" s="23">
        <v>45541</v>
      </c>
      <c r="C984" s="23" t="str">
        <f t="shared" si="30"/>
        <v>Sep</v>
      </c>
      <c r="D984" s="23" t="str">
        <f t="shared" si="31"/>
        <v>2024</v>
      </c>
      <c r="E984" t="s">
        <v>3566</v>
      </c>
      <c r="F984" s="24" t="s">
        <v>16</v>
      </c>
      <c r="G984" s="17">
        <v>1</v>
      </c>
      <c r="H984" s="19">
        <v>304.11</v>
      </c>
      <c r="I984" t="s">
        <v>2668</v>
      </c>
      <c r="J984" s="24" t="s">
        <v>60</v>
      </c>
      <c r="K984" s="24" t="s">
        <v>19</v>
      </c>
      <c r="L984" t="s">
        <v>3567</v>
      </c>
      <c r="M984" s="17">
        <v>2</v>
      </c>
      <c r="N984" t="s">
        <v>21</v>
      </c>
      <c r="O984" s="24" t="s">
        <v>29</v>
      </c>
      <c r="P984" s="19">
        <v>304.11</v>
      </c>
      <c r="Q984" s="26" t="str">
        <f>IF(OR(P984&lt;'Descriptive Statistics'!$H$17,P984&gt;'Descriptive Statistics'!$H$18),"Potential Outlier","Within Range")</f>
        <v>Within Range</v>
      </c>
      <c r="R984" s="26" t="str">
        <f>IF(OR(G984&lt;'Descriptive Statistics'!$I$17,G984&gt;'Descriptive Statistics'!$I$18),"Potential Outlier","Within Range")</f>
        <v>Within Range</v>
      </c>
      <c r="S984" s="26" t="str">
        <f>IF(OR(H984&lt;'Descriptive Statistics'!$J$17,H984&gt;'Descriptive Statistics'!$J$18),"Potential Outlier","Within Range")</f>
        <v>Within Range</v>
      </c>
    </row>
    <row r="985" hidden="1" spans="1:19">
      <c r="A985" t="s">
        <v>3568</v>
      </c>
      <c r="B985" s="23">
        <v>45620</v>
      </c>
      <c r="C985" s="23" t="str">
        <f t="shared" si="30"/>
        <v>Nov</v>
      </c>
      <c r="D985" s="23" t="str">
        <f t="shared" si="31"/>
        <v>2024</v>
      </c>
      <c r="E985" t="s">
        <v>3569</v>
      </c>
      <c r="F985" s="24" t="s">
        <v>16</v>
      </c>
      <c r="G985" s="17">
        <v>4</v>
      </c>
      <c r="H985" s="19">
        <v>296.28</v>
      </c>
      <c r="I985" t="s">
        <v>3570</v>
      </c>
      <c r="J985" s="24" t="s">
        <v>60</v>
      </c>
      <c r="K985" s="24" t="s">
        <v>19</v>
      </c>
      <c r="L985" t="s">
        <v>3571</v>
      </c>
      <c r="M985" s="17">
        <v>5</v>
      </c>
      <c r="N985" t="s">
        <v>21</v>
      </c>
      <c r="O985" s="24" t="s">
        <v>38</v>
      </c>
      <c r="P985" s="19">
        <v>1185.12</v>
      </c>
      <c r="Q985" s="26" t="str">
        <f>IF(OR(P985&lt;'Descriptive Statistics'!$H$17,P985&gt;'Descriptive Statistics'!$H$18),"Potential Outlier","Within Range")</f>
        <v>Within Range</v>
      </c>
      <c r="R985" s="26" t="str">
        <f>IF(OR(G985&lt;'Descriptive Statistics'!$I$17,G985&gt;'Descriptive Statistics'!$I$18),"Potential Outlier","Within Range")</f>
        <v>Within Range</v>
      </c>
      <c r="S985" s="26" t="str">
        <f>IF(OR(H985&lt;'Descriptive Statistics'!$J$17,H985&gt;'Descriptive Statistics'!$J$18),"Potential Outlier","Within Range")</f>
        <v>Within Range</v>
      </c>
    </row>
    <row r="986" hidden="1" spans="1:19">
      <c r="A986" t="s">
        <v>3572</v>
      </c>
      <c r="B986" s="23">
        <v>45716</v>
      </c>
      <c r="C986" s="23" t="str">
        <f t="shared" si="30"/>
        <v>Feb</v>
      </c>
      <c r="D986" s="23" t="str">
        <f t="shared" si="31"/>
        <v>2025</v>
      </c>
      <c r="E986" t="s">
        <v>3573</v>
      </c>
      <c r="F986" s="24" t="s">
        <v>73</v>
      </c>
      <c r="G986" s="17">
        <v>1</v>
      </c>
      <c r="H986" s="19">
        <v>77.64</v>
      </c>
      <c r="I986" t="s">
        <v>64</v>
      </c>
      <c r="J986" s="24" t="s">
        <v>34</v>
      </c>
      <c r="K986" s="24" t="s">
        <v>19</v>
      </c>
      <c r="L986" t="s">
        <v>3574</v>
      </c>
      <c r="M986" s="17">
        <v>1</v>
      </c>
      <c r="N986" t="s">
        <v>37</v>
      </c>
      <c r="O986" s="24" t="s">
        <v>45</v>
      </c>
      <c r="P986" s="19">
        <v>77.64</v>
      </c>
      <c r="Q986" s="26" t="str">
        <f>IF(OR(P986&lt;'Descriptive Statistics'!$H$17,P986&gt;'Descriptive Statistics'!$H$18),"Potential Outlier","Within Range")</f>
        <v>Within Range</v>
      </c>
      <c r="R986" s="26" t="str">
        <f>IF(OR(G986&lt;'Descriptive Statistics'!$I$17,G986&gt;'Descriptive Statistics'!$I$18),"Potential Outlier","Within Range")</f>
        <v>Within Range</v>
      </c>
      <c r="S986" s="26" t="str">
        <f>IF(OR(H986&lt;'Descriptive Statistics'!$J$17,H986&gt;'Descriptive Statistics'!$J$18),"Potential Outlier","Within Range")</f>
        <v>Within Range</v>
      </c>
    </row>
    <row r="987" hidden="1" spans="1:19">
      <c r="A987" t="s">
        <v>3575</v>
      </c>
      <c r="B987" s="23">
        <v>45493</v>
      </c>
      <c r="C987" s="23" t="str">
        <f t="shared" si="30"/>
        <v>Jul</v>
      </c>
      <c r="D987" s="23" t="str">
        <f t="shared" si="31"/>
        <v>2024</v>
      </c>
      <c r="E987" t="s">
        <v>3576</v>
      </c>
      <c r="F987" s="24" t="s">
        <v>73</v>
      </c>
      <c r="G987" s="17">
        <v>1</v>
      </c>
      <c r="H987" s="19">
        <v>243.71</v>
      </c>
      <c r="I987" t="s">
        <v>929</v>
      </c>
      <c r="J987" s="24" t="s">
        <v>60</v>
      </c>
      <c r="K987" s="24" t="s">
        <v>50</v>
      </c>
      <c r="L987" t="s">
        <v>3577</v>
      </c>
      <c r="M987" s="17">
        <v>6</v>
      </c>
      <c r="N987" t="s">
        <v>21</v>
      </c>
      <c r="O987" s="24" t="s">
        <v>76</v>
      </c>
      <c r="P987" s="19">
        <v>243.71</v>
      </c>
      <c r="Q987" s="26" t="str">
        <f>IF(OR(P987&lt;'Descriptive Statistics'!$H$17,P987&gt;'Descriptive Statistics'!$H$18),"Potential Outlier","Within Range")</f>
        <v>Within Range</v>
      </c>
      <c r="R987" s="26" t="str">
        <f>IF(OR(G987&lt;'Descriptive Statistics'!$I$17,G987&gt;'Descriptive Statistics'!$I$18),"Potential Outlier","Within Range")</f>
        <v>Within Range</v>
      </c>
      <c r="S987" s="26" t="str">
        <f>IF(OR(H987&lt;'Descriptive Statistics'!$J$17,H987&gt;'Descriptive Statistics'!$J$18),"Potential Outlier","Within Range")</f>
        <v>Within Range</v>
      </c>
    </row>
    <row r="988" hidden="1" spans="1:19">
      <c r="A988" t="s">
        <v>3578</v>
      </c>
      <c r="B988" s="23">
        <v>45542</v>
      </c>
      <c r="C988" s="23" t="str">
        <f t="shared" si="30"/>
        <v>Sep</v>
      </c>
      <c r="D988" s="23" t="str">
        <f t="shared" si="31"/>
        <v>2024</v>
      </c>
      <c r="E988" t="s">
        <v>3579</v>
      </c>
      <c r="F988" s="24" t="s">
        <v>58</v>
      </c>
      <c r="G988" s="17">
        <v>4</v>
      </c>
      <c r="H988" s="19">
        <v>644.96</v>
      </c>
      <c r="I988" t="s">
        <v>426</v>
      </c>
      <c r="J988" s="24" t="s">
        <v>34</v>
      </c>
      <c r="K988" s="24" t="s">
        <v>89</v>
      </c>
      <c r="L988" t="s">
        <v>3580</v>
      </c>
      <c r="M988" s="17">
        <v>7</v>
      </c>
      <c r="N988" t="s">
        <v>37</v>
      </c>
      <c r="O988" s="24" t="s">
        <v>38</v>
      </c>
      <c r="P988" s="19">
        <v>2579.84</v>
      </c>
      <c r="Q988" s="26" t="str">
        <f>IF(OR(P988&lt;'Descriptive Statistics'!$H$17,P988&gt;'Descriptive Statistics'!$H$18),"Potential Outlier","Within Range")</f>
        <v>Within Range</v>
      </c>
      <c r="R988" s="26" t="str">
        <f>IF(OR(G988&lt;'Descriptive Statistics'!$I$17,G988&gt;'Descriptive Statistics'!$I$18),"Potential Outlier","Within Range")</f>
        <v>Within Range</v>
      </c>
      <c r="S988" s="26" t="str">
        <f>IF(OR(H988&lt;'Descriptive Statistics'!$J$17,H988&gt;'Descriptive Statistics'!$J$18),"Potential Outlier","Within Range")</f>
        <v>Within Range</v>
      </c>
    </row>
    <row r="989" hidden="1" spans="1:19">
      <c r="A989" t="s">
        <v>3581</v>
      </c>
      <c r="B989" s="23">
        <v>45813</v>
      </c>
      <c r="C989" s="23" t="str">
        <f t="shared" si="30"/>
        <v>Jun</v>
      </c>
      <c r="D989" s="23" t="str">
        <f t="shared" si="31"/>
        <v>2025</v>
      </c>
      <c r="E989" t="s">
        <v>3582</v>
      </c>
      <c r="F989" s="24" t="s">
        <v>25</v>
      </c>
      <c r="G989" s="17">
        <v>5</v>
      </c>
      <c r="H989" s="19">
        <v>283.73</v>
      </c>
      <c r="I989" t="s">
        <v>1697</v>
      </c>
      <c r="J989" s="24" t="s">
        <v>60</v>
      </c>
      <c r="K989" s="24" t="s">
        <v>89</v>
      </c>
      <c r="L989" t="s">
        <v>3583</v>
      </c>
      <c r="M989" s="17">
        <v>8</v>
      </c>
      <c r="N989" t="s">
        <v>37</v>
      </c>
      <c r="O989" s="24" t="s">
        <v>22</v>
      </c>
      <c r="P989" s="19">
        <v>1418.65</v>
      </c>
      <c r="Q989" s="26" t="str">
        <f>IF(OR(P989&lt;'Descriptive Statistics'!$H$17,P989&gt;'Descriptive Statistics'!$H$18),"Potential Outlier","Within Range")</f>
        <v>Within Range</v>
      </c>
      <c r="R989" s="26" t="str">
        <f>IF(OR(G989&lt;'Descriptive Statistics'!$I$17,G989&gt;'Descriptive Statistics'!$I$18),"Potential Outlier","Within Range")</f>
        <v>Within Range</v>
      </c>
      <c r="S989" s="26" t="str">
        <f>IF(OR(H989&lt;'Descriptive Statistics'!$J$17,H989&gt;'Descriptive Statistics'!$J$18),"Potential Outlier","Within Range")</f>
        <v>Within Range</v>
      </c>
    </row>
    <row r="990" hidden="1" spans="1:19">
      <c r="A990" t="s">
        <v>3584</v>
      </c>
      <c r="B990" s="23">
        <v>45692</v>
      </c>
      <c r="C990" s="23" t="str">
        <f t="shared" si="30"/>
        <v>Feb</v>
      </c>
      <c r="D990" s="23" t="str">
        <f t="shared" si="31"/>
        <v>2025</v>
      </c>
      <c r="E990" t="s">
        <v>3585</v>
      </c>
      <c r="F990" s="24" t="s">
        <v>73</v>
      </c>
      <c r="G990" s="17">
        <v>2</v>
      </c>
      <c r="H990" s="19">
        <v>629.56</v>
      </c>
      <c r="I990" t="s">
        <v>1317</v>
      </c>
      <c r="J990" s="24" t="s">
        <v>60</v>
      </c>
      <c r="K990" s="24" t="s">
        <v>35</v>
      </c>
      <c r="L990" t="s">
        <v>3586</v>
      </c>
      <c r="M990" s="17">
        <v>5</v>
      </c>
      <c r="N990" t="s">
        <v>81</v>
      </c>
      <c r="O990" s="24" t="s">
        <v>22</v>
      </c>
      <c r="P990" s="19">
        <v>1259.12</v>
      </c>
      <c r="Q990" s="26" t="str">
        <f>IF(OR(P990&lt;'Descriptive Statistics'!$H$17,P990&gt;'Descriptive Statistics'!$H$18),"Potential Outlier","Within Range")</f>
        <v>Within Range</v>
      </c>
      <c r="R990" s="26" t="str">
        <f>IF(OR(G990&lt;'Descriptive Statistics'!$I$17,G990&gt;'Descriptive Statistics'!$I$18),"Potential Outlier","Within Range")</f>
        <v>Within Range</v>
      </c>
      <c r="S990" s="26" t="str">
        <f>IF(OR(H990&lt;'Descriptive Statistics'!$J$17,H990&gt;'Descriptive Statistics'!$J$18),"Potential Outlier","Within Range")</f>
        <v>Within Range</v>
      </c>
    </row>
    <row r="991" hidden="1" spans="1:19">
      <c r="A991" t="s">
        <v>3587</v>
      </c>
      <c r="B991" s="23">
        <v>45008</v>
      </c>
      <c r="C991" s="23" t="str">
        <f t="shared" si="30"/>
        <v>Mar</v>
      </c>
      <c r="D991" s="23" t="str">
        <f t="shared" si="31"/>
        <v>2023</v>
      </c>
      <c r="E991" t="s">
        <v>3588</v>
      </c>
      <c r="F991" s="24" t="s">
        <v>58</v>
      </c>
      <c r="G991" s="17">
        <v>4</v>
      </c>
      <c r="H991" s="19">
        <v>246.11</v>
      </c>
      <c r="I991" t="s">
        <v>3589</v>
      </c>
      <c r="J991" s="24" t="s">
        <v>34</v>
      </c>
      <c r="K991" s="24" t="s">
        <v>89</v>
      </c>
      <c r="L991" t="s">
        <v>3590</v>
      </c>
      <c r="M991" s="17">
        <v>4</v>
      </c>
      <c r="N991" t="s">
        <v>21</v>
      </c>
      <c r="O991" s="24" t="s">
        <v>22</v>
      </c>
      <c r="P991" s="19">
        <v>984.44</v>
      </c>
      <c r="Q991" s="26" t="str">
        <f>IF(OR(P991&lt;'Descriptive Statistics'!$H$17,P991&gt;'Descriptive Statistics'!$H$18),"Potential Outlier","Within Range")</f>
        <v>Within Range</v>
      </c>
      <c r="R991" s="26" t="str">
        <f>IF(OR(G991&lt;'Descriptive Statistics'!$I$17,G991&gt;'Descriptive Statistics'!$I$18),"Potential Outlier","Within Range")</f>
        <v>Within Range</v>
      </c>
      <c r="S991" s="26" t="str">
        <f>IF(OR(H991&lt;'Descriptive Statistics'!$J$17,H991&gt;'Descriptive Statistics'!$J$18),"Potential Outlier","Within Range")</f>
        <v>Within Range</v>
      </c>
    </row>
    <row r="992" hidden="1" spans="1:19">
      <c r="A992" t="s">
        <v>3591</v>
      </c>
      <c r="B992" s="23">
        <v>45249</v>
      </c>
      <c r="C992" s="23" t="str">
        <f t="shared" si="30"/>
        <v>Nov</v>
      </c>
      <c r="D992" s="23" t="str">
        <f t="shared" si="31"/>
        <v>2023</v>
      </c>
      <c r="E992" t="s">
        <v>3592</v>
      </c>
      <c r="F992" s="24" t="s">
        <v>25</v>
      </c>
      <c r="G992" s="17">
        <v>2</v>
      </c>
      <c r="H992" s="19">
        <v>418.26</v>
      </c>
      <c r="I992" t="s">
        <v>3593</v>
      </c>
      <c r="J992" s="24" t="s">
        <v>18</v>
      </c>
      <c r="K992" s="24" t="s">
        <v>89</v>
      </c>
      <c r="L992" t="s">
        <v>3594</v>
      </c>
      <c r="M992" s="17">
        <v>2</v>
      </c>
      <c r="N992" t="s">
        <v>21</v>
      </c>
      <c r="O992" s="24" t="s">
        <v>76</v>
      </c>
      <c r="P992" s="19">
        <v>836.52</v>
      </c>
      <c r="Q992" s="26" t="str">
        <f>IF(OR(P992&lt;'Descriptive Statistics'!$H$17,P992&gt;'Descriptive Statistics'!$H$18),"Potential Outlier","Within Range")</f>
        <v>Within Range</v>
      </c>
      <c r="R992" s="26" t="str">
        <f>IF(OR(G992&lt;'Descriptive Statistics'!$I$17,G992&gt;'Descriptive Statistics'!$I$18),"Potential Outlier","Within Range")</f>
        <v>Within Range</v>
      </c>
      <c r="S992" s="26" t="str">
        <f>IF(OR(H992&lt;'Descriptive Statistics'!$J$17,H992&gt;'Descriptive Statistics'!$J$18),"Potential Outlier","Within Range")</f>
        <v>Within Range</v>
      </c>
    </row>
    <row r="993" hidden="1" spans="1:19">
      <c r="A993" t="s">
        <v>3595</v>
      </c>
      <c r="B993" s="23">
        <v>45421</v>
      </c>
      <c r="C993" s="23" t="str">
        <f t="shared" si="30"/>
        <v>May</v>
      </c>
      <c r="D993" s="23" t="str">
        <f t="shared" si="31"/>
        <v>2024</v>
      </c>
      <c r="E993" t="s">
        <v>3596</v>
      </c>
      <c r="F993" s="24" t="s">
        <v>73</v>
      </c>
      <c r="G993" s="17">
        <v>5</v>
      </c>
      <c r="H993" s="19">
        <v>127.18</v>
      </c>
      <c r="I993" t="s">
        <v>580</v>
      </c>
      <c r="J993" s="24" t="s">
        <v>18</v>
      </c>
      <c r="K993" s="24" t="s">
        <v>35</v>
      </c>
      <c r="L993" t="s">
        <v>3597</v>
      </c>
      <c r="M993" s="17">
        <v>10</v>
      </c>
      <c r="N993" t="s">
        <v>37</v>
      </c>
      <c r="O993" s="24" t="s">
        <v>76</v>
      </c>
      <c r="P993" s="19">
        <v>635.9</v>
      </c>
      <c r="Q993" s="26" t="str">
        <f>IF(OR(P993&lt;'Descriptive Statistics'!$H$17,P993&gt;'Descriptive Statistics'!$H$18),"Potential Outlier","Within Range")</f>
        <v>Within Range</v>
      </c>
      <c r="R993" s="26" t="str">
        <f>IF(OR(G993&lt;'Descriptive Statistics'!$I$17,G993&gt;'Descriptive Statistics'!$I$18),"Potential Outlier","Within Range")</f>
        <v>Within Range</v>
      </c>
      <c r="S993" s="26" t="str">
        <f>IF(OR(H993&lt;'Descriptive Statistics'!$J$17,H993&gt;'Descriptive Statistics'!$J$18),"Potential Outlier","Within Range")</f>
        <v>Within Range</v>
      </c>
    </row>
    <row r="994" hidden="1" spans="1:19">
      <c r="A994" t="s">
        <v>3598</v>
      </c>
      <c r="B994" s="23">
        <v>45531</v>
      </c>
      <c r="C994" s="23" t="str">
        <f t="shared" si="30"/>
        <v>Aug</v>
      </c>
      <c r="D994" s="23" t="str">
        <f t="shared" si="31"/>
        <v>2024</v>
      </c>
      <c r="E994" t="s">
        <v>3599</v>
      </c>
      <c r="F994" s="24" t="s">
        <v>48</v>
      </c>
      <c r="G994" s="17">
        <v>3</v>
      </c>
      <c r="H994" s="19">
        <v>586.21</v>
      </c>
      <c r="I994" t="s">
        <v>603</v>
      </c>
      <c r="J994" s="24" t="s">
        <v>60</v>
      </c>
      <c r="K994" s="24" t="s">
        <v>89</v>
      </c>
      <c r="L994" t="s">
        <v>3600</v>
      </c>
      <c r="M994" s="17">
        <v>4</v>
      </c>
      <c r="N994" t="s">
        <v>81</v>
      </c>
      <c r="O994" s="24" t="s">
        <v>29</v>
      </c>
      <c r="P994" s="19">
        <v>1758.63</v>
      </c>
      <c r="Q994" s="26" t="str">
        <f>IF(OR(P994&lt;'Descriptive Statistics'!$H$17,P994&gt;'Descriptive Statistics'!$H$18),"Potential Outlier","Within Range")</f>
        <v>Within Range</v>
      </c>
      <c r="R994" s="26" t="str">
        <f>IF(OR(G994&lt;'Descriptive Statistics'!$I$17,G994&gt;'Descriptive Statistics'!$I$18),"Potential Outlier","Within Range")</f>
        <v>Within Range</v>
      </c>
      <c r="S994" s="26" t="str">
        <f>IF(OR(H994&lt;'Descriptive Statistics'!$J$17,H994&gt;'Descriptive Statistics'!$J$18),"Potential Outlier","Within Range")</f>
        <v>Within Range</v>
      </c>
    </row>
    <row r="995" hidden="1" spans="1:19">
      <c r="A995" t="s">
        <v>3601</v>
      </c>
      <c r="B995" s="23">
        <v>45388</v>
      </c>
      <c r="C995" s="23" t="str">
        <f t="shared" si="30"/>
        <v>Apr</v>
      </c>
      <c r="D995" s="23" t="str">
        <f t="shared" si="31"/>
        <v>2024</v>
      </c>
      <c r="E995" t="s">
        <v>3602</v>
      </c>
      <c r="F995" s="24" t="s">
        <v>16</v>
      </c>
      <c r="G995" s="17">
        <v>3</v>
      </c>
      <c r="H995" s="19">
        <v>267.45</v>
      </c>
      <c r="I995" t="s">
        <v>3603</v>
      </c>
      <c r="J995" s="24" t="s">
        <v>60</v>
      </c>
      <c r="K995" s="24" t="s">
        <v>50</v>
      </c>
      <c r="L995" t="s">
        <v>3604</v>
      </c>
      <c r="M995" s="17">
        <v>5</v>
      </c>
      <c r="N995" t="s">
        <v>81</v>
      </c>
      <c r="O995" s="24" t="s">
        <v>22</v>
      </c>
      <c r="P995" s="19">
        <v>802.35</v>
      </c>
      <c r="Q995" s="26" t="str">
        <f>IF(OR(P995&lt;'Descriptive Statistics'!$H$17,P995&gt;'Descriptive Statistics'!$H$18),"Potential Outlier","Within Range")</f>
        <v>Within Range</v>
      </c>
      <c r="R995" s="26" t="str">
        <f>IF(OR(G995&lt;'Descriptive Statistics'!$I$17,G995&gt;'Descriptive Statistics'!$I$18),"Potential Outlier","Within Range")</f>
        <v>Within Range</v>
      </c>
      <c r="S995" s="26" t="str">
        <f>IF(OR(H995&lt;'Descriptive Statistics'!$J$17,H995&gt;'Descriptive Statistics'!$J$18),"Potential Outlier","Within Range")</f>
        <v>Within Range</v>
      </c>
    </row>
    <row r="996" hidden="1" spans="1:19">
      <c r="A996" t="s">
        <v>3605</v>
      </c>
      <c r="B996" s="23">
        <v>45470</v>
      </c>
      <c r="C996" s="23" t="str">
        <f t="shared" si="30"/>
        <v>Jun</v>
      </c>
      <c r="D996" s="23" t="str">
        <f t="shared" si="31"/>
        <v>2024</v>
      </c>
      <c r="E996" t="s">
        <v>3606</v>
      </c>
      <c r="F996" s="24" t="s">
        <v>32</v>
      </c>
      <c r="G996" s="17">
        <v>4</v>
      </c>
      <c r="H996" s="19">
        <v>615.65</v>
      </c>
      <c r="I996" t="s">
        <v>363</v>
      </c>
      <c r="J996" s="24" t="s">
        <v>18</v>
      </c>
      <c r="K996" s="24" t="s">
        <v>50</v>
      </c>
      <c r="L996" t="s">
        <v>3607</v>
      </c>
      <c r="M996" s="17">
        <v>9</v>
      </c>
      <c r="N996" t="s">
        <v>81</v>
      </c>
      <c r="O996" s="24" t="s">
        <v>76</v>
      </c>
      <c r="P996" s="19">
        <v>2462.6</v>
      </c>
      <c r="Q996" s="26" t="str">
        <f>IF(OR(P996&lt;'Descriptive Statistics'!$H$17,P996&gt;'Descriptive Statistics'!$H$18),"Potential Outlier","Within Range")</f>
        <v>Within Range</v>
      </c>
      <c r="R996" s="26" t="str">
        <f>IF(OR(G996&lt;'Descriptive Statistics'!$I$17,G996&gt;'Descriptive Statistics'!$I$18),"Potential Outlier","Within Range")</f>
        <v>Within Range</v>
      </c>
      <c r="S996" s="26" t="str">
        <f>IF(OR(H996&lt;'Descriptive Statistics'!$J$17,H996&gt;'Descriptive Statistics'!$J$18),"Potential Outlier","Within Range")</f>
        <v>Within Range</v>
      </c>
    </row>
    <row r="997" hidden="1" spans="1:19">
      <c r="A997" t="s">
        <v>3608</v>
      </c>
      <c r="B997" s="23">
        <v>45248</v>
      </c>
      <c r="C997" s="23" t="str">
        <f t="shared" si="30"/>
        <v>Nov</v>
      </c>
      <c r="D997" s="23" t="str">
        <f t="shared" si="31"/>
        <v>2023</v>
      </c>
      <c r="E997" t="s">
        <v>3609</v>
      </c>
      <c r="F997" s="24" t="s">
        <v>16</v>
      </c>
      <c r="G997" s="17">
        <v>2</v>
      </c>
      <c r="H997" s="19">
        <v>113.29</v>
      </c>
      <c r="I997" t="s">
        <v>1992</v>
      </c>
      <c r="J997" s="24" t="s">
        <v>65</v>
      </c>
      <c r="K997" s="24" t="s">
        <v>89</v>
      </c>
      <c r="L997" t="s">
        <v>3610</v>
      </c>
      <c r="M997" s="17">
        <v>5</v>
      </c>
      <c r="N997" t="s">
        <v>21</v>
      </c>
      <c r="O997" s="24" t="s">
        <v>45</v>
      </c>
      <c r="P997" s="19">
        <v>226.58</v>
      </c>
      <c r="Q997" s="26" t="str">
        <f>IF(OR(P997&lt;'Descriptive Statistics'!$H$17,P997&gt;'Descriptive Statistics'!$H$18),"Potential Outlier","Within Range")</f>
        <v>Within Range</v>
      </c>
      <c r="R997" s="26" t="str">
        <f>IF(OR(G997&lt;'Descriptive Statistics'!$I$17,G997&gt;'Descriptive Statistics'!$I$18),"Potential Outlier","Within Range")</f>
        <v>Within Range</v>
      </c>
      <c r="S997" s="26" t="str">
        <f>IF(OR(H997&lt;'Descriptive Statistics'!$J$17,H997&gt;'Descriptive Statistics'!$J$18),"Potential Outlier","Within Range")</f>
        <v>Within Range</v>
      </c>
    </row>
    <row r="998" hidden="1" spans="1:19">
      <c r="A998" t="s">
        <v>3611</v>
      </c>
      <c r="B998" s="23">
        <v>45410</v>
      </c>
      <c r="C998" s="23" t="str">
        <f t="shared" si="30"/>
        <v>Apr</v>
      </c>
      <c r="D998" s="23" t="str">
        <f t="shared" si="31"/>
        <v>2024</v>
      </c>
      <c r="E998" t="s">
        <v>3612</v>
      </c>
      <c r="F998" s="24" t="s">
        <v>16</v>
      </c>
      <c r="G998" s="17">
        <v>4</v>
      </c>
      <c r="H998" s="19">
        <v>473.86</v>
      </c>
      <c r="I998" t="s">
        <v>1256</v>
      </c>
      <c r="J998" s="24" t="s">
        <v>18</v>
      </c>
      <c r="K998" s="24" t="s">
        <v>50</v>
      </c>
      <c r="L998" t="s">
        <v>3613</v>
      </c>
      <c r="M998" s="17">
        <v>7</v>
      </c>
      <c r="N998" t="s">
        <v>21</v>
      </c>
      <c r="O998" s="24" t="s">
        <v>45</v>
      </c>
      <c r="P998" s="19">
        <v>1895.44</v>
      </c>
      <c r="Q998" s="26" t="str">
        <f>IF(OR(P998&lt;'Descriptive Statistics'!$H$17,P998&gt;'Descriptive Statistics'!$H$18),"Potential Outlier","Within Range")</f>
        <v>Within Range</v>
      </c>
      <c r="R998" s="26" t="str">
        <f>IF(OR(G998&lt;'Descriptive Statistics'!$I$17,G998&gt;'Descriptive Statistics'!$I$18),"Potential Outlier","Within Range")</f>
        <v>Within Range</v>
      </c>
      <c r="S998" s="26" t="str">
        <f>IF(OR(H998&lt;'Descriptive Statistics'!$J$17,H998&gt;'Descriptive Statistics'!$J$18),"Potential Outlier","Within Range")</f>
        <v>Within Range</v>
      </c>
    </row>
    <row r="999" hidden="1" spans="1:19">
      <c r="A999" t="s">
        <v>3614</v>
      </c>
      <c r="B999" s="23">
        <v>45257</v>
      </c>
      <c r="C999" s="23" t="str">
        <f t="shared" si="30"/>
        <v>Nov</v>
      </c>
      <c r="D999" s="23" t="str">
        <f t="shared" si="31"/>
        <v>2023</v>
      </c>
      <c r="E999" t="s">
        <v>3615</v>
      </c>
      <c r="F999" s="24" t="s">
        <v>58</v>
      </c>
      <c r="G999" s="17">
        <v>3</v>
      </c>
      <c r="H999" s="19">
        <v>444.75</v>
      </c>
      <c r="I999" t="s">
        <v>1938</v>
      </c>
      <c r="J999" s="24" t="s">
        <v>65</v>
      </c>
      <c r="K999" s="24" t="s">
        <v>50</v>
      </c>
      <c r="L999" t="s">
        <v>3616</v>
      </c>
      <c r="M999" s="17">
        <v>6</v>
      </c>
      <c r="N999" t="s">
        <v>21</v>
      </c>
      <c r="O999" s="24" t="s">
        <v>45</v>
      </c>
      <c r="P999" s="19">
        <v>1334.25</v>
      </c>
      <c r="Q999" s="26" t="str">
        <f>IF(OR(P999&lt;'Descriptive Statistics'!$H$17,P999&gt;'Descriptive Statistics'!$H$18),"Potential Outlier","Within Range")</f>
        <v>Within Range</v>
      </c>
      <c r="R999" s="26" t="str">
        <f>IF(OR(G999&lt;'Descriptive Statistics'!$I$17,G999&gt;'Descriptive Statistics'!$I$18),"Potential Outlier","Within Range")</f>
        <v>Within Range</v>
      </c>
      <c r="S999" s="26" t="str">
        <f>IF(OR(H999&lt;'Descriptive Statistics'!$J$17,H999&gt;'Descriptive Statistics'!$J$18),"Potential Outlier","Within Range")</f>
        <v>Within Range</v>
      </c>
    </row>
    <row r="1000" hidden="1" spans="1:19">
      <c r="A1000" t="s">
        <v>3617</v>
      </c>
      <c r="B1000" s="23">
        <v>45065</v>
      </c>
      <c r="C1000" s="23" t="str">
        <f t="shared" si="30"/>
        <v>May</v>
      </c>
      <c r="D1000" s="23" t="str">
        <f t="shared" si="31"/>
        <v>2023</v>
      </c>
      <c r="E1000" t="s">
        <v>3618</v>
      </c>
      <c r="F1000" s="24" t="s">
        <v>25</v>
      </c>
      <c r="G1000" s="17">
        <v>2</v>
      </c>
      <c r="H1000" s="19">
        <v>183.67</v>
      </c>
      <c r="I1000" t="s">
        <v>956</v>
      </c>
      <c r="J1000" s="24" t="s">
        <v>18</v>
      </c>
      <c r="K1000" s="24" t="s">
        <v>35</v>
      </c>
      <c r="L1000" t="s">
        <v>3619</v>
      </c>
      <c r="M1000" s="17">
        <v>6</v>
      </c>
      <c r="N1000" t="s">
        <v>21</v>
      </c>
      <c r="O1000" s="24" t="s">
        <v>76</v>
      </c>
      <c r="P1000" s="19">
        <v>367.34</v>
      </c>
      <c r="Q1000" s="26" t="str">
        <f>IF(OR(P1000&lt;'Descriptive Statistics'!$H$17,P1000&gt;'Descriptive Statistics'!$H$18),"Potential Outlier","Within Range")</f>
        <v>Within Range</v>
      </c>
      <c r="R1000" s="26" t="str">
        <f>IF(OR(G1000&lt;'Descriptive Statistics'!$I$17,G1000&gt;'Descriptive Statistics'!$I$18),"Potential Outlier","Within Range")</f>
        <v>Within Range</v>
      </c>
      <c r="S1000" s="26" t="str">
        <f>IF(OR(H1000&lt;'Descriptive Statistics'!$J$17,H1000&gt;'Descriptive Statistics'!$J$18),"Potential Outlier","Within Range")</f>
        <v>Within Range</v>
      </c>
    </row>
    <row r="1001" hidden="1" spans="1:19">
      <c r="A1001" t="s">
        <v>3620</v>
      </c>
      <c r="B1001" s="23">
        <v>45284</v>
      </c>
      <c r="C1001" s="23" t="str">
        <f t="shared" si="30"/>
        <v>Dec</v>
      </c>
      <c r="D1001" s="23" t="str">
        <f t="shared" si="31"/>
        <v>2023</v>
      </c>
      <c r="E1001" t="s">
        <v>3621</v>
      </c>
      <c r="F1001" s="24" t="s">
        <v>48</v>
      </c>
      <c r="G1001" s="17">
        <v>1</v>
      </c>
      <c r="H1001" s="19">
        <v>483.38</v>
      </c>
      <c r="I1001" t="s">
        <v>1620</v>
      </c>
      <c r="J1001" s="24" t="s">
        <v>65</v>
      </c>
      <c r="K1001" s="24" t="s">
        <v>89</v>
      </c>
      <c r="L1001" t="s">
        <v>3622</v>
      </c>
      <c r="M1001" s="17">
        <v>6</v>
      </c>
      <c r="N1001" t="s">
        <v>37</v>
      </c>
      <c r="O1001" s="24" t="s">
        <v>76</v>
      </c>
      <c r="P1001" s="19">
        <v>483.38</v>
      </c>
      <c r="Q1001" s="26" t="str">
        <f>IF(OR(P1001&lt;'Descriptive Statistics'!$H$17,P1001&gt;'Descriptive Statistics'!$H$18),"Potential Outlier","Within Range")</f>
        <v>Within Range</v>
      </c>
      <c r="R1001" s="26" t="str">
        <f>IF(OR(G1001&lt;'Descriptive Statistics'!$I$17,G1001&gt;'Descriptive Statistics'!$I$18),"Potential Outlier","Within Range")</f>
        <v>Within Range</v>
      </c>
      <c r="S1001" s="26" t="str">
        <f>IF(OR(H1001&lt;'Descriptive Statistics'!$J$17,H1001&gt;'Descriptive Statistics'!$J$18),"Potential Outlier","Within Range")</f>
        <v>Within Range</v>
      </c>
    </row>
    <row r="1002" hidden="1" spans="1:19">
      <c r="A1002" t="s">
        <v>3623</v>
      </c>
      <c r="B1002" s="23">
        <v>45098</v>
      </c>
      <c r="C1002" s="23" t="str">
        <f t="shared" si="30"/>
        <v>Jun</v>
      </c>
      <c r="D1002" s="23" t="str">
        <f t="shared" si="31"/>
        <v>2023</v>
      </c>
      <c r="E1002" t="s">
        <v>3624</v>
      </c>
      <c r="F1002" s="24" t="s">
        <v>48</v>
      </c>
      <c r="G1002" s="17">
        <v>5</v>
      </c>
      <c r="H1002" s="19">
        <v>260.93</v>
      </c>
      <c r="I1002" t="s">
        <v>3625</v>
      </c>
      <c r="J1002" s="24" t="s">
        <v>27</v>
      </c>
      <c r="K1002" s="24" t="s">
        <v>50</v>
      </c>
      <c r="L1002" t="s">
        <v>3626</v>
      </c>
      <c r="M1002" s="17">
        <v>9</v>
      </c>
      <c r="N1002" t="s">
        <v>21</v>
      </c>
      <c r="O1002" s="24" t="s">
        <v>38</v>
      </c>
      <c r="P1002" s="19">
        <v>1304.65</v>
      </c>
      <c r="Q1002" s="26" t="str">
        <f>IF(OR(P1002&lt;'Descriptive Statistics'!$H$17,P1002&gt;'Descriptive Statistics'!$H$18),"Potential Outlier","Within Range")</f>
        <v>Within Range</v>
      </c>
      <c r="R1002" s="26" t="str">
        <f>IF(OR(G1002&lt;'Descriptive Statistics'!$I$17,G1002&gt;'Descriptive Statistics'!$I$18),"Potential Outlier","Within Range")</f>
        <v>Within Range</v>
      </c>
      <c r="S1002" s="26" t="str">
        <f>IF(OR(H1002&lt;'Descriptive Statistics'!$J$17,H1002&gt;'Descriptive Statistics'!$J$18),"Potential Outlier","Within Range")</f>
        <v>Within Range</v>
      </c>
    </row>
    <row r="1003" hidden="1" spans="1:19">
      <c r="A1003" t="s">
        <v>3627</v>
      </c>
      <c r="B1003" s="23">
        <v>45268</v>
      </c>
      <c r="C1003" s="23" t="str">
        <f t="shared" si="30"/>
        <v>Dec</v>
      </c>
      <c r="D1003" s="23" t="str">
        <f t="shared" si="31"/>
        <v>2023</v>
      </c>
      <c r="E1003" t="s">
        <v>3628</v>
      </c>
      <c r="F1003" s="24" t="s">
        <v>48</v>
      </c>
      <c r="G1003" s="17">
        <v>2</v>
      </c>
      <c r="H1003" s="19">
        <v>253.68</v>
      </c>
      <c r="I1003" t="s">
        <v>494</v>
      </c>
      <c r="J1003" s="24" t="s">
        <v>60</v>
      </c>
      <c r="K1003" s="24" t="s">
        <v>19</v>
      </c>
      <c r="L1003" t="s">
        <v>3629</v>
      </c>
      <c r="M1003" s="17">
        <v>6</v>
      </c>
      <c r="N1003" t="s">
        <v>4295</v>
      </c>
      <c r="O1003" s="24" t="s">
        <v>29</v>
      </c>
      <c r="P1003" s="19">
        <v>507.36</v>
      </c>
      <c r="Q1003" s="26" t="str">
        <f>IF(OR(P1003&lt;'Descriptive Statistics'!$H$17,P1003&gt;'Descriptive Statistics'!$H$18),"Potential Outlier","Within Range")</f>
        <v>Within Range</v>
      </c>
      <c r="R1003" s="26" t="str">
        <f>IF(OR(G1003&lt;'Descriptive Statistics'!$I$17,G1003&gt;'Descriptive Statistics'!$I$18),"Potential Outlier","Within Range")</f>
        <v>Within Range</v>
      </c>
      <c r="S1003" s="26" t="str">
        <f>IF(OR(H1003&lt;'Descriptive Statistics'!$J$17,H1003&gt;'Descriptive Statistics'!$J$18),"Potential Outlier","Within Range")</f>
        <v>Within Range</v>
      </c>
    </row>
    <row r="1004" hidden="1" spans="1:19">
      <c r="A1004" t="s">
        <v>3630</v>
      </c>
      <c r="B1004" s="23">
        <v>45827</v>
      </c>
      <c r="C1004" s="23" t="str">
        <f t="shared" si="30"/>
        <v>Jun</v>
      </c>
      <c r="D1004" s="23" t="str">
        <f t="shared" si="31"/>
        <v>2025</v>
      </c>
      <c r="E1004" t="s">
        <v>3631</v>
      </c>
      <c r="F1004" s="24" t="s">
        <v>32</v>
      </c>
      <c r="G1004" s="17">
        <v>4</v>
      </c>
      <c r="H1004" s="19">
        <v>699.88</v>
      </c>
      <c r="I1004" t="s">
        <v>442</v>
      </c>
      <c r="J1004" s="24" t="s">
        <v>65</v>
      </c>
      <c r="K1004" s="24" t="s">
        <v>89</v>
      </c>
      <c r="L1004" t="s">
        <v>3632</v>
      </c>
      <c r="M1004" s="17">
        <v>5</v>
      </c>
      <c r="N1004" t="s">
        <v>81</v>
      </c>
      <c r="O1004" s="24" t="s">
        <v>29</v>
      </c>
      <c r="P1004" s="19">
        <v>2799.52</v>
      </c>
      <c r="Q1004" s="26" t="str">
        <f>IF(OR(P1004&lt;'Descriptive Statistics'!$H$17,P1004&gt;'Descriptive Statistics'!$H$18),"Potential Outlier","Within Range")</f>
        <v>Within Range</v>
      </c>
      <c r="R1004" s="26" t="str">
        <f>IF(OR(G1004&lt;'Descriptive Statistics'!$I$17,G1004&gt;'Descriptive Statistics'!$I$18),"Potential Outlier","Within Range")</f>
        <v>Within Range</v>
      </c>
      <c r="S1004" s="26" t="str">
        <f>IF(OR(H1004&lt;'Descriptive Statistics'!$J$17,H1004&gt;'Descriptive Statistics'!$J$18),"Potential Outlier","Within Range")</f>
        <v>Within Range</v>
      </c>
    </row>
    <row r="1005" hidden="1" spans="1:19">
      <c r="A1005" t="s">
        <v>3633</v>
      </c>
      <c r="B1005" s="23">
        <v>44937</v>
      </c>
      <c r="C1005" s="23" t="str">
        <f t="shared" si="30"/>
        <v>Jan</v>
      </c>
      <c r="D1005" s="23" t="str">
        <f t="shared" si="31"/>
        <v>2023</v>
      </c>
      <c r="E1005" t="s">
        <v>3634</v>
      </c>
      <c r="F1005" s="24" t="s">
        <v>48</v>
      </c>
      <c r="G1005" s="17">
        <v>5</v>
      </c>
      <c r="H1005" s="19">
        <v>319.97</v>
      </c>
      <c r="I1005" t="s">
        <v>3625</v>
      </c>
      <c r="J1005" s="24" t="s">
        <v>65</v>
      </c>
      <c r="K1005" s="24" t="s">
        <v>19</v>
      </c>
      <c r="L1005" t="s">
        <v>3635</v>
      </c>
      <c r="M1005" s="17">
        <v>7</v>
      </c>
      <c r="N1005" t="s">
        <v>21</v>
      </c>
      <c r="O1005" s="24" t="s">
        <v>76</v>
      </c>
      <c r="P1005" s="19">
        <v>1599.85</v>
      </c>
      <c r="Q1005" s="26" t="str">
        <f>IF(OR(P1005&lt;'Descriptive Statistics'!$H$17,P1005&gt;'Descriptive Statistics'!$H$18),"Potential Outlier","Within Range")</f>
        <v>Within Range</v>
      </c>
      <c r="R1005" s="26" t="str">
        <f>IF(OR(G1005&lt;'Descriptive Statistics'!$I$17,G1005&gt;'Descriptive Statistics'!$I$18),"Potential Outlier","Within Range")</f>
        <v>Within Range</v>
      </c>
      <c r="S1005" s="26" t="str">
        <f>IF(OR(H1005&lt;'Descriptive Statistics'!$J$17,H1005&gt;'Descriptive Statistics'!$J$18),"Potential Outlier","Within Range")</f>
        <v>Within Range</v>
      </c>
    </row>
    <row r="1006" hidden="1" spans="1:19">
      <c r="A1006" t="s">
        <v>3636</v>
      </c>
      <c r="B1006" s="23">
        <v>45817</v>
      </c>
      <c r="C1006" s="23" t="str">
        <f t="shared" si="30"/>
        <v>Jun</v>
      </c>
      <c r="D1006" s="23" t="str">
        <f t="shared" si="31"/>
        <v>2025</v>
      </c>
      <c r="E1006" t="s">
        <v>3637</v>
      </c>
      <c r="F1006" s="24" t="s">
        <v>41</v>
      </c>
      <c r="G1006" s="17">
        <v>4</v>
      </c>
      <c r="H1006" s="19">
        <v>246.91</v>
      </c>
      <c r="I1006" t="s">
        <v>145</v>
      </c>
      <c r="J1006" s="24" t="s">
        <v>27</v>
      </c>
      <c r="K1006" s="24" t="s">
        <v>89</v>
      </c>
      <c r="L1006" t="s">
        <v>3638</v>
      </c>
      <c r="M1006" s="17">
        <v>8</v>
      </c>
      <c r="N1006" t="s">
        <v>21</v>
      </c>
      <c r="O1006" s="24" t="s">
        <v>29</v>
      </c>
      <c r="P1006" s="19">
        <v>987.64</v>
      </c>
      <c r="Q1006" s="26" t="str">
        <f>IF(OR(P1006&lt;'Descriptive Statistics'!$H$17,P1006&gt;'Descriptive Statistics'!$H$18),"Potential Outlier","Within Range")</f>
        <v>Within Range</v>
      </c>
      <c r="R1006" s="26" t="str">
        <f>IF(OR(G1006&lt;'Descriptive Statistics'!$I$17,G1006&gt;'Descriptive Statistics'!$I$18),"Potential Outlier","Within Range")</f>
        <v>Within Range</v>
      </c>
      <c r="S1006" s="26" t="str">
        <f>IF(OR(H1006&lt;'Descriptive Statistics'!$J$17,H1006&gt;'Descriptive Statistics'!$J$18),"Potential Outlier","Within Range")</f>
        <v>Within Range</v>
      </c>
    </row>
    <row r="1007" hidden="1" spans="1:19">
      <c r="A1007" t="s">
        <v>3639</v>
      </c>
      <c r="B1007" s="23">
        <v>44987</v>
      </c>
      <c r="C1007" s="23" t="str">
        <f t="shared" si="30"/>
        <v>Mar</v>
      </c>
      <c r="D1007" s="23" t="str">
        <f t="shared" si="31"/>
        <v>2023</v>
      </c>
      <c r="E1007" t="s">
        <v>3640</v>
      </c>
      <c r="F1007" s="24" t="s">
        <v>48</v>
      </c>
      <c r="G1007" s="17">
        <v>3</v>
      </c>
      <c r="H1007" s="19">
        <v>392.85</v>
      </c>
      <c r="I1007" t="s">
        <v>2948</v>
      </c>
      <c r="J1007" s="24" t="s">
        <v>34</v>
      </c>
      <c r="K1007" s="24" t="s">
        <v>43</v>
      </c>
      <c r="L1007" t="s">
        <v>3641</v>
      </c>
      <c r="M1007" s="17">
        <v>6</v>
      </c>
      <c r="N1007" t="s">
        <v>4295</v>
      </c>
      <c r="O1007" s="24" t="s">
        <v>76</v>
      </c>
      <c r="P1007" s="19">
        <v>1178.55</v>
      </c>
      <c r="Q1007" s="26" t="str">
        <f>IF(OR(P1007&lt;'Descriptive Statistics'!$H$17,P1007&gt;'Descriptive Statistics'!$H$18),"Potential Outlier","Within Range")</f>
        <v>Within Range</v>
      </c>
      <c r="R1007" s="26" t="str">
        <f>IF(OR(G1007&lt;'Descriptive Statistics'!$I$17,G1007&gt;'Descriptive Statistics'!$I$18),"Potential Outlier","Within Range")</f>
        <v>Within Range</v>
      </c>
      <c r="S1007" s="26" t="str">
        <f>IF(OR(H1007&lt;'Descriptive Statistics'!$J$17,H1007&gt;'Descriptive Statistics'!$J$18),"Potential Outlier","Within Range")</f>
        <v>Within Range</v>
      </c>
    </row>
    <row r="1008" hidden="1" spans="1:19">
      <c r="A1008" t="s">
        <v>3642</v>
      </c>
      <c r="B1008" s="23">
        <v>45439</v>
      </c>
      <c r="C1008" s="23" t="str">
        <f t="shared" si="30"/>
        <v>May</v>
      </c>
      <c r="D1008" s="23" t="str">
        <f t="shared" si="31"/>
        <v>2024</v>
      </c>
      <c r="E1008" t="s">
        <v>3643</v>
      </c>
      <c r="F1008" s="24" t="s">
        <v>32</v>
      </c>
      <c r="G1008" s="17">
        <v>5</v>
      </c>
      <c r="H1008" s="19">
        <v>420.98</v>
      </c>
      <c r="I1008" t="s">
        <v>2519</v>
      </c>
      <c r="J1008" s="24" t="s">
        <v>65</v>
      </c>
      <c r="K1008" s="24" t="s">
        <v>50</v>
      </c>
      <c r="L1008" t="s">
        <v>3644</v>
      </c>
      <c r="M1008" s="17">
        <v>7</v>
      </c>
      <c r="N1008" t="s">
        <v>21</v>
      </c>
      <c r="O1008" s="24" t="s">
        <v>45</v>
      </c>
      <c r="P1008" s="19">
        <v>2104.9</v>
      </c>
      <c r="Q1008" s="26" t="str">
        <f>IF(OR(P1008&lt;'Descriptive Statistics'!$H$17,P1008&gt;'Descriptive Statistics'!$H$18),"Potential Outlier","Within Range")</f>
        <v>Within Range</v>
      </c>
      <c r="R1008" s="26" t="str">
        <f>IF(OR(G1008&lt;'Descriptive Statistics'!$I$17,G1008&gt;'Descriptive Statistics'!$I$18),"Potential Outlier","Within Range")</f>
        <v>Within Range</v>
      </c>
      <c r="S1008" s="26" t="str">
        <f>IF(OR(H1008&lt;'Descriptive Statistics'!$J$17,H1008&gt;'Descriptive Statistics'!$J$18),"Potential Outlier","Within Range")</f>
        <v>Within Range</v>
      </c>
    </row>
    <row r="1009" hidden="1" spans="1:19">
      <c r="A1009" t="s">
        <v>3645</v>
      </c>
      <c r="B1009" s="23">
        <v>45371</v>
      </c>
      <c r="C1009" s="23" t="str">
        <f t="shared" si="30"/>
        <v>Mar</v>
      </c>
      <c r="D1009" s="23" t="str">
        <f t="shared" si="31"/>
        <v>2024</v>
      </c>
      <c r="E1009" t="s">
        <v>1868</v>
      </c>
      <c r="F1009" s="24" t="s">
        <v>16</v>
      </c>
      <c r="G1009" s="17">
        <v>2</v>
      </c>
      <c r="H1009" s="19">
        <v>73.26</v>
      </c>
      <c r="I1009" t="s">
        <v>415</v>
      </c>
      <c r="J1009" s="24" t="s">
        <v>65</v>
      </c>
      <c r="K1009" s="24" t="s">
        <v>89</v>
      </c>
      <c r="L1009" t="s">
        <v>3646</v>
      </c>
      <c r="M1009" s="17">
        <v>4</v>
      </c>
      <c r="N1009" t="s">
        <v>81</v>
      </c>
      <c r="O1009" s="24" t="s">
        <v>45</v>
      </c>
      <c r="P1009" s="19">
        <v>146.52</v>
      </c>
      <c r="Q1009" s="26" t="str">
        <f>IF(OR(P1009&lt;'Descriptive Statistics'!$H$17,P1009&gt;'Descriptive Statistics'!$H$18),"Potential Outlier","Within Range")</f>
        <v>Within Range</v>
      </c>
      <c r="R1009" s="26" t="str">
        <f>IF(OR(G1009&lt;'Descriptive Statistics'!$I$17,G1009&gt;'Descriptive Statistics'!$I$18),"Potential Outlier","Within Range")</f>
        <v>Within Range</v>
      </c>
      <c r="S1009" s="26" t="str">
        <f>IF(OR(H1009&lt;'Descriptive Statistics'!$J$17,H1009&gt;'Descriptive Statistics'!$J$18),"Potential Outlier","Within Range")</f>
        <v>Within Range</v>
      </c>
    </row>
    <row r="1010" hidden="1" spans="1:19">
      <c r="A1010" t="s">
        <v>3647</v>
      </c>
      <c r="B1010" s="23">
        <v>44939</v>
      </c>
      <c r="C1010" s="23" t="str">
        <f t="shared" si="30"/>
        <v>Jan</v>
      </c>
      <c r="D1010" s="23" t="str">
        <f t="shared" si="31"/>
        <v>2023</v>
      </c>
      <c r="E1010" t="s">
        <v>3648</v>
      </c>
      <c r="F1010" s="24" t="s">
        <v>16</v>
      </c>
      <c r="G1010" s="17">
        <v>3</v>
      </c>
      <c r="H1010" s="19">
        <v>410.88</v>
      </c>
      <c r="I1010" t="s">
        <v>2866</v>
      </c>
      <c r="J1010" s="24" t="s">
        <v>65</v>
      </c>
      <c r="K1010" s="24" t="s">
        <v>50</v>
      </c>
      <c r="L1010" t="s">
        <v>3649</v>
      </c>
      <c r="M1010" s="17">
        <v>8</v>
      </c>
      <c r="N1010" t="s">
        <v>37</v>
      </c>
      <c r="O1010" s="24" t="s">
        <v>22</v>
      </c>
      <c r="P1010" s="19">
        <v>1232.64</v>
      </c>
      <c r="Q1010" s="26" t="str">
        <f>IF(OR(P1010&lt;'Descriptive Statistics'!$H$17,P1010&gt;'Descriptive Statistics'!$H$18),"Potential Outlier","Within Range")</f>
        <v>Within Range</v>
      </c>
      <c r="R1010" s="26" t="str">
        <f>IF(OR(G1010&lt;'Descriptive Statistics'!$I$17,G1010&gt;'Descriptive Statistics'!$I$18),"Potential Outlier","Within Range")</f>
        <v>Within Range</v>
      </c>
      <c r="S1010" s="26" t="str">
        <f>IF(OR(H1010&lt;'Descriptive Statistics'!$J$17,H1010&gt;'Descriptive Statistics'!$J$18),"Potential Outlier","Within Range")</f>
        <v>Within Range</v>
      </c>
    </row>
    <row r="1011" hidden="1" spans="1:19">
      <c r="A1011" t="s">
        <v>3650</v>
      </c>
      <c r="B1011" s="23">
        <v>45171</v>
      </c>
      <c r="C1011" s="23" t="str">
        <f t="shared" si="30"/>
        <v>Sep</v>
      </c>
      <c r="D1011" s="23" t="str">
        <f t="shared" si="31"/>
        <v>2023</v>
      </c>
      <c r="E1011" t="s">
        <v>3651</v>
      </c>
      <c r="F1011" s="24" t="s">
        <v>32</v>
      </c>
      <c r="G1011" s="17">
        <v>2</v>
      </c>
      <c r="H1011" s="19">
        <v>176.46</v>
      </c>
      <c r="I1011" t="s">
        <v>1945</v>
      </c>
      <c r="J1011" s="24" t="s">
        <v>34</v>
      </c>
      <c r="K1011" s="24" t="s">
        <v>50</v>
      </c>
      <c r="L1011" t="s">
        <v>3652</v>
      </c>
      <c r="M1011" s="17">
        <v>2</v>
      </c>
      <c r="N1011" t="s">
        <v>37</v>
      </c>
      <c r="O1011" s="24" t="s">
        <v>38</v>
      </c>
      <c r="P1011" s="19">
        <v>352.92</v>
      </c>
      <c r="Q1011" s="26" t="str">
        <f>IF(OR(P1011&lt;'Descriptive Statistics'!$H$17,P1011&gt;'Descriptive Statistics'!$H$18),"Potential Outlier","Within Range")</f>
        <v>Within Range</v>
      </c>
      <c r="R1011" s="26" t="str">
        <f>IF(OR(G1011&lt;'Descriptive Statistics'!$I$17,G1011&gt;'Descriptive Statistics'!$I$18),"Potential Outlier","Within Range")</f>
        <v>Within Range</v>
      </c>
      <c r="S1011" s="26" t="str">
        <f>IF(OR(H1011&lt;'Descriptive Statistics'!$J$17,H1011&gt;'Descriptive Statistics'!$J$18),"Potential Outlier","Within Range")</f>
        <v>Within Range</v>
      </c>
    </row>
    <row r="1012" hidden="1" spans="1:19">
      <c r="A1012" t="s">
        <v>3653</v>
      </c>
      <c r="B1012" s="23">
        <v>45016</v>
      </c>
      <c r="C1012" s="23" t="str">
        <f t="shared" si="30"/>
        <v>Mar</v>
      </c>
      <c r="D1012" s="23" t="str">
        <f t="shared" si="31"/>
        <v>2023</v>
      </c>
      <c r="E1012" t="s">
        <v>3654</v>
      </c>
      <c r="F1012" s="24" t="s">
        <v>16</v>
      </c>
      <c r="G1012" s="17">
        <v>3</v>
      </c>
      <c r="H1012" s="19">
        <v>659.57</v>
      </c>
      <c r="I1012" t="s">
        <v>426</v>
      </c>
      <c r="J1012" s="24" t="s">
        <v>34</v>
      </c>
      <c r="K1012" s="24" t="s">
        <v>35</v>
      </c>
      <c r="L1012" t="s">
        <v>3655</v>
      </c>
      <c r="M1012" s="17">
        <v>6</v>
      </c>
      <c r="N1012" t="s">
        <v>21</v>
      </c>
      <c r="O1012" s="24" t="s">
        <v>38</v>
      </c>
      <c r="P1012" s="19">
        <v>1978.71</v>
      </c>
      <c r="Q1012" s="26" t="str">
        <f>IF(OR(P1012&lt;'Descriptive Statistics'!$H$17,P1012&gt;'Descriptive Statistics'!$H$18),"Potential Outlier","Within Range")</f>
        <v>Within Range</v>
      </c>
      <c r="R1012" s="26" t="str">
        <f>IF(OR(G1012&lt;'Descriptive Statistics'!$I$17,G1012&gt;'Descriptive Statistics'!$I$18),"Potential Outlier","Within Range")</f>
        <v>Within Range</v>
      </c>
      <c r="S1012" s="26" t="str">
        <f>IF(OR(H1012&lt;'Descriptive Statistics'!$J$17,H1012&gt;'Descriptive Statistics'!$J$18),"Potential Outlier","Within Range")</f>
        <v>Within Range</v>
      </c>
    </row>
    <row r="1013" hidden="1" spans="1:19">
      <c r="A1013" t="s">
        <v>3656</v>
      </c>
      <c r="B1013" s="23">
        <v>45629</v>
      </c>
      <c r="C1013" s="23" t="str">
        <f t="shared" si="30"/>
        <v>Dec</v>
      </c>
      <c r="D1013" s="23" t="str">
        <f t="shared" si="31"/>
        <v>2024</v>
      </c>
      <c r="E1013" t="s">
        <v>3657</v>
      </c>
      <c r="F1013" s="24" t="s">
        <v>25</v>
      </c>
      <c r="G1013" s="17">
        <v>2</v>
      </c>
      <c r="H1013" s="19">
        <v>478.36</v>
      </c>
      <c r="I1013" t="s">
        <v>1105</v>
      </c>
      <c r="J1013" s="24" t="s">
        <v>27</v>
      </c>
      <c r="K1013" s="24" t="s">
        <v>19</v>
      </c>
      <c r="L1013" t="s">
        <v>3658</v>
      </c>
      <c r="M1013" s="17">
        <v>3</v>
      </c>
      <c r="N1013" t="s">
        <v>4295</v>
      </c>
      <c r="O1013" s="24" t="s">
        <v>76</v>
      </c>
      <c r="P1013" s="19">
        <v>956.72</v>
      </c>
      <c r="Q1013" s="26" t="str">
        <f>IF(OR(P1013&lt;'Descriptive Statistics'!$H$17,P1013&gt;'Descriptive Statistics'!$H$18),"Potential Outlier","Within Range")</f>
        <v>Within Range</v>
      </c>
      <c r="R1013" s="26" t="str">
        <f>IF(OR(G1013&lt;'Descriptive Statistics'!$I$17,G1013&gt;'Descriptive Statistics'!$I$18),"Potential Outlier","Within Range")</f>
        <v>Within Range</v>
      </c>
      <c r="S1013" s="26" t="str">
        <f>IF(OR(H1013&lt;'Descriptive Statistics'!$J$17,H1013&gt;'Descriptive Statistics'!$J$18),"Potential Outlier","Within Range")</f>
        <v>Within Range</v>
      </c>
    </row>
    <row r="1014" hidden="1" spans="1:19">
      <c r="A1014" t="s">
        <v>3659</v>
      </c>
      <c r="B1014" s="23">
        <v>45629</v>
      </c>
      <c r="C1014" s="23" t="str">
        <f t="shared" si="30"/>
        <v>Dec</v>
      </c>
      <c r="D1014" s="23" t="str">
        <f t="shared" si="31"/>
        <v>2024</v>
      </c>
      <c r="E1014" t="s">
        <v>3660</v>
      </c>
      <c r="F1014" s="24" t="s">
        <v>48</v>
      </c>
      <c r="G1014" s="17">
        <v>4</v>
      </c>
      <c r="H1014" s="19">
        <v>30.05</v>
      </c>
      <c r="I1014" t="s">
        <v>1252</v>
      </c>
      <c r="J1014" s="24" t="s">
        <v>27</v>
      </c>
      <c r="K1014" s="24" t="s">
        <v>43</v>
      </c>
      <c r="L1014" t="s">
        <v>3661</v>
      </c>
      <c r="M1014" s="17">
        <v>6</v>
      </c>
      <c r="N1014" t="s">
        <v>4295</v>
      </c>
      <c r="O1014" s="24" t="s">
        <v>45</v>
      </c>
      <c r="P1014" s="19">
        <v>120.2</v>
      </c>
      <c r="Q1014" s="26" t="str">
        <f>IF(OR(P1014&lt;'Descriptive Statistics'!$H$17,P1014&gt;'Descriptive Statistics'!$H$18),"Potential Outlier","Within Range")</f>
        <v>Within Range</v>
      </c>
      <c r="R1014" s="26" t="str">
        <f>IF(OR(G1014&lt;'Descriptive Statistics'!$I$17,G1014&gt;'Descriptive Statistics'!$I$18),"Potential Outlier","Within Range")</f>
        <v>Within Range</v>
      </c>
      <c r="S1014" s="26" t="str">
        <f>IF(OR(H1014&lt;'Descriptive Statistics'!$J$17,H1014&gt;'Descriptive Statistics'!$J$18),"Potential Outlier","Within Range")</f>
        <v>Within Range</v>
      </c>
    </row>
    <row r="1015" hidden="1" spans="1:19">
      <c r="A1015" t="s">
        <v>3662</v>
      </c>
      <c r="B1015" s="23">
        <v>45773</v>
      </c>
      <c r="C1015" s="23" t="str">
        <f t="shared" si="30"/>
        <v>Apr</v>
      </c>
      <c r="D1015" s="23" t="str">
        <f t="shared" si="31"/>
        <v>2025</v>
      </c>
      <c r="E1015" t="s">
        <v>3663</v>
      </c>
      <c r="F1015" s="24" t="s">
        <v>58</v>
      </c>
      <c r="G1015" s="17">
        <v>4</v>
      </c>
      <c r="H1015" s="19">
        <v>300.56</v>
      </c>
      <c r="I1015" t="s">
        <v>265</v>
      </c>
      <c r="J1015" s="24" t="s">
        <v>65</v>
      </c>
      <c r="K1015" s="24" t="s">
        <v>35</v>
      </c>
      <c r="L1015" t="s">
        <v>3664</v>
      </c>
      <c r="M1015" s="17">
        <v>9</v>
      </c>
      <c r="N1015" t="s">
        <v>37</v>
      </c>
      <c r="O1015" s="24" t="s">
        <v>45</v>
      </c>
      <c r="P1015" s="19">
        <v>1202.24</v>
      </c>
      <c r="Q1015" s="26" t="str">
        <f>IF(OR(P1015&lt;'Descriptive Statistics'!$H$17,P1015&gt;'Descriptive Statistics'!$H$18),"Potential Outlier","Within Range")</f>
        <v>Within Range</v>
      </c>
      <c r="R1015" s="26" t="str">
        <f>IF(OR(G1015&lt;'Descriptive Statistics'!$I$17,G1015&gt;'Descriptive Statistics'!$I$18),"Potential Outlier","Within Range")</f>
        <v>Within Range</v>
      </c>
      <c r="S1015" s="26" t="str">
        <f>IF(OR(H1015&lt;'Descriptive Statistics'!$J$17,H1015&gt;'Descriptive Statistics'!$J$18),"Potential Outlier","Within Range")</f>
        <v>Within Range</v>
      </c>
    </row>
    <row r="1016" hidden="1" spans="1:19">
      <c r="A1016" t="s">
        <v>3665</v>
      </c>
      <c r="B1016" s="23">
        <v>45326</v>
      </c>
      <c r="C1016" s="23" t="str">
        <f t="shared" si="30"/>
        <v>Feb</v>
      </c>
      <c r="D1016" s="23" t="str">
        <f t="shared" si="31"/>
        <v>2024</v>
      </c>
      <c r="E1016" t="s">
        <v>3666</v>
      </c>
      <c r="F1016" s="24" t="s">
        <v>32</v>
      </c>
      <c r="G1016" s="17">
        <v>5</v>
      </c>
      <c r="H1016" s="19">
        <v>226.45</v>
      </c>
      <c r="I1016" t="s">
        <v>1743</v>
      </c>
      <c r="J1016" s="24" t="s">
        <v>18</v>
      </c>
      <c r="K1016" s="24" t="s">
        <v>43</v>
      </c>
      <c r="L1016" t="s">
        <v>3667</v>
      </c>
      <c r="M1016" s="17">
        <v>6</v>
      </c>
      <c r="N1016" t="s">
        <v>37</v>
      </c>
      <c r="O1016" s="24" t="s">
        <v>38</v>
      </c>
      <c r="P1016" s="19">
        <v>1132.25</v>
      </c>
      <c r="Q1016" s="26" t="str">
        <f>IF(OR(P1016&lt;'Descriptive Statistics'!$H$17,P1016&gt;'Descriptive Statistics'!$H$18),"Potential Outlier","Within Range")</f>
        <v>Within Range</v>
      </c>
      <c r="R1016" s="26" t="str">
        <f>IF(OR(G1016&lt;'Descriptive Statistics'!$I$17,G1016&gt;'Descriptive Statistics'!$I$18),"Potential Outlier","Within Range")</f>
        <v>Within Range</v>
      </c>
      <c r="S1016" s="26" t="str">
        <f>IF(OR(H1016&lt;'Descriptive Statistics'!$J$17,H1016&gt;'Descriptive Statistics'!$J$18),"Potential Outlier","Within Range")</f>
        <v>Within Range</v>
      </c>
    </row>
    <row r="1017" hidden="1" spans="1:19">
      <c r="A1017" t="s">
        <v>3668</v>
      </c>
      <c r="B1017" s="23">
        <v>45317</v>
      </c>
      <c r="C1017" s="23" t="str">
        <f t="shared" si="30"/>
        <v>Jan</v>
      </c>
      <c r="D1017" s="23" t="str">
        <f t="shared" si="31"/>
        <v>2024</v>
      </c>
      <c r="E1017" t="s">
        <v>3669</v>
      </c>
      <c r="F1017" s="24" t="s">
        <v>48</v>
      </c>
      <c r="G1017" s="17">
        <v>2</v>
      </c>
      <c r="H1017" s="19">
        <v>349.4</v>
      </c>
      <c r="I1017" t="s">
        <v>2283</v>
      </c>
      <c r="J1017" s="24" t="s">
        <v>27</v>
      </c>
      <c r="K1017" s="24" t="s">
        <v>19</v>
      </c>
      <c r="L1017" t="s">
        <v>3670</v>
      </c>
      <c r="M1017" s="17">
        <v>2</v>
      </c>
      <c r="N1017" t="s">
        <v>21</v>
      </c>
      <c r="O1017" s="24" t="s">
        <v>22</v>
      </c>
      <c r="P1017" s="19">
        <v>698.8</v>
      </c>
      <c r="Q1017" s="26" t="str">
        <f>IF(OR(P1017&lt;'Descriptive Statistics'!$H$17,P1017&gt;'Descriptive Statistics'!$H$18),"Potential Outlier","Within Range")</f>
        <v>Within Range</v>
      </c>
      <c r="R1017" s="26" t="str">
        <f>IF(OR(G1017&lt;'Descriptive Statistics'!$I$17,G1017&gt;'Descriptive Statistics'!$I$18),"Potential Outlier","Within Range")</f>
        <v>Within Range</v>
      </c>
      <c r="S1017" s="26" t="str">
        <f>IF(OR(H1017&lt;'Descriptive Statistics'!$J$17,H1017&gt;'Descriptive Statistics'!$J$18),"Potential Outlier","Within Range")</f>
        <v>Within Range</v>
      </c>
    </row>
    <row r="1018" hidden="1" spans="1:19">
      <c r="A1018" t="s">
        <v>3671</v>
      </c>
      <c r="B1018" s="23">
        <v>45289</v>
      </c>
      <c r="C1018" s="23" t="str">
        <f t="shared" si="30"/>
        <v>Dec</v>
      </c>
      <c r="D1018" s="23" t="str">
        <f t="shared" si="31"/>
        <v>2023</v>
      </c>
      <c r="E1018" t="s">
        <v>3672</v>
      </c>
      <c r="F1018" s="24" t="s">
        <v>32</v>
      </c>
      <c r="G1018" s="17">
        <v>5</v>
      </c>
      <c r="H1018" s="19">
        <v>268.78</v>
      </c>
      <c r="I1018" t="s">
        <v>3673</v>
      </c>
      <c r="J1018" s="24" t="s">
        <v>18</v>
      </c>
      <c r="K1018" s="24" t="s">
        <v>50</v>
      </c>
      <c r="L1018" t="s">
        <v>3674</v>
      </c>
      <c r="M1018" s="17">
        <v>7</v>
      </c>
      <c r="N1018" t="s">
        <v>81</v>
      </c>
      <c r="O1018" s="24" t="s">
        <v>38</v>
      </c>
      <c r="P1018" s="19">
        <v>1343.9</v>
      </c>
      <c r="Q1018" s="26" t="str">
        <f>IF(OR(P1018&lt;'Descriptive Statistics'!$H$17,P1018&gt;'Descriptive Statistics'!$H$18),"Potential Outlier","Within Range")</f>
        <v>Within Range</v>
      </c>
      <c r="R1018" s="26" t="str">
        <f>IF(OR(G1018&lt;'Descriptive Statistics'!$I$17,G1018&gt;'Descriptive Statistics'!$I$18),"Potential Outlier","Within Range")</f>
        <v>Within Range</v>
      </c>
      <c r="S1018" s="26" t="str">
        <f>IF(OR(H1018&lt;'Descriptive Statistics'!$J$17,H1018&gt;'Descriptive Statistics'!$J$18),"Potential Outlier","Within Range")</f>
        <v>Within Range</v>
      </c>
    </row>
    <row r="1019" hidden="1" spans="1:19">
      <c r="A1019" t="s">
        <v>3675</v>
      </c>
      <c r="B1019" s="23">
        <v>45529</v>
      </c>
      <c r="C1019" s="23" t="str">
        <f t="shared" si="30"/>
        <v>Aug</v>
      </c>
      <c r="D1019" s="23" t="str">
        <f t="shared" si="31"/>
        <v>2024</v>
      </c>
      <c r="E1019" t="s">
        <v>3676</v>
      </c>
      <c r="F1019" s="24" t="s">
        <v>41</v>
      </c>
      <c r="G1019" s="17">
        <v>2</v>
      </c>
      <c r="H1019" s="19">
        <v>680.85</v>
      </c>
      <c r="I1019" t="s">
        <v>3677</v>
      </c>
      <c r="J1019" s="24" t="s">
        <v>60</v>
      </c>
      <c r="K1019" s="24" t="s">
        <v>50</v>
      </c>
      <c r="L1019" t="s">
        <v>3678</v>
      </c>
      <c r="M1019" s="17">
        <v>6</v>
      </c>
      <c r="N1019" t="s">
        <v>37</v>
      </c>
      <c r="O1019" s="24" t="s">
        <v>29</v>
      </c>
      <c r="P1019" s="19">
        <v>1361.7</v>
      </c>
      <c r="Q1019" s="26" t="str">
        <f>IF(OR(P1019&lt;'Descriptive Statistics'!$H$17,P1019&gt;'Descriptive Statistics'!$H$18),"Potential Outlier","Within Range")</f>
        <v>Within Range</v>
      </c>
      <c r="R1019" s="26" t="str">
        <f>IF(OR(G1019&lt;'Descriptive Statistics'!$I$17,G1019&gt;'Descriptive Statistics'!$I$18),"Potential Outlier","Within Range")</f>
        <v>Within Range</v>
      </c>
      <c r="S1019" s="26" t="str">
        <f>IF(OR(H1019&lt;'Descriptive Statistics'!$J$17,H1019&gt;'Descriptive Statistics'!$J$18),"Potential Outlier","Within Range")</f>
        <v>Within Range</v>
      </c>
    </row>
    <row r="1020" hidden="1" spans="1:19">
      <c r="A1020" t="s">
        <v>3679</v>
      </c>
      <c r="B1020" s="23">
        <v>45115</v>
      </c>
      <c r="C1020" s="23" t="str">
        <f t="shared" si="30"/>
        <v>Jul</v>
      </c>
      <c r="D1020" s="23" t="str">
        <f t="shared" si="31"/>
        <v>2023</v>
      </c>
      <c r="E1020" t="s">
        <v>3680</v>
      </c>
      <c r="F1020" s="24" t="s">
        <v>58</v>
      </c>
      <c r="G1020" s="17">
        <v>3</v>
      </c>
      <c r="H1020" s="19">
        <v>182.48</v>
      </c>
      <c r="I1020" t="s">
        <v>3681</v>
      </c>
      <c r="J1020" s="24" t="s">
        <v>65</v>
      </c>
      <c r="K1020" s="24" t="s">
        <v>50</v>
      </c>
      <c r="L1020" t="s">
        <v>3682</v>
      </c>
      <c r="M1020" s="17">
        <v>3</v>
      </c>
      <c r="N1020" t="s">
        <v>4295</v>
      </c>
      <c r="O1020" s="24" t="s">
        <v>22</v>
      </c>
      <c r="P1020" s="19">
        <v>547.44</v>
      </c>
      <c r="Q1020" s="26" t="str">
        <f>IF(OR(P1020&lt;'Descriptive Statistics'!$H$17,P1020&gt;'Descriptive Statistics'!$H$18),"Potential Outlier","Within Range")</f>
        <v>Within Range</v>
      </c>
      <c r="R1020" s="26" t="str">
        <f>IF(OR(G1020&lt;'Descriptive Statistics'!$I$17,G1020&gt;'Descriptive Statistics'!$I$18),"Potential Outlier","Within Range")</f>
        <v>Within Range</v>
      </c>
      <c r="S1020" s="26" t="str">
        <f>IF(OR(H1020&lt;'Descriptive Statistics'!$J$17,H1020&gt;'Descriptive Statistics'!$J$18),"Potential Outlier","Within Range")</f>
        <v>Within Range</v>
      </c>
    </row>
    <row r="1021" hidden="1" spans="1:19">
      <c r="A1021" t="s">
        <v>3683</v>
      </c>
      <c r="B1021" s="23">
        <v>45388</v>
      </c>
      <c r="C1021" s="23" t="str">
        <f t="shared" si="30"/>
        <v>Apr</v>
      </c>
      <c r="D1021" s="23" t="str">
        <f t="shared" si="31"/>
        <v>2024</v>
      </c>
      <c r="E1021" t="s">
        <v>3684</v>
      </c>
      <c r="F1021" s="24" t="s">
        <v>73</v>
      </c>
      <c r="G1021" s="17">
        <v>1</v>
      </c>
      <c r="H1021" s="19">
        <v>277.09</v>
      </c>
      <c r="I1021" t="s">
        <v>1348</v>
      </c>
      <c r="J1021" s="24" t="s">
        <v>65</v>
      </c>
      <c r="K1021" s="24" t="s">
        <v>43</v>
      </c>
      <c r="L1021" t="s">
        <v>3685</v>
      </c>
      <c r="M1021" s="17">
        <v>2</v>
      </c>
      <c r="N1021" t="s">
        <v>21</v>
      </c>
      <c r="O1021" s="24" t="s">
        <v>29</v>
      </c>
      <c r="P1021" s="19">
        <v>277.09</v>
      </c>
      <c r="Q1021" s="26" t="str">
        <f>IF(OR(P1021&lt;'Descriptive Statistics'!$H$17,P1021&gt;'Descriptive Statistics'!$H$18),"Potential Outlier","Within Range")</f>
        <v>Within Range</v>
      </c>
      <c r="R1021" s="26" t="str">
        <f>IF(OR(G1021&lt;'Descriptive Statistics'!$I$17,G1021&gt;'Descriptive Statistics'!$I$18),"Potential Outlier","Within Range")</f>
        <v>Within Range</v>
      </c>
      <c r="S1021" s="26" t="str">
        <f>IF(OR(H1021&lt;'Descriptive Statistics'!$J$17,H1021&gt;'Descriptive Statistics'!$J$18),"Potential Outlier","Within Range")</f>
        <v>Within Range</v>
      </c>
    </row>
    <row r="1022" hidden="1" spans="1:19">
      <c r="A1022" t="s">
        <v>3686</v>
      </c>
      <c r="B1022" s="23">
        <v>45404</v>
      </c>
      <c r="C1022" s="23" t="str">
        <f t="shared" si="30"/>
        <v>Apr</v>
      </c>
      <c r="D1022" s="23" t="str">
        <f t="shared" si="31"/>
        <v>2024</v>
      </c>
      <c r="E1022" t="s">
        <v>3687</v>
      </c>
      <c r="F1022" s="24" t="s">
        <v>32</v>
      </c>
      <c r="G1022" s="17">
        <v>2</v>
      </c>
      <c r="H1022" s="19">
        <v>26.5</v>
      </c>
      <c r="I1022" t="s">
        <v>1431</v>
      </c>
      <c r="J1022" s="24" t="s">
        <v>27</v>
      </c>
      <c r="K1022" s="24" t="s">
        <v>50</v>
      </c>
      <c r="L1022" t="s">
        <v>3688</v>
      </c>
      <c r="M1022" s="17">
        <v>3</v>
      </c>
      <c r="N1022" t="s">
        <v>21</v>
      </c>
      <c r="O1022" s="24" t="s">
        <v>22</v>
      </c>
      <c r="P1022" s="19">
        <v>53</v>
      </c>
      <c r="Q1022" s="26" t="str">
        <f>IF(OR(P1022&lt;'Descriptive Statistics'!$H$17,P1022&gt;'Descriptive Statistics'!$H$18),"Potential Outlier","Within Range")</f>
        <v>Within Range</v>
      </c>
      <c r="R1022" s="26" t="str">
        <f>IF(OR(G1022&lt;'Descriptive Statistics'!$I$17,G1022&gt;'Descriptive Statistics'!$I$18),"Potential Outlier","Within Range")</f>
        <v>Within Range</v>
      </c>
      <c r="S1022" s="26" t="str">
        <f>IF(OR(H1022&lt;'Descriptive Statistics'!$J$17,H1022&gt;'Descriptive Statistics'!$J$18),"Potential Outlier","Within Range")</f>
        <v>Within Range</v>
      </c>
    </row>
    <row r="1023" hidden="1" spans="1:19">
      <c r="A1023" t="s">
        <v>3689</v>
      </c>
      <c r="B1023" s="23">
        <v>45222</v>
      </c>
      <c r="C1023" s="23" t="str">
        <f t="shared" si="30"/>
        <v>Oct</v>
      </c>
      <c r="D1023" s="23" t="str">
        <f t="shared" si="31"/>
        <v>2023</v>
      </c>
      <c r="E1023" t="s">
        <v>3690</v>
      </c>
      <c r="F1023" s="24" t="s">
        <v>25</v>
      </c>
      <c r="G1023" s="17">
        <v>3</v>
      </c>
      <c r="H1023" s="19">
        <v>315.27</v>
      </c>
      <c r="I1023" t="s">
        <v>3192</v>
      </c>
      <c r="J1023" s="24" t="s">
        <v>34</v>
      </c>
      <c r="K1023" s="24" t="s">
        <v>35</v>
      </c>
      <c r="L1023" t="s">
        <v>3691</v>
      </c>
      <c r="M1023" s="17">
        <v>4</v>
      </c>
      <c r="N1023" t="s">
        <v>21</v>
      </c>
      <c r="O1023" s="24" t="s">
        <v>38</v>
      </c>
      <c r="P1023" s="19">
        <v>945.81</v>
      </c>
      <c r="Q1023" s="26" t="str">
        <f>IF(OR(P1023&lt;'Descriptive Statistics'!$H$17,P1023&gt;'Descriptive Statistics'!$H$18),"Potential Outlier","Within Range")</f>
        <v>Within Range</v>
      </c>
      <c r="R1023" s="26" t="str">
        <f>IF(OR(G1023&lt;'Descriptive Statistics'!$I$17,G1023&gt;'Descriptive Statistics'!$I$18),"Potential Outlier","Within Range")</f>
        <v>Within Range</v>
      </c>
      <c r="S1023" s="26" t="str">
        <f>IF(OR(H1023&lt;'Descriptive Statistics'!$J$17,H1023&gt;'Descriptive Statistics'!$J$18),"Potential Outlier","Within Range")</f>
        <v>Within Range</v>
      </c>
    </row>
    <row r="1024" hidden="1" spans="1:19">
      <c r="A1024" t="s">
        <v>3692</v>
      </c>
      <c r="B1024" s="23">
        <v>45712</v>
      </c>
      <c r="C1024" s="23" t="str">
        <f t="shared" si="30"/>
        <v>Feb</v>
      </c>
      <c r="D1024" s="23" t="str">
        <f t="shared" si="31"/>
        <v>2025</v>
      </c>
      <c r="E1024" t="s">
        <v>3693</v>
      </c>
      <c r="F1024" s="24" t="s">
        <v>32</v>
      </c>
      <c r="G1024" s="17">
        <v>3</v>
      </c>
      <c r="H1024" s="19">
        <v>450.98</v>
      </c>
      <c r="I1024" t="s">
        <v>2579</v>
      </c>
      <c r="J1024" s="24" t="s">
        <v>34</v>
      </c>
      <c r="K1024" s="24" t="s">
        <v>19</v>
      </c>
      <c r="L1024" t="s">
        <v>3694</v>
      </c>
      <c r="M1024" s="17">
        <v>8</v>
      </c>
      <c r="N1024" t="s">
        <v>21</v>
      </c>
      <c r="O1024" s="24" t="s">
        <v>29</v>
      </c>
      <c r="P1024" s="19">
        <v>1352.94</v>
      </c>
      <c r="Q1024" s="26" t="str">
        <f>IF(OR(P1024&lt;'Descriptive Statistics'!$H$17,P1024&gt;'Descriptive Statistics'!$H$18),"Potential Outlier","Within Range")</f>
        <v>Within Range</v>
      </c>
      <c r="R1024" s="26" t="str">
        <f>IF(OR(G1024&lt;'Descriptive Statistics'!$I$17,G1024&gt;'Descriptive Statistics'!$I$18),"Potential Outlier","Within Range")</f>
        <v>Within Range</v>
      </c>
      <c r="S1024" s="26" t="str">
        <f>IF(OR(H1024&lt;'Descriptive Statistics'!$J$17,H1024&gt;'Descriptive Statistics'!$J$18),"Potential Outlier","Within Range")</f>
        <v>Within Range</v>
      </c>
    </row>
    <row r="1025" hidden="1" spans="1:19">
      <c r="A1025" t="s">
        <v>3695</v>
      </c>
      <c r="B1025" s="23">
        <v>45558</v>
      </c>
      <c r="C1025" s="23" t="str">
        <f t="shared" si="30"/>
        <v>Sep</v>
      </c>
      <c r="D1025" s="23" t="str">
        <f t="shared" si="31"/>
        <v>2024</v>
      </c>
      <c r="E1025" t="s">
        <v>3696</v>
      </c>
      <c r="F1025" s="24" t="s">
        <v>58</v>
      </c>
      <c r="G1025" s="17">
        <v>5</v>
      </c>
      <c r="H1025" s="19">
        <v>233.67</v>
      </c>
      <c r="I1025" t="s">
        <v>391</v>
      </c>
      <c r="J1025" s="24" t="s">
        <v>65</v>
      </c>
      <c r="K1025" s="24" t="s">
        <v>19</v>
      </c>
      <c r="L1025" t="s">
        <v>3697</v>
      </c>
      <c r="M1025" s="17">
        <v>10</v>
      </c>
      <c r="N1025" t="s">
        <v>4295</v>
      </c>
      <c r="O1025" s="24" t="s">
        <v>29</v>
      </c>
      <c r="P1025" s="19">
        <v>1168.35</v>
      </c>
      <c r="Q1025" s="26" t="str">
        <f>IF(OR(P1025&lt;'Descriptive Statistics'!$H$17,P1025&gt;'Descriptive Statistics'!$H$18),"Potential Outlier","Within Range")</f>
        <v>Within Range</v>
      </c>
      <c r="R1025" s="26" t="str">
        <f>IF(OR(G1025&lt;'Descriptive Statistics'!$I$17,G1025&gt;'Descriptive Statistics'!$I$18),"Potential Outlier","Within Range")</f>
        <v>Within Range</v>
      </c>
      <c r="S1025" s="26" t="str">
        <f>IF(OR(H1025&lt;'Descriptive Statistics'!$J$17,H1025&gt;'Descriptive Statistics'!$J$18),"Potential Outlier","Within Range")</f>
        <v>Within Range</v>
      </c>
    </row>
    <row r="1026" hidden="1" spans="1:19">
      <c r="A1026" t="s">
        <v>3698</v>
      </c>
      <c r="B1026" s="23">
        <v>45320</v>
      </c>
      <c r="C1026" s="23" t="str">
        <f t="shared" ref="C1026:C1089" si="32">TEXT(B1026,"MMM")</f>
        <v>Jan</v>
      </c>
      <c r="D1026" s="23" t="str">
        <f t="shared" ref="D1026:D1089" si="33">TEXT(B1026,"YYYY")</f>
        <v>2024</v>
      </c>
      <c r="E1026" t="s">
        <v>3699</v>
      </c>
      <c r="F1026" s="24" t="s">
        <v>41</v>
      </c>
      <c r="G1026" s="17">
        <v>3</v>
      </c>
      <c r="H1026" s="19">
        <v>367.75</v>
      </c>
      <c r="I1026" t="s">
        <v>1786</v>
      </c>
      <c r="J1026" s="24" t="s">
        <v>65</v>
      </c>
      <c r="K1026" s="24" t="s">
        <v>89</v>
      </c>
      <c r="L1026" t="s">
        <v>3700</v>
      </c>
      <c r="M1026" s="17">
        <v>7</v>
      </c>
      <c r="N1026" t="s">
        <v>37</v>
      </c>
      <c r="O1026" s="24" t="s">
        <v>45</v>
      </c>
      <c r="P1026" s="19">
        <v>1103.25</v>
      </c>
      <c r="Q1026" s="26" t="str">
        <f>IF(OR(P1026&lt;'Descriptive Statistics'!$H$17,P1026&gt;'Descriptive Statistics'!$H$18),"Potential Outlier","Within Range")</f>
        <v>Within Range</v>
      </c>
      <c r="R1026" s="26" t="str">
        <f>IF(OR(G1026&lt;'Descriptive Statistics'!$I$17,G1026&gt;'Descriptive Statistics'!$I$18),"Potential Outlier","Within Range")</f>
        <v>Within Range</v>
      </c>
      <c r="S1026" s="26" t="str">
        <f>IF(OR(H1026&lt;'Descriptive Statistics'!$J$17,H1026&gt;'Descriptive Statistics'!$J$18),"Potential Outlier","Within Range")</f>
        <v>Within Range</v>
      </c>
    </row>
    <row r="1027" hidden="1" spans="1:19">
      <c r="A1027" t="s">
        <v>3701</v>
      </c>
      <c r="B1027" s="23">
        <v>45794</v>
      </c>
      <c r="C1027" s="23" t="str">
        <f t="shared" si="32"/>
        <v>May</v>
      </c>
      <c r="D1027" s="23" t="str">
        <f t="shared" si="33"/>
        <v>2025</v>
      </c>
      <c r="E1027" t="s">
        <v>3702</v>
      </c>
      <c r="F1027" s="24" t="s">
        <v>41</v>
      </c>
      <c r="G1027" s="17">
        <v>1</v>
      </c>
      <c r="H1027" s="19">
        <v>23.53</v>
      </c>
      <c r="I1027" t="s">
        <v>626</v>
      </c>
      <c r="J1027" s="24" t="s">
        <v>60</v>
      </c>
      <c r="K1027" s="24" t="s">
        <v>50</v>
      </c>
      <c r="L1027" t="s">
        <v>3703</v>
      </c>
      <c r="M1027" s="17">
        <v>2</v>
      </c>
      <c r="N1027" t="s">
        <v>37</v>
      </c>
      <c r="O1027" s="24" t="s">
        <v>22</v>
      </c>
      <c r="P1027" s="19">
        <v>23.53</v>
      </c>
      <c r="Q1027" s="26" t="str">
        <f>IF(OR(P1027&lt;'Descriptive Statistics'!$H$17,P1027&gt;'Descriptive Statistics'!$H$18),"Potential Outlier","Within Range")</f>
        <v>Within Range</v>
      </c>
      <c r="R1027" s="26" t="str">
        <f>IF(OR(G1027&lt;'Descriptive Statistics'!$I$17,G1027&gt;'Descriptive Statistics'!$I$18),"Potential Outlier","Within Range")</f>
        <v>Within Range</v>
      </c>
      <c r="S1027" s="26" t="str">
        <f>IF(OR(H1027&lt;'Descriptive Statistics'!$J$17,H1027&gt;'Descriptive Statistics'!$J$18),"Potential Outlier","Within Range")</f>
        <v>Within Range</v>
      </c>
    </row>
    <row r="1028" hidden="1" spans="1:19">
      <c r="A1028" t="s">
        <v>3704</v>
      </c>
      <c r="B1028" s="23">
        <v>45047</v>
      </c>
      <c r="C1028" s="23" t="str">
        <f t="shared" si="32"/>
        <v>May</v>
      </c>
      <c r="D1028" s="23" t="str">
        <f t="shared" si="33"/>
        <v>2023</v>
      </c>
      <c r="E1028" t="s">
        <v>3705</v>
      </c>
      <c r="F1028" s="24" t="s">
        <v>16</v>
      </c>
      <c r="G1028" s="17">
        <v>1</v>
      </c>
      <c r="H1028" s="19">
        <v>677.48</v>
      </c>
      <c r="I1028" t="s">
        <v>506</v>
      </c>
      <c r="J1028" s="24" t="s">
        <v>27</v>
      </c>
      <c r="K1028" s="24" t="s">
        <v>50</v>
      </c>
      <c r="L1028" t="s">
        <v>3706</v>
      </c>
      <c r="M1028" s="17">
        <v>1</v>
      </c>
      <c r="N1028" t="s">
        <v>81</v>
      </c>
      <c r="O1028" s="24" t="s">
        <v>45</v>
      </c>
      <c r="P1028" s="19">
        <v>677.48</v>
      </c>
      <c r="Q1028" s="26" t="str">
        <f>IF(OR(P1028&lt;'Descriptive Statistics'!$H$17,P1028&gt;'Descriptive Statistics'!$H$18),"Potential Outlier","Within Range")</f>
        <v>Within Range</v>
      </c>
      <c r="R1028" s="26" t="str">
        <f>IF(OR(G1028&lt;'Descriptive Statistics'!$I$17,G1028&gt;'Descriptive Statistics'!$I$18),"Potential Outlier","Within Range")</f>
        <v>Within Range</v>
      </c>
      <c r="S1028" s="26" t="str">
        <f>IF(OR(H1028&lt;'Descriptive Statistics'!$J$17,H1028&gt;'Descriptive Statistics'!$J$18),"Potential Outlier","Within Range")</f>
        <v>Within Range</v>
      </c>
    </row>
    <row r="1029" hidden="1" spans="1:19">
      <c r="A1029" t="s">
        <v>3707</v>
      </c>
      <c r="B1029" s="23">
        <v>45433</v>
      </c>
      <c r="C1029" s="23" t="str">
        <f t="shared" si="32"/>
        <v>May</v>
      </c>
      <c r="D1029" s="23" t="str">
        <f t="shared" si="33"/>
        <v>2024</v>
      </c>
      <c r="E1029" t="s">
        <v>3708</v>
      </c>
      <c r="F1029" s="24" t="s">
        <v>58</v>
      </c>
      <c r="G1029" s="17">
        <v>4</v>
      </c>
      <c r="H1029" s="19">
        <v>554.83</v>
      </c>
      <c r="I1029" t="s">
        <v>2798</v>
      </c>
      <c r="J1029" s="24" t="s">
        <v>65</v>
      </c>
      <c r="K1029" s="24" t="s">
        <v>43</v>
      </c>
      <c r="L1029" t="s">
        <v>3709</v>
      </c>
      <c r="M1029" s="17">
        <v>6</v>
      </c>
      <c r="N1029" t="s">
        <v>4295</v>
      </c>
      <c r="O1029" s="24" t="s">
        <v>76</v>
      </c>
      <c r="P1029" s="19">
        <v>2219.32</v>
      </c>
      <c r="Q1029" s="26" t="str">
        <f>IF(OR(P1029&lt;'Descriptive Statistics'!$H$17,P1029&gt;'Descriptive Statistics'!$H$18),"Potential Outlier","Within Range")</f>
        <v>Within Range</v>
      </c>
      <c r="R1029" s="26" t="str">
        <f>IF(OR(G1029&lt;'Descriptive Statistics'!$I$17,G1029&gt;'Descriptive Statistics'!$I$18),"Potential Outlier","Within Range")</f>
        <v>Within Range</v>
      </c>
      <c r="S1029" s="26" t="str">
        <f>IF(OR(H1029&lt;'Descriptive Statistics'!$J$17,H1029&gt;'Descriptive Statistics'!$J$18),"Potential Outlier","Within Range")</f>
        <v>Within Range</v>
      </c>
    </row>
    <row r="1030" hidden="1" spans="1:19">
      <c r="A1030" t="s">
        <v>3710</v>
      </c>
      <c r="B1030" s="23">
        <v>44974</v>
      </c>
      <c r="C1030" s="23" t="str">
        <f t="shared" si="32"/>
        <v>Feb</v>
      </c>
      <c r="D1030" s="23" t="str">
        <f t="shared" si="33"/>
        <v>2023</v>
      </c>
      <c r="E1030" t="s">
        <v>3711</v>
      </c>
      <c r="F1030" s="24" t="s">
        <v>73</v>
      </c>
      <c r="G1030" s="17">
        <v>4</v>
      </c>
      <c r="H1030" s="19">
        <v>440.31</v>
      </c>
      <c r="I1030" t="s">
        <v>937</v>
      </c>
      <c r="J1030" s="24" t="s">
        <v>65</v>
      </c>
      <c r="K1030" s="24" t="s">
        <v>35</v>
      </c>
      <c r="L1030" t="s">
        <v>3712</v>
      </c>
      <c r="M1030" s="17">
        <v>6</v>
      </c>
      <c r="N1030" t="s">
        <v>4295</v>
      </c>
      <c r="O1030" s="24" t="s">
        <v>22</v>
      </c>
      <c r="P1030" s="19">
        <v>1761.24</v>
      </c>
      <c r="Q1030" s="26" t="str">
        <f>IF(OR(P1030&lt;'Descriptive Statistics'!$H$17,P1030&gt;'Descriptive Statistics'!$H$18),"Potential Outlier","Within Range")</f>
        <v>Within Range</v>
      </c>
      <c r="R1030" s="26" t="str">
        <f>IF(OR(G1030&lt;'Descriptive Statistics'!$I$17,G1030&gt;'Descriptive Statistics'!$I$18),"Potential Outlier","Within Range")</f>
        <v>Within Range</v>
      </c>
      <c r="S1030" s="26" t="str">
        <f>IF(OR(H1030&lt;'Descriptive Statistics'!$J$17,H1030&gt;'Descriptive Statistics'!$J$18),"Potential Outlier","Within Range")</f>
        <v>Within Range</v>
      </c>
    </row>
    <row r="1031" hidden="1" spans="1:19">
      <c r="A1031" t="s">
        <v>3713</v>
      </c>
      <c r="B1031" s="23">
        <v>45717</v>
      </c>
      <c r="C1031" s="23" t="str">
        <f t="shared" si="32"/>
        <v>Mar</v>
      </c>
      <c r="D1031" s="23" t="str">
        <f t="shared" si="33"/>
        <v>2025</v>
      </c>
      <c r="E1031" t="s">
        <v>3714</v>
      </c>
      <c r="F1031" s="24" t="s">
        <v>73</v>
      </c>
      <c r="G1031" s="17">
        <v>1</v>
      </c>
      <c r="H1031" s="19">
        <v>87.06</v>
      </c>
      <c r="I1031" t="s">
        <v>3483</v>
      </c>
      <c r="J1031" s="24" t="s">
        <v>34</v>
      </c>
      <c r="K1031" s="24" t="s">
        <v>19</v>
      </c>
      <c r="L1031" t="s">
        <v>3715</v>
      </c>
      <c r="M1031" s="17">
        <v>4</v>
      </c>
      <c r="N1031" t="s">
        <v>37</v>
      </c>
      <c r="O1031" s="24" t="s">
        <v>38</v>
      </c>
      <c r="P1031" s="19">
        <v>87.06</v>
      </c>
      <c r="Q1031" s="26" t="str">
        <f>IF(OR(P1031&lt;'Descriptive Statistics'!$H$17,P1031&gt;'Descriptive Statistics'!$H$18),"Potential Outlier","Within Range")</f>
        <v>Within Range</v>
      </c>
      <c r="R1031" s="26" t="str">
        <f>IF(OR(G1031&lt;'Descriptive Statistics'!$I$17,G1031&gt;'Descriptive Statistics'!$I$18),"Potential Outlier","Within Range")</f>
        <v>Within Range</v>
      </c>
      <c r="S1031" s="26" t="str">
        <f>IF(OR(H1031&lt;'Descriptive Statistics'!$J$17,H1031&gt;'Descriptive Statistics'!$J$18),"Potential Outlier","Within Range")</f>
        <v>Within Range</v>
      </c>
    </row>
    <row r="1032" hidden="1" spans="1:19">
      <c r="A1032" t="s">
        <v>3716</v>
      </c>
      <c r="B1032" s="23">
        <v>45201</v>
      </c>
      <c r="C1032" s="23" t="str">
        <f t="shared" si="32"/>
        <v>Oct</v>
      </c>
      <c r="D1032" s="23" t="str">
        <f t="shared" si="33"/>
        <v>2023</v>
      </c>
      <c r="E1032" t="s">
        <v>3717</v>
      </c>
      <c r="F1032" s="24" t="s">
        <v>25</v>
      </c>
      <c r="G1032" s="17">
        <v>4</v>
      </c>
      <c r="H1032" s="19">
        <v>245.28</v>
      </c>
      <c r="I1032" t="s">
        <v>3718</v>
      </c>
      <c r="J1032" s="24" t="s">
        <v>34</v>
      </c>
      <c r="K1032" s="24" t="s">
        <v>50</v>
      </c>
      <c r="L1032" t="s">
        <v>3719</v>
      </c>
      <c r="M1032" s="17">
        <v>6</v>
      </c>
      <c r="N1032" t="s">
        <v>81</v>
      </c>
      <c r="O1032" s="24" t="s">
        <v>38</v>
      </c>
      <c r="P1032" s="19">
        <v>981.12</v>
      </c>
      <c r="Q1032" s="26" t="str">
        <f>IF(OR(P1032&lt;'Descriptive Statistics'!$H$17,P1032&gt;'Descriptive Statistics'!$H$18),"Potential Outlier","Within Range")</f>
        <v>Within Range</v>
      </c>
      <c r="R1032" s="26" t="str">
        <f>IF(OR(G1032&lt;'Descriptive Statistics'!$I$17,G1032&gt;'Descriptive Statistics'!$I$18),"Potential Outlier","Within Range")</f>
        <v>Within Range</v>
      </c>
      <c r="S1032" s="26" t="str">
        <f>IF(OR(H1032&lt;'Descriptive Statistics'!$J$17,H1032&gt;'Descriptive Statistics'!$J$18),"Potential Outlier","Within Range")</f>
        <v>Within Range</v>
      </c>
    </row>
    <row r="1033" hidden="1" spans="1:19">
      <c r="A1033" t="s">
        <v>3720</v>
      </c>
      <c r="B1033" s="23">
        <v>44985</v>
      </c>
      <c r="C1033" s="23" t="str">
        <f t="shared" si="32"/>
        <v>Feb</v>
      </c>
      <c r="D1033" s="23" t="str">
        <f t="shared" si="33"/>
        <v>2023</v>
      </c>
      <c r="E1033" t="s">
        <v>3721</v>
      </c>
      <c r="F1033" s="24" t="s">
        <v>25</v>
      </c>
      <c r="G1033" s="17">
        <v>5</v>
      </c>
      <c r="H1033" s="19">
        <v>664.51</v>
      </c>
      <c r="I1033" t="s">
        <v>3722</v>
      </c>
      <c r="J1033" s="24" t="s">
        <v>18</v>
      </c>
      <c r="K1033" s="24" t="s">
        <v>89</v>
      </c>
      <c r="L1033" t="s">
        <v>3723</v>
      </c>
      <c r="M1033" s="17">
        <v>8</v>
      </c>
      <c r="N1033" t="s">
        <v>21</v>
      </c>
      <c r="O1033" s="24" t="s">
        <v>38</v>
      </c>
      <c r="P1033" s="19">
        <v>3322.55</v>
      </c>
      <c r="Q1033" s="26" t="str">
        <f>IF(OR(P1033&lt;'Descriptive Statistics'!$H$17,P1033&gt;'Descriptive Statistics'!$H$18),"Potential Outlier","Within Range")</f>
        <v>Within Range</v>
      </c>
      <c r="R1033" s="26" t="str">
        <f>IF(OR(G1033&lt;'Descriptive Statistics'!$I$17,G1033&gt;'Descriptive Statistics'!$I$18),"Potential Outlier","Within Range")</f>
        <v>Within Range</v>
      </c>
      <c r="S1033" s="26" t="str">
        <f>IF(OR(H1033&lt;'Descriptive Statistics'!$J$17,H1033&gt;'Descriptive Statistics'!$J$18),"Potential Outlier","Within Range")</f>
        <v>Within Range</v>
      </c>
    </row>
    <row r="1034" hidden="1" spans="1:19">
      <c r="A1034" t="s">
        <v>3724</v>
      </c>
      <c r="B1034" s="23">
        <v>45036</v>
      </c>
      <c r="C1034" s="23" t="str">
        <f t="shared" si="32"/>
        <v>Apr</v>
      </c>
      <c r="D1034" s="23" t="str">
        <f t="shared" si="33"/>
        <v>2023</v>
      </c>
      <c r="E1034" t="s">
        <v>3725</v>
      </c>
      <c r="F1034" s="24" t="s">
        <v>41</v>
      </c>
      <c r="G1034" s="17">
        <v>1</v>
      </c>
      <c r="H1034" s="19">
        <v>618.68</v>
      </c>
      <c r="I1034" t="s">
        <v>1133</v>
      </c>
      <c r="J1034" s="24" t="s">
        <v>27</v>
      </c>
      <c r="K1034" s="24" t="s">
        <v>50</v>
      </c>
      <c r="L1034" t="s">
        <v>3726</v>
      </c>
      <c r="M1034" s="17">
        <v>6</v>
      </c>
      <c r="N1034" t="s">
        <v>81</v>
      </c>
      <c r="O1034" s="24" t="s">
        <v>29</v>
      </c>
      <c r="P1034" s="19">
        <v>618.68</v>
      </c>
      <c r="Q1034" s="26" t="str">
        <f>IF(OR(P1034&lt;'Descriptive Statistics'!$H$17,P1034&gt;'Descriptive Statistics'!$H$18),"Potential Outlier","Within Range")</f>
        <v>Within Range</v>
      </c>
      <c r="R1034" s="26" t="str">
        <f>IF(OR(G1034&lt;'Descriptive Statistics'!$I$17,G1034&gt;'Descriptive Statistics'!$I$18),"Potential Outlier","Within Range")</f>
        <v>Within Range</v>
      </c>
      <c r="S1034" s="26" t="str">
        <f>IF(OR(H1034&lt;'Descriptive Statistics'!$J$17,H1034&gt;'Descriptive Statistics'!$J$18),"Potential Outlier","Within Range")</f>
        <v>Within Range</v>
      </c>
    </row>
    <row r="1035" hidden="1" spans="1:19">
      <c r="A1035" t="s">
        <v>3727</v>
      </c>
      <c r="B1035" s="23">
        <v>45650</v>
      </c>
      <c r="C1035" s="23" t="str">
        <f t="shared" si="32"/>
        <v>Dec</v>
      </c>
      <c r="D1035" s="23" t="str">
        <f t="shared" si="33"/>
        <v>2024</v>
      </c>
      <c r="E1035" t="s">
        <v>3728</v>
      </c>
      <c r="F1035" s="24" t="s">
        <v>16</v>
      </c>
      <c r="G1035" s="17">
        <v>1</v>
      </c>
      <c r="H1035" s="19">
        <v>370.85</v>
      </c>
      <c r="I1035" t="s">
        <v>3729</v>
      </c>
      <c r="J1035" s="24" t="s">
        <v>60</v>
      </c>
      <c r="K1035" s="24" t="s">
        <v>50</v>
      </c>
      <c r="L1035" t="s">
        <v>3730</v>
      </c>
      <c r="M1035" s="17">
        <v>2</v>
      </c>
      <c r="N1035" t="s">
        <v>37</v>
      </c>
      <c r="O1035" s="24" t="s">
        <v>29</v>
      </c>
      <c r="P1035" s="19">
        <v>370.85</v>
      </c>
      <c r="Q1035" s="26" t="str">
        <f>IF(OR(P1035&lt;'Descriptive Statistics'!$H$17,P1035&gt;'Descriptive Statistics'!$H$18),"Potential Outlier","Within Range")</f>
        <v>Within Range</v>
      </c>
      <c r="R1035" s="26" t="str">
        <f>IF(OR(G1035&lt;'Descriptive Statistics'!$I$17,G1035&gt;'Descriptive Statistics'!$I$18),"Potential Outlier","Within Range")</f>
        <v>Within Range</v>
      </c>
      <c r="S1035" s="26" t="str">
        <f>IF(OR(H1035&lt;'Descriptive Statistics'!$J$17,H1035&gt;'Descriptive Statistics'!$J$18),"Potential Outlier","Within Range")</f>
        <v>Within Range</v>
      </c>
    </row>
    <row r="1036" hidden="1" spans="1:19">
      <c r="A1036" t="s">
        <v>3731</v>
      </c>
      <c r="B1036" s="23">
        <v>45459</v>
      </c>
      <c r="C1036" s="23" t="str">
        <f t="shared" si="32"/>
        <v>Jun</v>
      </c>
      <c r="D1036" s="23" t="str">
        <f t="shared" si="33"/>
        <v>2024</v>
      </c>
      <c r="E1036" t="s">
        <v>3732</v>
      </c>
      <c r="F1036" s="24" t="s">
        <v>48</v>
      </c>
      <c r="G1036" s="17">
        <v>4</v>
      </c>
      <c r="H1036" s="19">
        <v>517.98</v>
      </c>
      <c r="I1036" t="s">
        <v>3733</v>
      </c>
      <c r="J1036" s="24" t="s">
        <v>65</v>
      </c>
      <c r="K1036" s="24" t="s">
        <v>35</v>
      </c>
      <c r="L1036" t="s">
        <v>3734</v>
      </c>
      <c r="M1036" s="17">
        <v>8</v>
      </c>
      <c r="N1036" t="s">
        <v>37</v>
      </c>
      <c r="O1036" s="24" t="s">
        <v>45</v>
      </c>
      <c r="P1036" s="19">
        <v>2071.92</v>
      </c>
      <c r="Q1036" s="26" t="str">
        <f>IF(OR(P1036&lt;'Descriptive Statistics'!$H$17,P1036&gt;'Descriptive Statistics'!$H$18),"Potential Outlier","Within Range")</f>
        <v>Within Range</v>
      </c>
      <c r="R1036" s="26" t="str">
        <f>IF(OR(G1036&lt;'Descriptive Statistics'!$I$17,G1036&gt;'Descriptive Statistics'!$I$18),"Potential Outlier","Within Range")</f>
        <v>Within Range</v>
      </c>
      <c r="S1036" s="26" t="str">
        <f>IF(OR(H1036&lt;'Descriptive Statistics'!$J$17,H1036&gt;'Descriptive Statistics'!$J$18),"Potential Outlier","Within Range")</f>
        <v>Within Range</v>
      </c>
    </row>
    <row r="1037" hidden="1" spans="1:19">
      <c r="A1037" t="s">
        <v>3735</v>
      </c>
      <c r="B1037" s="23">
        <v>45242</v>
      </c>
      <c r="C1037" s="23" t="str">
        <f t="shared" si="32"/>
        <v>Nov</v>
      </c>
      <c r="D1037" s="23" t="str">
        <f t="shared" si="33"/>
        <v>2023</v>
      </c>
      <c r="E1037" t="s">
        <v>3736</v>
      </c>
      <c r="F1037" s="24" t="s">
        <v>58</v>
      </c>
      <c r="G1037" s="17">
        <v>4</v>
      </c>
      <c r="H1037" s="19">
        <v>506.11</v>
      </c>
      <c r="I1037" t="s">
        <v>3737</v>
      </c>
      <c r="J1037" s="24" t="s">
        <v>65</v>
      </c>
      <c r="K1037" s="24" t="s">
        <v>35</v>
      </c>
      <c r="L1037" t="s">
        <v>3738</v>
      </c>
      <c r="M1037" s="17">
        <v>5</v>
      </c>
      <c r="N1037" t="s">
        <v>4295</v>
      </c>
      <c r="O1037" s="24" t="s">
        <v>29</v>
      </c>
      <c r="P1037" s="19">
        <v>2024.44</v>
      </c>
      <c r="Q1037" s="26" t="str">
        <f>IF(OR(P1037&lt;'Descriptive Statistics'!$H$17,P1037&gt;'Descriptive Statistics'!$H$18),"Potential Outlier","Within Range")</f>
        <v>Within Range</v>
      </c>
      <c r="R1037" s="26" t="str">
        <f>IF(OR(G1037&lt;'Descriptive Statistics'!$I$17,G1037&gt;'Descriptive Statistics'!$I$18),"Potential Outlier","Within Range")</f>
        <v>Within Range</v>
      </c>
      <c r="S1037" s="26" t="str">
        <f>IF(OR(H1037&lt;'Descriptive Statistics'!$J$17,H1037&gt;'Descriptive Statistics'!$J$18),"Potential Outlier","Within Range")</f>
        <v>Within Range</v>
      </c>
    </row>
    <row r="1038" hidden="1" spans="1:19">
      <c r="A1038" t="s">
        <v>3739</v>
      </c>
      <c r="B1038" s="23">
        <v>45443</v>
      </c>
      <c r="C1038" s="23" t="str">
        <f t="shared" si="32"/>
        <v>May</v>
      </c>
      <c r="D1038" s="23" t="str">
        <f t="shared" si="33"/>
        <v>2024</v>
      </c>
      <c r="E1038" t="s">
        <v>3740</v>
      </c>
      <c r="F1038" s="24" t="s">
        <v>25</v>
      </c>
      <c r="G1038" s="17">
        <v>3</v>
      </c>
      <c r="H1038" s="19">
        <v>413.83</v>
      </c>
      <c r="I1038" t="s">
        <v>312</v>
      </c>
      <c r="J1038" s="24" t="s">
        <v>60</v>
      </c>
      <c r="K1038" s="24" t="s">
        <v>19</v>
      </c>
      <c r="L1038" t="s">
        <v>3741</v>
      </c>
      <c r="M1038" s="17">
        <v>8</v>
      </c>
      <c r="N1038" t="s">
        <v>21</v>
      </c>
      <c r="O1038" s="24" t="s">
        <v>45</v>
      </c>
      <c r="P1038" s="19">
        <v>1241.49</v>
      </c>
      <c r="Q1038" s="26" t="str">
        <f>IF(OR(P1038&lt;'Descriptive Statistics'!$H$17,P1038&gt;'Descriptive Statistics'!$H$18),"Potential Outlier","Within Range")</f>
        <v>Within Range</v>
      </c>
      <c r="R1038" s="26" t="str">
        <f>IF(OR(G1038&lt;'Descriptive Statistics'!$I$17,G1038&gt;'Descriptive Statistics'!$I$18),"Potential Outlier","Within Range")</f>
        <v>Within Range</v>
      </c>
      <c r="S1038" s="26" t="str">
        <f>IF(OR(H1038&lt;'Descriptive Statistics'!$J$17,H1038&gt;'Descriptive Statistics'!$J$18),"Potential Outlier","Within Range")</f>
        <v>Within Range</v>
      </c>
    </row>
    <row r="1039" hidden="1" spans="1:19">
      <c r="A1039" t="s">
        <v>3742</v>
      </c>
      <c r="B1039" s="23">
        <v>45273</v>
      </c>
      <c r="C1039" s="23" t="str">
        <f t="shared" si="32"/>
        <v>Dec</v>
      </c>
      <c r="D1039" s="23" t="str">
        <f t="shared" si="33"/>
        <v>2023</v>
      </c>
      <c r="E1039" t="s">
        <v>3743</v>
      </c>
      <c r="F1039" s="24" t="s">
        <v>48</v>
      </c>
      <c r="G1039" s="17">
        <v>1</v>
      </c>
      <c r="H1039" s="19">
        <v>249.81</v>
      </c>
      <c r="I1039" t="s">
        <v>2565</v>
      </c>
      <c r="J1039" s="24" t="s">
        <v>65</v>
      </c>
      <c r="K1039" s="24" t="s">
        <v>89</v>
      </c>
      <c r="L1039" t="s">
        <v>3744</v>
      </c>
      <c r="M1039" s="17">
        <v>1</v>
      </c>
      <c r="N1039" t="s">
        <v>21</v>
      </c>
      <c r="O1039" s="24" t="s">
        <v>76</v>
      </c>
      <c r="P1039" s="19">
        <v>249.81</v>
      </c>
      <c r="Q1039" s="26" t="str">
        <f>IF(OR(P1039&lt;'Descriptive Statistics'!$H$17,P1039&gt;'Descriptive Statistics'!$H$18),"Potential Outlier","Within Range")</f>
        <v>Within Range</v>
      </c>
      <c r="R1039" s="26" t="str">
        <f>IF(OR(G1039&lt;'Descriptive Statistics'!$I$17,G1039&gt;'Descriptive Statistics'!$I$18),"Potential Outlier","Within Range")</f>
        <v>Within Range</v>
      </c>
      <c r="S1039" s="26" t="str">
        <f>IF(OR(H1039&lt;'Descriptive Statistics'!$J$17,H1039&gt;'Descriptive Statistics'!$J$18),"Potential Outlier","Within Range")</f>
        <v>Within Range</v>
      </c>
    </row>
    <row r="1040" hidden="1" spans="1:19">
      <c r="A1040" t="s">
        <v>3745</v>
      </c>
      <c r="B1040" s="23">
        <v>45731</v>
      </c>
      <c r="C1040" s="23" t="str">
        <f t="shared" si="32"/>
        <v>Mar</v>
      </c>
      <c r="D1040" s="23" t="str">
        <f t="shared" si="33"/>
        <v>2025</v>
      </c>
      <c r="E1040" t="s">
        <v>3746</v>
      </c>
      <c r="F1040" s="24" t="s">
        <v>32</v>
      </c>
      <c r="G1040" s="17">
        <v>3</v>
      </c>
      <c r="H1040" s="19">
        <v>362.53</v>
      </c>
      <c r="I1040" t="s">
        <v>3747</v>
      </c>
      <c r="J1040" s="24" t="s">
        <v>18</v>
      </c>
      <c r="K1040" s="24" t="s">
        <v>43</v>
      </c>
      <c r="L1040" t="s">
        <v>3748</v>
      </c>
      <c r="M1040" s="17">
        <v>5</v>
      </c>
      <c r="N1040" t="s">
        <v>4295</v>
      </c>
      <c r="O1040" s="24" t="s">
        <v>45</v>
      </c>
      <c r="P1040" s="19">
        <v>1087.59</v>
      </c>
      <c r="Q1040" s="26" t="str">
        <f>IF(OR(P1040&lt;'Descriptive Statistics'!$H$17,P1040&gt;'Descriptive Statistics'!$H$18),"Potential Outlier","Within Range")</f>
        <v>Within Range</v>
      </c>
      <c r="R1040" s="26" t="str">
        <f>IF(OR(G1040&lt;'Descriptive Statistics'!$I$17,G1040&gt;'Descriptive Statistics'!$I$18),"Potential Outlier","Within Range")</f>
        <v>Within Range</v>
      </c>
      <c r="S1040" s="26" t="str">
        <f>IF(OR(H1040&lt;'Descriptive Statistics'!$J$17,H1040&gt;'Descriptive Statistics'!$J$18),"Potential Outlier","Within Range")</f>
        <v>Within Range</v>
      </c>
    </row>
    <row r="1041" hidden="1" spans="1:19">
      <c r="A1041" t="s">
        <v>3749</v>
      </c>
      <c r="B1041" s="23">
        <v>45836</v>
      </c>
      <c r="C1041" s="23" t="str">
        <f t="shared" si="32"/>
        <v>Jun</v>
      </c>
      <c r="D1041" s="23" t="str">
        <f t="shared" si="33"/>
        <v>2025</v>
      </c>
      <c r="E1041" t="s">
        <v>3750</v>
      </c>
      <c r="F1041" s="24" t="s">
        <v>73</v>
      </c>
      <c r="G1041" s="17">
        <v>2</v>
      </c>
      <c r="H1041" s="19">
        <v>299.23</v>
      </c>
      <c r="I1041" t="s">
        <v>3751</v>
      </c>
      <c r="J1041" s="24" t="s">
        <v>34</v>
      </c>
      <c r="K1041" s="24" t="s">
        <v>35</v>
      </c>
      <c r="L1041" t="s">
        <v>3752</v>
      </c>
      <c r="M1041" s="17">
        <v>2</v>
      </c>
      <c r="N1041" t="s">
        <v>81</v>
      </c>
      <c r="O1041" s="24" t="s">
        <v>22</v>
      </c>
      <c r="P1041" s="19">
        <v>598.46</v>
      </c>
      <c r="Q1041" s="26" t="str">
        <f>IF(OR(P1041&lt;'Descriptive Statistics'!$H$17,P1041&gt;'Descriptive Statistics'!$H$18),"Potential Outlier","Within Range")</f>
        <v>Within Range</v>
      </c>
      <c r="R1041" s="26" t="str">
        <f>IF(OR(G1041&lt;'Descriptive Statistics'!$I$17,G1041&gt;'Descriptive Statistics'!$I$18),"Potential Outlier","Within Range")</f>
        <v>Within Range</v>
      </c>
      <c r="S1041" s="26" t="str">
        <f>IF(OR(H1041&lt;'Descriptive Statistics'!$J$17,H1041&gt;'Descriptive Statistics'!$J$18),"Potential Outlier","Within Range")</f>
        <v>Within Range</v>
      </c>
    </row>
    <row r="1042" hidden="1" spans="1:19">
      <c r="A1042" t="s">
        <v>3753</v>
      </c>
      <c r="B1042" s="23">
        <v>45245</v>
      </c>
      <c r="C1042" s="23" t="str">
        <f t="shared" si="32"/>
        <v>Nov</v>
      </c>
      <c r="D1042" s="23" t="str">
        <f t="shared" si="33"/>
        <v>2023</v>
      </c>
      <c r="E1042" t="s">
        <v>3754</v>
      </c>
      <c r="F1042" s="24" t="s">
        <v>32</v>
      </c>
      <c r="G1042" s="17">
        <v>1</v>
      </c>
      <c r="H1042" s="19">
        <v>536.07</v>
      </c>
      <c r="I1042" t="s">
        <v>2116</v>
      </c>
      <c r="J1042" s="24" t="s">
        <v>18</v>
      </c>
      <c r="K1042" s="24" t="s">
        <v>50</v>
      </c>
      <c r="L1042" t="s">
        <v>3755</v>
      </c>
      <c r="M1042" s="17">
        <v>5</v>
      </c>
      <c r="N1042" t="s">
        <v>37</v>
      </c>
      <c r="O1042" s="24" t="s">
        <v>76</v>
      </c>
      <c r="P1042" s="19">
        <v>536.07</v>
      </c>
      <c r="Q1042" s="26" t="str">
        <f>IF(OR(P1042&lt;'Descriptive Statistics'!$H$17,P1042&gt;'Descriptive Statistics'!$H$18),"Potential Outlier","Within Range")</f>
        <v>Within Range</v>
      </c>
      <c r="R1042" s="26" t="str">
        <f>IF(OR(G1042&lt;'Descriptive Statistics'!$I$17,G1042&gt;'Descriptive Statistics'!$I$18),"Potential Outlier","Within Range")</f>
        <v>Within Range</v>
      </c>
      <c r="S1042" s="26" t="str">
        <f>IF(OR(H1042&lt;'Descriptive Statistics'!$J$17,H1042&gt;'Descriptive Statistics'!$J$18),"Potential Outlier","Within Range")</f>
        <v>Within Range</v>
      </c>
    </row>
    <row r="1043" hidden="1" spans="1:19">
      <c r="A1043" t="s">
        <v>3756</v>
      </c>
      <c r="B1043" s="23">
        <v>44968</v>
      </c>
      <c r="C1043" s="23" t="str">
        <f t="shared" si="32"/>
        <v>Feb</v>
      </c>
      <c r="D1043" s="23" t="str">
        <f t="shared" si="33"/>
        <v>2023</v>
      </c>
      <c r="E1043" t="s">
        <v>3757</v>
      </c>
      <c r="F1043" s="24" t="s">
        <v>16</v>
      </c>
      <c r="G1043" s="17">
        <v>4</v>
      </c>
      <c r="H1043" s="19">
        <v>558.9</v>
      </c>
      <c r="I1043" t="s">
        <v>929</v>
      </c>
      <c r="J1043" s="24" t="s">
        <v>60</v>
      </c>
      <c r="K1043" s="24" t="s">
        <v>19</v>
      </c>
      <c r="L1043" t="s">
        <v>3758</v>
      </c>
      <c r="M1043" s="17">
        <v>9</v>
      </c>
      <c r="N1043" t="s">
        <v>81</v>
      </c>
      <c r="O1043" s="24" t="s">
        <v>76</v>
      </c>
      <c r="P1043" s="19">
        <v>2235.6</v>
      </c>
      <c r="Q1043" s="26" t="str">
        <f>IF(OR(P1043&lt;'Descriptive Statistics'!$H$17,P1043&gt;'Descriptive Statistics'!$H$18),"Potential Outlier","Within Range")</f>
        <v>Within Range</v>
      </c>
      <c r="R1043" s="26" t="str">
        <f>IF(OR(G1043&lt;'Descriptive Statistics'!$I$17,G1043&gt;'Descriptive Statistics'!$I$18),"Potential Outlier","Within Range")</f>
        <v>Within Range</v>
      </c>
      <c r="S1043" s="26" t="str">
        <f>IF(OR(H1043&lt;'Descriptive Statistics'!$J$17,H1043&gt;'Descriptive Statistics'!$J$18),"Potential Outlier","Within Range")</f>
        <v>Within Range</v>
      </c>
    </row>
    <row r="1044" hidden="1" spans="1:19">
      <c r="A1044" t="s">
        <v>3759</v>
      </c>
      <c r="B1044" s="23">
        <v>45635</v>
      </c>
      <c r="C1044" s="23" t="str">
        <f t="shared" si="32"/>
        <v>Dec</v>
      </c>
      <c r="D1044" s="23" t="str">
        <f t="shared" si="33"/>
        <v>2024</v>
      </c>
      <c r="E1044" t="s">
        <v>3760</v>
      </c>
      <c r="F1044" s="24" t="s">
        <v>32</v>
      </c>
      <c r="G1044" s="17">
        <v>2</v>
      </c>
      <c r="H1044" s="19">
        <v>409.75</v>
      </c>
      <c r="I1044" t="s">
        <v>1281</v>
      </c>
      <c r="J1044" s="24" t="s">
        <v>18</v>
      </c>
      <c r="K1044" s="24" t="s">
        <v>19</v>
      </c>
      <c r="L1044" t="s">
        <v>3761</v>
      </c>
      <c r="M1044" s="17">
        <v>2</v>
      </c>
      <c r="N1044" t="s">
        <v>81</v>
      </c>
      <c r="O1044" s="24" t="s">
        <v>45</v>
      </c>
      <c r="P1044" s="19">
        <v>819.5</v>
      </c>
      <c r="Q1044" s="26" t="str">
        <f>IF(OR(P1044&lt;'Descriptive Statistics'!$H$17,P1044&gt;'Descriptive Statistics'!$H$18),"Potential Outlier","Within Range")</f>
        <v>Within Range</v>
      </c>
      <c r="R1044" s="26" t="str">
        <f>IF(OR(G1044&lt;'Descriptive Statistics'!$I$17,G1044&gt;'Descriptive Statistics'!$I$18),"Potential Outlier","Within Range")</f>
        <v>Within Range</v>
      </c>
      <c r="S1044" s="26" t="str">
        <f>IF(OR(H1044&lt;'Descriptive Statistics'!$J$17,H1044&gt;'Descriptive Statistics'!$J$18),"Potential Outlier","Within Range")</f>
        <v>Within Range</v>
      </c>
    </row>
    <row r="1045" hidden="1" spans="1:19">
      <c r="A1045" t="s">
        <v>3762</v>
      </c>
      <c r="B1045" s="23">
        <v>45668</v>
      </c>
      <c r="C1045" s="23" t="str">
        <f t="shared" si="32"/>
        <v>Jan</v>
      </c>
      <c r="D1045" s="23" t="str">
        <f t="shared" si="33"/>
        <v>2025</v>
      </c>
      <c r="E1045" t="s">
        <v>3763</v>
      </c>
      <c r="F1045" s="24" t="s">
        <v>32</v>
      </c>
      <c r="G1045" s="17">
        <v>2</v>
      </c>
      <c r="H1045" s="19">
        <v>179.96</v>
      </c>
      <c r="I1045" t="s">
        <v>3522</v>
      </c>
      <c r="J1045" s="24" t="s">
        <v>60</v>
      </c>
      <c r="K1045" s="24" t="s">
        <v>19</v>
      </c>
      <c r="L1045" t="s">
        <v>3764</v>
      </c>
      <c r="M1045" s="17">
        <v>5</v>
      </c>
      <c r="N1045" t="s">
        <v>4295</v>
      </c>
      <c r="O1045" s="24" t="s">
        <v>22</v>
      </c>
      <c r="P1045" s="19">
        <v>359.92</v>
      </c>
      <c r="Q1045" s="26" t="str">
        <f>IF(OR(P1045&lt;'Descriptive Statistics'!$H$17,P1045&gt;'Descriptive Statistics'!$H$18),"Potential Outlier","Within Range")</f>
        <v>Within Range</v>
      </c>
      <c r="R1045" s="26" t="str">
        <f>IF(OR(G1045&lt;'Descriptive Statistics'!$I$17,G1045&gt;'Descriptive Statistics'!$I$18),"Potential Outlier","Within Range")</f>
        <v>Within Range</v>
      </c>
      <c r="S1045" s="26" t="str">
        <f>IF(OR(H1045&lt;'Descriptive Statistics'!$J$17,H1045&gt;'Descriptive Statistics'!$J$18),"Potential Outlier","Within Range")</f>
        <v>Within Range</v>
      </c>
    </row>
    <row r="1046" hidden="1" spans="1:19">
      <c r="A1046" t="s">
        <v>3765</v>
      </c>
      <c r="B1046" s="23">
        <v>45830</v>
      </c>
      <c r="C1046" s="23" t="str">
        <f t="shared" si="32"/>
        <v>Jun</v>
      </c>
      <c r="D1046" s="23" t="str">
        <f t="shared" si="33"/>
        <v>2025</v>
      </c>
      <c r="E1046" t="s">
        <v>3766</v>
      </c>
      <c r="F1046" s="24" t="s">
        <v>48</v>
      </c>
      <c r="G1046" s="17">
        <v>1</v>
      </c>
      <c r="H1046" s="19">
        <v>38.49</v>
      </c>
      <c r="I1046" t="s">
        <v>3767</v>
      </c>
      <c r="J1046" s="24" t="s">
        <v>34</v>
      </c>
      <c r="K1046" s="24" t="s">
        <v>50</v>
      </c>
      <c r="L1046" t="s">
        <v>3768</v>
      </c>
      <c r="M1046" s="17">
        <v>4</v>
      </c>
      <c r="N1046" t="s">
        <v>37</v>
      </c>
      <c r="O1046" s="24" t="s">
        <v>29</v>
      </c>
      <c r="P1046" s="19">
        <v>38.49</v>
      </c>
      <c r="Q1046" s="26" t="str">
        <f>IF(OR(P1046&lt;'Descriptive Statistics'!$H$17,P1046&gt;'Descriptive Statistics'!$H$18),"Potential Outlier","Within Range")</f>
        <v>Within Range</v>
      </c>
      <c r="R1046" s="26" t="str">
        <f>IF(OR(G1046&lt;'Descriptive Statistics'!$I$17,G1046&gt;'Descriptive Statistics'!$I$18),"Potential Outlier","Within Range")</f>
        <v>Within Range</v>
      </c>
      <c r="S1046" s="26" t="str">
        <f>IF(OR(H1046&lt;'Descriptive Statistics'!$J$17,H1046&gt;'Descriptive Statistics'!$J$18),"Potential Outlier","Within Range")</f>
        <v>Within Range</v>
      </c>
    </row>
    <row r="1047" hidden="1" spans="1:19">
      <c r="A1047" t="s">
        <v>3769</v>
      </c>
      <c r="B1047" s="23">
        <v>45555</v>
      </c>
      <c r="C1047" s="23" t="str">
        <f t="shared" si="32"/>
        <v>Sep</v>
      </c>
      <c r="D1047" s="23" t="str">
        <f t="shared" si="33"/>
        <v>2024</v>
      </c>
      <c r="E1047" t="s">
        <v>3770</v>
      </c>
      <c r="F1047" s="24" t="s">
        <v>58</v>
      </c>
      <c r="G1047" s="17">
        <v>5</v>
      </c>
      <c r="H1047" s="19">
        <v>316.4</v>
      </c>
      <c r="I1047" t="s">
        <v>3771</v>
      </c>
      <c r="J1047" s="24" t="s">
        <v>60</v>
      </c>
      <c r="K1047" s="24" t="s">
        <v>43</v>
      </c>
      <c r="L1047" t="s">
        <v>3772</v>
      </c>
      <c r="M1047" s="17">
        <v>7</v>
      </c>
      <c r="N1047" t="s">
        <v>4295</v>
      </c>
      <c r="O1047" s="24" t="s">
        <v>38</v>
      </c>
      <c r="P1047" s="19">
        <v>1582</v>
      </c>
      <c r="Q1047" s="26" t="str">
        <f>IF(OR(P1047&lt;'Descriptive Statistics'!$H$17,P1047&gt;'Descriptive Statistics'!$H$18),"Potential Outlier","Within Range")</f>
        <v>Within Range</v>
      </c>
      <c r="R1047" s="26" t="str">
        <f>IF(OR(G1047&lt;'Descriptive Statistics'!$I$17,G1047&gt;'Descriptive Statistics'!$I$18),"Potential Outlier","Within Range")</f>
        <v>Within Range</v>
      </c>
      <c r="S1047" s="26" t="str">
        <f>IF(OR(H1047&lt;'Descriptive Statistics'!$J$17,H1047&gt;'Descriptive Statistics'!$J$18),"Potential Outlier","Within Range")</f>
        <v>Within Range</v>
      </c>
    </row>
    <row r="1048" hidden="1" spans="1:19">
      <c r="A1048" t="s">
        <v>3773</v>
      </c>
      <c r="B1048" s="23">
        <v>45572</v>
      </c>
      <c r="C1048" s="23" t="str">
        <f t="shared" si="32"/>
        <v>Oct</v>
      </c>
      <c r="D1048" s="23" t="str">
        <f t="shared" si="33"/>
        <v>2024</v>
      </c>
      <c r="E1048" t="s">
        <v>3774</v>
      </c>
      <c r="F1048" s="24" t="s">
        <v>32</v>
      </c>
      <c r="G1048" s="17">
        <v>3</v>
      </c>
      <c r="H1048" s="19">
        <v>547.15</v>
      </c>
      <c r="I1048" t="s">
        <v>3775</v>
      </c>
      <c r="J1048" s="24" t="s">
        <v>27</v>
      </c>
      <c r="K1048" s="24" t="s">
        <v>19</v>
      </c>
      <c r="L1048" t="s">
        <v>3776</v>
      </c>
      <c r="M1048" s="17">
        <v>4</v>
      </c>
      <c r="N1048" t="s">
        <v>81</v>
      </c>
      <c r="O1048" s="24" t="s">
        <v>22</v>
      </c>
      <c r="P1048" s="19">
        <v>1641.45</v>
      </c>
      <c r="Q1048" s="26" t="str">
        <f>IF(OR(P1048&lt;'Descriptive Statistics'!$H$17,P1048&gt;'Descriptive Statistics'!$H$18),"Potential Outlier","Within Range")</f>
        <v>Within Range</v>
      </c>
      <c r="R1048" s="26" t="str">
        <f>IF(OR(G1048&lt;'Descriptive Statistics'!$I$17,G1048&gt;'Descriptive Statistics'!$I$18),"Potential Outlier","Within Range")</f>
        <v>Within Range</v>
      </c>
      <c r="S1048" s="26" t="str">
        <f>IF(OR(H1048&lt;'Descriptive Statistics'!$J$17,H1048&gt;'Descriptive Statistics'!$J$18),"Potential Outlier","Within Range")</f>
        <v>Within Range</v>
      </c>
    </row>
    <row r="1049" hidden="1" spans="1:19">
      <c r="A1049" t="s">
        <v>3777</v>
      </c>
      <c r="B1049" s="23">
        <v>45100</v>
      </c>
      <c r="C1049" s="23" t="str">
        <f t="shared" si="32"/>
        <v>Jun</v>
      </c>
      <c r="D1049" s="23" t="str">
        <f t="shared" si="33"/>
        <v>2023</v>
      </c>
      <c r="E1049" t="s">
        <v>3778</v>
      </c>
      <c r="F1049" s="24" t="s">
        <v>41</v>
      </c>
      <c r="G1049" s="17">
        <v>4</v>
      </c>
      <c r="H1049" s="19">
        <v>540.34</v>
      </c>
      <c r="I1049" t="s">
        <v>3779</v>
      </c>
      <c r="J1049" s="24" t="s">
        <v>60</v>
      </c>
      <c r="K1049" s="24" t="s">
        <v>19</v>
      </c>
      <c r="L1049" t="s">
        <v>3780</v>
      </c>
      <c r="M1049" s="17">
        <v>6</v>
      </c>
      <c r="N1049" t="s">
        <v>81</v>
      </c>
      <c r="O1049" s="24" t="s">
        <v>29</v>
      </c>
      <c r="P1049" s="19">
        <v>2161.36</v>
      </c>
      <c r="Q1049" s="26" t="str">
        <f>IF(OR(P1049&lt;'Descriptive Statistics'!$H$17,P1049&gt;'Descriptive Statistics'!$H$18),"Potential Outlier","Within Range")</f>
        <v>Within Range</v>
      </c>
      <c r="R1049" s="26" t="str">
        <f>IF(OR(G1049&lt;'Descriptive Statistics'!$I$17,G1049&gt;'Descriptive Statistics'!$I$18),"Potential Outlier","Within Range")</f>
        <v>Within Range</v>
      </c>
      <c r="S1049" s="26" t="str">
        <f>IF(OR(H1049&lt;'Descriptive Statistics'!$J$17,H1049&gt;'Descriptive Statistics'!$J$18),"Potential Outlier","Within Range")</f>
        <v>Within Range</v>
      </c>
    </row>
    <row r="1050" hidden="1" spans="1:19">
      <c r="A1050" t="s">
        <v>3781</v>
      </c>
      <c r="B1050" s="23">
        <v>45544</v>
      </c>
      <c r="C1050" s="23" t="str">
        <f t="shared" si="32"/>
        <v>Sep</v>
      </c>
      <c r="D1050" s="23" t="str">
        <f t="shared" si="33"/>
        <v>2024</v>
      </c>
      <c r="E1050" t="s">
        <v>3782</v>
      </c>
      <c r="F1050" s="24" t="s">
        <v>16</v>
      </c>
      <c r="G1050" s="17">
        <v>4</v>
      </c>
      <c r="H1050" s="19">
        <v>73.65</v>
      </c>
      <c r="I1050" t="s">
        <v>3783</v>
      </c>
      <c r="J1050" s="24" t="s">
        <v>18</v>
      </c>
      <c r="K1050" s="24" t="s">
        <v>19</v>
      </c>
      <c r="L1050" t="s">
        <v>3784</v>
      </c>
      <c r="M1050" s="17">
        <v>9</v>
      </c>
      <c r="N1050" t="s">
        <v>4295</v>
      </c>
      <c r="O1050" s="24" t="s">
        <v>76</v>
      </c>
      <c r="P1050" s="19">
        <v>294.6</v>
      </c>
      <c r="Q1050" s="26" t="str">
        <f>IF(OR(P1050&lt;'Descriptive Statistics'!$H$17,P1050&gt;'Descriptive Statistics'!$H$18),"Potential Outlier","Within Range")</f>
        <v>Within Range</v>
      </c>
      <c r="R1050" s="26" t="str">
        <f>IF(OR(G1050&lt;'Descriptive Statistics'!$I$17,G1050&gt;'Descriptive Statistics'!$I$18),"Potential Outlier","Within Range")</f>
        <v>Within Range</v>
      </c>
      <c r="S1050" s="26" t="str">
        <f>IF(OR(H1050&lt;'Descriptive Statistics'!$J$17,H1050&gt;'Descriptive Statistics'!$J$18),"Potential Outlier","Within Range")</f>
        <v>Within Range</v>
      </c>
    </row>
    <row r="1051" hidden="1" spans="1:19">
      <c r="A1051" t="s">
        <v>3785</v>
      </c>
      <c r="B1051" s="23">
        <v>45491</v>
      </c>
      <c r="C1051" s="23" t="str">
        <f t="shared" si="32"/>
        <v>Jul</v>
      </c>
      <c r="D1051" s="23" t="str">
        <f t="shared" si="33"/>
        <v>2024</v>
      </c>
      <c r="E1051" t="s">
        <v>3786</v>
      </c>
      <c r="F1051" s="24" t="s">
        <v>73</v>
      </c>
      <c r="G1051" s="17">
        <v>5</v>
      </c>
      <c r="H1051" s="19">
        <v>391.86</v>
      </c>
      <c r="I1051" t="s">
        <v>121</v>
      </c>
      <c r="J1051" s="24" t="s">
        <v>34</v>
      </c>
      <c r="K1051" s="24" t="s">
        <v>19</v>
      </c>
      <c r="L1051" t="s">
        <v>3787</v>
      </c>
      <c r="M1051" s="17">
        <v>6</v>
      </c>
      <c r="N1051" t="s">
        <v>4295</v>
      </c>
      <c r="O1051" s="24" t="s">
        <v>22</v>
      </c>
      <c r="P1051" s="19">
        <v>1959.3</v>
      </c>
      <c r="Q1051" s="26" t="str">
        <f>IF(OR(P1051&lt;'Descriptive Statistics'!$H$17,P1051&gt;'Descriptive Statistics'!$H$18),"Potential Outlier","Within Range")</f>
        <v>Within Range</v>
      </c>
      <c r="R1051" s="26" t="str">
        <f>IF(OR(G1051&lt;'Descriptive Statistics'!$I$17,G1051&gt;'Descriptive Statistics'!$I$18),"Potential Outlier","Within Range")</f>
        <v>Within Range</v>
      </c>
      <c r="S1051" s="26" t="str">
        <f>IF(OR(H1051&lt;'Descriptive Statistics'!$J$17,H1051&gt;'Descriptive Statistics'!$J$18),"Potential Outlier","Within Range")</f>
        <v>Within Range</v>
      </c>
    </row>
    <row r="1052" hidden="1" spans="1:19">
      <c r="A1052" t="s">
        <v>3788</v>
      </c>
      <c r="B1052" s="23">
        <v>45158</v>
      </c>
      <c r="C1052" s="23" t="str">
        <f t="shared" si="32"/>
        <v>Aug</v>
      </c>
      <c r="D1052" s="23" t="str">
        <f t="shared" si="33"/>
        <v>2023</v>
      </c>
      <c r="E1052" t="s">
        <v>3789</v>
      </c>
      <c r="F1052" s="24" t="s">
        <v>58</v>
      </c>
      <c r="G1052" s="17">
        <v>5</v>
      </c>
      <c r="H1052" s="19">
        <v>69.7</v>
      </c>
      <c r="I1052" t="s">
        <v>2029</v>
      </c>
      <c r="J1052" s="24" t="s">
        <v>27</v>
      </c>
      <c r="K1052" s="24" t="s">
        <v>43</v>
      </c>
      <c r="L1052" t="s">
        <v>3790</v>
      </c>
      <c r="M1052" s="17">
        <v>9</v>
      </c>
      <c r="N1052" t="s">
        <v>4295</v>
      </c>
      <c r="O1052" s="24" t="s">
        <v>22</v>
      </c>
      <c r="P1052" s="19">
        <v>348.5</v>
      </c>
      <c r="Q1052" s="26" t="str">
        <f>IF(OR(P1052&lt;'Descriptive Statistics'!$H$17,P1052&gt;'Descriptive Statistics'!$H$18),"Potential Outlier","Within Range")</f>
        <v>Within Range</v>
      </c>
      <c r="R1052" s="26" t="str">
        <f>IF(OR(G1052&lt;'Descriptive Statistics'!$I$17,G1052&gt;'Descriptive Statistics'!$I$18),"Potential Outlier","Within Range")</f>
        <v>Within Range</v>
      </c>
      <c r="S1052" s="26" t="str">
        <f>IF(OR(H1052&lt;'Descriptive Statistics'!$J$17,H1052&gt;'Descriptive Statistics'!$J$18),"Potential Outlier","Within Range")</f>
        <v>Within Range</v>
      </c>
    </row>
    <row r="1053" hidden="1" spans="1:19">
      <c r="A1053" t="s">
        <v>3791</v>
      </c>
      <c r="B1053" s="23">
        <v>45721</v>
      </c>
      <c r="C1053" s="23" t="str">
        <f t="shared" si="32"/>
        <v>Mar</v>
      </c>
      <c r="D1053" s="23" t="str">
        <f t="shared" si="33"/>
        <v>2025</v>
      </c>
      <c r="E1053" t="s">
        <v>3792</v>
      </c>
      <c r="F1053" s="24" t="s">
        <v>16</v>
      </c>
      <c r="G1053" s="17">
        <v>5</v>
      </c>
      <c r="H1053" s="19">
        <v>26.43</v>
      </c>
      <c r="I1053" t="s">
        <v>3793</v>
      </c>
      <c r="J1053" s="24" t="s">
        <v>60</v>
      </c>
      <c r="K1053" s="24" t="s">
        <v>19</v>
      </c>
      <c r="L1053" t="s">
        <v>3794</v>
      </c>
      <c r="M1053" s="17">
        <v>5</v>
      </c>
      <c r="N1053" t="s">
        <v>37</v>
      </c>
      <c r="O1053" s="24" t="s">
        <v>45</v>
      </c>
      <c r="P1053" s="19">
        <v>132.15</v>
      </c>
      <c r="Q1053" s="26" t="str">
        <f>IF(OR(P1053&lt;'Descriptive Statistics'!$H$17,P1053&gt;'Descriptive Statistics'!$H$18),"Potential Outlier","Within Range")</f>
        <v>Within Range</v>
      </c>
      <c r="R1053" s="26" t="str">
        <f>IF(OR(G1053&lt;'Descriptive Statistics'!$I$17,G1053&gt;'Descriptive Statistics'!$I$18),"Potential Outlier","Within Range")</f>
        <v>Within Range</v>
      </c>
      <c r="S1053" s="26" t="str">
        <f>IF(OR(H1053&lt;'Descriptive Statistics'!$J$17,H1053&gt;'Descriptive Statistics'!$J$18),"Potential Outlier","Within Range")</f>
        <v>Within Range</v>
      </c>
    </row>
    <row r="1054" hidden="1" spans="1:19">
      <c r="A1054" t="s">
        <v>3795</v>
      </c>
      <c r="B1054" s="23">
        <v>45180</v>
      </c>
      <c r="C1054" s="23" t="str">
        <f t="shared" si="32"/>
        <v>Sep</v>
      </c>
      <c r="D1054" s="23" t="str">
        <f t="shared" si="33"/>
        <v>2023</v>
      </c>
      <c r="E1054" t="s">
        <v>3796</v>
      </c>
      <c r="F1054" s="24" t="s">
        <v>32</v>
      </c>
      <c r="G1054" s="17">
        <v>1</v>
      </c>
      <c r="H1054" s="19">
        <v>531.74</v>
      </c>
      <c r="I1054" t="s">
        <v>3797</v>
      </c>
      <c r="J1054" s="24" t="s">
        <v>27</v>
      </c>
      <c r="K1054" s="24" t="s">
        <v>19</v>
      </c>
      <c r="L1054" t="s">
        <v>3798</v>
      </c>
      <c r="M1054" s="17">
        <v>1</v>
      </c>
      <c r="N1054" t="s">
        <v>81</v>
      </c>
      <c r="O1054" s="24" t="s">
        <v>76</v>
      </c>
      <c r="P1054" s="19">
        <v>531.74</v>
      </c>
      <c r="Q1054" s="26" t="str">
        <f>IF(OR(P1054&lt;'Descriptive Statistics'!$H$17,P1054&gt;'Descriptive Statistics'!$H$18),"Potential Outlier","Within Range")</f>
        <v>Within Range</v>
      </c>
      <c r="R1054" s="26" t="str">
        <f>IF(OR(G1054&lt;'Descriptive Statistics'!$I$17,G1054&gt;'Descriptive Statistics'!$I$18),"Potential Outlier","Within Range")</f>
        <v>Within Range</v>
      </c>
      <c r="S1054" s="26" t="str">
        <f>IF(OR(H1054&lt;'Descriptive Statistics'!$J$17,H1054&gt;'Descriptive Statistics'!$J$18),"Potential Outlier","Within Range")</f>
        <v>Within Range</v>
      </c>
    </row>
    <row r="1055" hidden="1" spans="1:19">
      <c r="A1055" t="s">
        <v>3799</v>
      </c>
      <c r="B1055" s="23">
        <v>45550</v>
      </c>
      <c r="C1055" s="23" t="str">
        <f t="shared" si="32"/>
        <v>Sep</v>
      </c>
      <c r="D1055" s="23" t="str">
        <f t="shared" si="33"/>
        <v>2024</v>
      </c>
      <c r="E1055" t="s">
        <v>3800</v>
      </c>
      <c r="F1055" s="24" t="s">
        <v>25</v>
      </c>
      <c r="G1055" s="17">
        <v>2</v>
      </c>
      <c r="H1055" s="19">
        <v>496.62</v>
      </c>
      <c r="I1055" t="s">
        <v>3431</v>
      </c>
      <c r="J1055" s="24" t="s">
        <v>27</v>
      </c>
      <c r="K1055" s="24" t="s">
        <v>89</v>
      </c>
      <c r="L1055" t="s">
        <v>3801</v>
      </c>
      <c r="M1055" s="17">
        <v>2</v>
      </c>
      <c r="N1055" t="s">
        <v>21</v>
      </c>
      <c r="O1055" s="24" t="s">
        <v>22</v>
      </c>
      <c r="P1055" s="19">
        <v>993.24</v>
      </c>
      <c r="Q1055" s="26" t="str">
        <f>IF(OR(P1055&lt;'Descriptive Statistics'!$H$17,P1055&gt;'Descriptive Statistics'!$H$18),"Potential Outlier","Within Range")</f>
        <v>Within Range</v>
      </c>
      <c r="R1055" s="26" t="str">
        <f>IF(OR(G1055&lt;'Descriptive Statistics'!$I$17,G1055&gt;'Descriptive Statistics'!$I$18),"Potential Outlier","Within Range")</f>
        <v>Within Range</v>
      </c>
      <c r="S1055" s="26" t="str">
        <f>IF(OR(H1055&lt;'Descriptive Statistics'!$J$17,H1055&gt;'Descriptive Statistics'!$J$18),"Potential Outlier","Within Range")</f>
        <v>Within Range</v>
      </c>
    </row>
    <row r="1056" hidden="1" spans="1:19">
      <c r="A1056" t="s">
        <v>3802</v>
      </c>
      <c r="B1056" s="23">
        <v>45259</v>
      </c>
      <c r="C1056" s="23" t="str">
        <f t="shared" si="32"/>
        <v>Nov</v>
      </c>
      <c r="D1056" s="23" t="str">
        <f t="shared" si="33"/>
        <v>2023</v>
      </c>
      <c r="E1056" t="s">
        <v>3803</v>
      </c>
      <c r="F1056" s="24" t="s">
        <v>48</v>
      </c>
      <c r="G1056" s="17">
        <v>1</v>
      </c>
      <c r="H1056" s="19">
        <v>660.66</v>
      </c>
      <c r="I1056" t="s">
        <v>379</v>
      </c>
      <c r="J1056" s="24" t="s">
        <v>18</v>
      </c>
      <c r="K1056" s="24" t="s">
        <v>50</v>
      </c>
      <c r="L1056" t="s">
        <v>3804</v>
      </c>
      <c r="M1056" s="17">
        <v>3</v>
      </c>
      <c r="N1056" t="s">
        <v>81</v>
      </c>
      <c r="O1056" s="24" t="s">
        <v>22</v>
      </c>
      <c r="P1056" s="19">
        <v>660.66</v>
      </c>
      <c r="Q1056" s="26" t="str">
        <f>IF(OR(P1056&lt;'Descriptive Statistics'!$H$17,P1056&gt;'Descriptive Statistics'!$H$18),"Potential Outlier","Within Range")</f>
        <v>Within Range</v>
      </c>
      <c r="R1056" s="26" t="str">
        <f>IF(OR(G1056&lt;'Descriptive Statistics'!$I$17,G1056&gt;'Descriptive Statistics'!$I$18),"Potential Outlier","Within Range")</f>
        <v>Within Range</v>
      </c>
      <c r="S1056" s="26" t="str">
        <f>IF(OR(H1056&lt;'Descriptive Statistics'!$J$17,H1056&gt;'Descriptive Statistics'!$J$18),"Potential Outlier","Within Range")</f>
        <v>Within Range</v>
      </c>
    </row>
    <row r="1057" hidden="1" spans="1:19">
      <c r="A1057" t="s">
        <v>3805</v>
      </c>
      <c r="B1057" s="23">
        <v>45222</v>
      </c>
      <c r="C1057" s="23" t="str">
        <f t="shared" si="32"/>
        <v>Oct</v>
      </c>
      <c r="D1057" s="23" t="str">
        <f t="shared" si="33"/>
        <v>2023</v>
      </c>
      <c r="E1057" t="s">
        <v>3806</v>
      </c>
      <c r="F1057" s="24" t="s">
        <v>16</v>
      </c>
      <c r="G1057" s="17">
        <v>4</v>
      </c>
      <c r="H1057" s="19">
        <v>274.82</v>
      </c>
      <c r="I1057" t="s">
        <v>2116</v>
      </c>
      <c r="J1057" s="24" t="s">
        <v>18</v>
      </c>
      <c r="K1057" s="24" t="s">
        <v>50</v>
      </c>
      <c r="L1057" t="s">
        <v>3807</v>
      </c>
      <c r="M1057" s="17">
        <v>9</v>
      </c>
      <c r="N1057" t="s">
        <v>81</v>
      </c>
      <c r="O1057" s="24" t="s">
        <v>38</v>
      </c>
      <c r="P1057" s="19">
        <v>1099.28</v>
      </c>
      <c r="Q1057" s="26" t="str">
        <f>IF(OR(P1057&lt;'Descriptive Statistics'!$H$17,P1057&gt;'Descriptive Statistics'!$H$18),"Potential Outlier","Within Range")</f>
        <v>Within Range</v>
      </c>
      <c r="R1057" s="26" t="str">
        <f>IF(OR(G1057&lt;'Descriptive Statistics'!$I$17,G1057&gt;'Descriptive Statistics'!$I$18),"Potential Outlier","Within Range")</f>
        <v>Within Range</v>
      </c>
      <c r="S1057" s="26" t="str">
        <f>IF(OR(H1057&lt;'Descriptive Statistics'!$J$17,H1057&gt;'Descriptive Statistics'!$J$18),"Potential Outlier","Within Range")</f>
        <v>Within Range</v>
      </c>
    </row>
    <row r="1058" hidden="1" spans="1:19">
      <c r="A1058" t="s">
        <v>3808</v>
      </c>
      <c r="B1058" s="23">
        <v>45457</v>
      </c>
      <c r="C1058" s="23" t="str">
        <f t="shared" si="32"/>
        <v>Jun</v>
      </c>
      <c r="D1058" s="23" t="str">
        <f t="shared" si="33"/>
        <v>2024</v>
      </c>
      <c r="E1058" t="s">
        <v>3809</v>
      </c>
      <c r="F1058" s="24" t="s">
        <v>25</v>
      </c>
      <c r="G1058" s="17">
        <v>2</v>
      </c>
      <c r="H1058" s="19">
        <v>486.35</v>
      </c>
      <c r="I1058" t="s">
        <v>719</v>
      </c>
      <c r="J1058" s="24" t="s">
        <v>27</v>
      </c>
      <c r="K1058" s="24" t="s">
        <v>89</v>
      </c>
      <c r="L1058" t="s">
        <v>3810</v>
      </c>
      <c r="M1058" s="17">
        <v>6</v>
      </c>
      <c r="N1058" t="s">
        <v>21</v>
      </c>
      <c r="O1058" s="24" t="s">
        <v>29</v>
      </c>
      <c r="P1058" s="19">
        <v>972.7</v>
      </c>
      <c r="Q1058" s="26" t="str">
        <f>IF(OR(P1058&lt;'Descriptive Statistics'!$H$17,P1058&gt;'Descriptive Statistics'!$H$18),"Potential Outlier","Within Range")</f>
        <v>Within Range</v>
      </c>
      <c r="R1058" s="26" t="str">
        <f>IF(OR(G1058&lt;'Descriptive Statistics'!$I$17,G1058&gt;'Descriptive Statistics'!$I$18),"Potential Outlier","Within Range")</f>
        <v>Within Range</v>
      </c>
      <c r="S1058" s="26" t="str">
        <f>IF(OR(H1058&lt;'Descriptive Statistics'!$J$17,H1058&gt;'Descriptive Statistics'!$J$18),"Potential Outlier","Within Range")</f>
        <v>Within Range</v>
      </c>
    </row>
    <row r="1059" hidden="1" spans="1:19">
      <c r="A1059" t="s">
        <v>3811</v>
      </c>
      <c r="B1059" s="23">
        <v>45559</v>
      </c>
      <c r="C1059" s="23" t="str">
        <f t="shared" si="32"/>
        <v>Sep</v>
      </c>
      <c r="D1059" s="23" t="str">
        <f t="shared" si="33"/>
        <v>2024</v>
      </c>
      <c r="E1059" t="s">
        <v>3812</v>
      </c>
      <c r="F1059" s="24" t="s">
        <v>58</v>
      </c>
      <c r="G1059" s="17">
        <v>3</v>
      </c>
      <c r="H1059" s="19">
        <v>428.88</v>
      </c>
      <c r="I1059" t="s">
        <v>704</v>
      </c>
      <c r="J1059" s="24" t="s">
        <v>18</v>
      </c>
      <c r="K1059" s="24" t="s">
        <v>19</v>
      </c>
      <c r="L1059" t="s">
        <v>3813</v>
      </c>
      <c r="M1059" s="17">
        <v>3</v>
      </c>
      <c r="N1059" t="s">
        <v>81</v>
      </c>
      <c r="O1059" s="24" t="s">
        <v>45</v>
      </c>
      <c r="P1059" s="19">
        <v>1286.64</v>
      </c>
      <c r="Q1059" s="26" t="str">
        <f>IF(OR(P1059&lt;'Descriptive Statistics'!$H$17,P1059&gt;'Descriptive Statistics'!$H$18),"Potential Outlier","Within Range")</f>
        <v>Within Range</v>
      </c>
      <c r="R1059" s="26" t="str">
        <f>IF(OR(G1059&lt;'Descriptive Statistics'!$I$17,G1059&gt;'Descriptive Statistics'!$I$18),"Potential Outlier","Within Range")</f>
        <v>Within Range</v>
      </c>
      <c r="S1059" s="26" t="str">
        <f>IF(OR(H1059&lt;'Descriptive Statistics'!$J$17,H1059&gt;'Descriptive Statistics'!$J$18),"Potential Outlier","Within Range")</f>
        <v>Within Range</v>
      </c>
    </row>
    <row r="1060" hidden="1" spans="1:19">
      <c r="A1060" t="s">
        <v>3814</v>
      </c>
      <c r="B1060" s="23">
        <v>45177</v>
      </c>
      <c r="C1060" s="23" t="str">
        <f t="shared" si="32"/>
        <v>Sep</v>
      </c>
      <c r="D1060" s="23" t="str">
        <f t="shared" si="33"/>
        <v>2023</v>
      </c>
      <c r="E1060" t="s">
        <v>3815</v>
      </c>
      <c r="F1060" s="24" t="s">
        <v>73</v>
      </c>
      <c r="G1060" s="17">
        <v>2</v>
      </c>
      <c r="H1060" s="19">
        <v>412.14</v>
      </c>
      <c r="I1060" t="s">
        <v>1081</v>
      </c>
      <c r="J1060" s="24" t="s">
        <v>34</v>
      </c>
      <c r="K1060" s="24" t="s">
        <v>43</v>
      </c>
      <c r="L1060" t="s">
        <v>3816</v>
      </c>
      <c r="M1060" s="17">
        <v>2</v>
      </c>
      <c r="N1060" t="s">
        <v>37</v>
      </c>
      <c r="O1060" s="24" t="s">
        <v>22</v>
      </c>
      <c r="P1060" s="19">
        <v>824.28</v>
      </c>
      <c r="Q1060" s="26" t="str">
        <f>IF(OR(P1060&lt;'Descriptive Statistics'!$H$17,P1060&gt;'Descriptive Statistics'!$H$18),"Potential Outlier","Within Range")</f>
        <v>Within Range</v>
      </c>
      <c r="R1060" s="26" t="str">
        <f>IF(OR(G1060&lt;'Descriptive Statistics'!$I$17,G1060&gt;'Descriptive Statistics'!$I$18),"Potential Outlier","Within Range")</f>
        <v>Within Range</v>
      </c>
      <c r="S1060" s="26" t="str">
        <f>IF(OR(H1060&lt;'Descriptive Statistics'!$J$17,H1060&gt;'Descriptive Statistics'!$J$18),"Potential Outlier","Within Range")</f>
        <v>Within Range</v>
      </c>
    </row>
    <row r="1061" hidden="1" spans="1:19">
      <c r="A1061" t="s">
        <v>3817</v>
      </c>
      <c r="B1061" s="23">
        <v>45557</v>
      </c>
      <c r="C1061" s="23" t="str">
        <f t="shared" si="32"/>
        <v>Sep</v>
      </c>
      <c r="D1061" s="23" t="str">
        <f t="shared" si="33"/>
        <v>2024</v>
      </c>
      <c r="E1061" t="s">
        <v>3818</v>
      </c>
      <c r="F1061" s="24" t="s">
        <v>73</v>
      </c>
      <c r="G1061" s="17">
        <v>1</v>
      </c>
      <c r="H1061" s="19">
        <v>265.64</v>
      </c>
      <c r="I1061" t="s">
        <v>3819</v>
      </c>
      <c r="J1061" s="24" t="s">
        <v>34</v>
      </c>
      <c r="K1061" s="24" t="s">
        <v>43</v>
      </c>
      <c r="L1061" t="s">
        <v>3820</v>
      </c>
      <c r="M1061" s="17">
        <v>3</v>
      </c>
      <c r="N1061" t="s">
        <v>81</v>
      </c>
      <c r="O1061" s="24" t="s">
        <v>22</v>
      </c>
      <c r="P1061" s="19">
        <v>265.64</v>
      </c>
      <c r="Q1061" s="26" t="str">
        <f>IF(OR(P1061&lt;'Descriptive Statistics'!$H$17,P1061&gt;'Descriptive Statistics'!$H$18),"Potential Outlier","Within Range")</f>
        <v>Within Range</v>
      </c>
      <c r="R1061" s="26" t="str">
        <f>IF(OR(G1061&lt;'Descriptive Statistics'!$I$17,G1061&gt;'Descriptive Statistics'!$I$18),"Potential Outlier","Within Range")</f>
        <v>Within Range</v>
      </c>
      <c r="S1061" s="26" t="str">
        <f>IF(OR(H1061&lt;'Descriptive Statistics'!$J$17,H1061&gt;'Descriptive Statistics'!$J$18),"Potential Outlier","Within Range")</f>
        <v>Within Range</v>
      </c>
    </row>
    <row r="1062" hidden="1" spans="1:19">
      <c r="A1062" t="s">
        <v>3821</v>
      </c>
      <c r="B1062" s="23">
        <v>45419</v>
      </c>
      <c r="C1062" s="23" t="str">
        <f t="shared" si="32"/>
        <v>May</v>
      </c>
      <c r="D1062" s="23" t="str">
        <f t="shared" si="33"/>
        <v>2024</v>
      </c>
      <c r="E1062" t="s">
        <v>3822</v>
      </c>
      <c r="F1062" s="24" t="s">
        <v>32</v>
      </c>
      <c r="G1062" s="17">
        <v>2</v>
      </c>
      <c r="H1062" s="19">
        <v>273.43</v>
      </c>
      <c r="I1062" t="s">
        <v>1380</v>
      </c>
      <c r="J1062" s="24" t="s">
        <v>65</v>
      </c>
      <c r="K1062" s="24" t="s">
        <v>19</v>
      </c>
      <c r="L1062" t="s">
        <v>3823</v>
      </c>
      <c r="M1062" s="17">
        <v>7</v>
      </c>
      <c r="N1062" t="s">
        <v>81</v>
      </c>
      <c r="O1062" s="24" t="s">
        <v>29</v>
      </c>
      <c r="P1062" s="19">
        <v>546.86</v>
      </c>
      <c r="Q1062" s="26" t="str">
        <f>IF(OR(P1062&lt;'Descriptive Statistics'!$H$17,P1062&gt;'Descriptive Statistics'!$H$18),"Potential Outlier","Within Range")</f>
        <v>Within Range</v>
      </c>
      <c r="R1062" s="26" t="str">
        <f>IF(OR(G1062&lt;'Descriptive Statistics'!$I$17,G1062&gt;'Descriptive Statistics'!$I$18),"Potential Outlier","Within Range")</f>
        <v>Within Range</v>
      </c>
      <c r="S1062" s="26" t="str">
        <f>IF(OR(H1062&lt;'Descriptive Statistics'!$J$17,H1062&gt;'Descriptive Statistics'!$J$18),"Potential Outlier","Within Range")</f>
        <v>Within Range</v>
      </c>
    </row>
    <row r="1063" hidden="1" spans="1:19">
      <c r="A1063" t="s">
        <v>3824</v>
      </c>
      <c r="B1063" s="23">
        <v>45686</v>
      </c>
      <c r="C1063" s="23" t="str">
        <f t="shared" si="32"/>
        <v>Jan</v>
      </c>
      <c r="D1063" s="23" t="str">
        <f t="shared" si="33"/>
        <v>2025</v>
      </c>
      <c r="E1063" t="s">
        <v>3825</v>
      </c>
      <c r="F1063" s="24" t="s">
        <v>58</v>
      </c>
      <c r="G1063" s="17">
        <v>5</v>
      </c>
      <c r="H1063" s="19">
        <v>131.7</v>
      </c>
      <c r="I1063" t="s">
        <v>169</v>
      </c>
      <c r="J1063" s="24" t="s">
        <v>65</v>
      </c>
      <c r="K1063" s="24" t="s">
        <v>19</v>
      </c>
      <c r="L1063" t="s">
        <v>3826</v>
      </c>
      <c r="M1063" s="17">
        <v>8</v>
      </c>
      <c r="N1063" t="s">
        <v>37</v>
      </c>
      <c r="O1063" s="24" t="s">
        <v>76</v>
      </c>
      <c r="P1063" s="19">
        <v>658.5</v>
      </c>
      <c r="Q1063" s="26" t="str">
        <f>IF(OR(P1063&lt;'Descriptive Statistics'!$H$17,P1063&gt;'Descriptive Statistics'!$H$18),"Potential Outlier","Within Range")</f>
        <v>Within Range</v>
      </c>
      <c r="R1063" s="26" t="str">
        <f>IF(OR(G1063&lt;'Descriptive Statistics'!$I$17,G1063&gt;'Descriptive Statistics'!$I$18),"Potential Outlier","Within Range")</f>
        <v>Within Range</v>
      </c>
      <c r="S1063" s="26" t="str">
        <f>IF(OR(H1063&lt;'Descriptive Statistics'!$J$17,H1063&gt;'Descriptive Statistics'!$J$18),"Potential Outlier","Within Range")</f>
        <v>Within Range</v>
      </c>
    </row>
    <row r="1064" hidden="1" spans="1:19">
      <c r="A1064" t="s">
        <v>3827</v>
      </c>
      <c r="B1064" s="23">
        <v>45161</v>
      </c>
      <c r="C1064" s="23" t="str">
        <f t="shared" si="32"/>
        <v>Aug</v>
      </c>
      <c r="D1064" s="23" t="str">
        <f t="shared" si="33"/>
        <v>2023</v>
      </c>
      <c r="E1064" t="s">
        <v>3828</v>
      </c>
      <c r="F1064" s="24" t="s">
        <v>41</v>
      </c>
      <c r="G1064" s="17">
        <v>5</v>
      </c>
      <c r="H1064" s="19">
        <v>85.52</v>
      </c>
      <c r="I1064" t="s">
        <v>1252</v>
      </c>
      <c r="J1064" s="24" t="s">
        <v>60</v>
      </c>
      <c r="K1064" s="24" t="s">
        <v>35</v>
      </c>
      <c r="L1064" t="s">
        <v>3829</v>
      </c>
      <c r="M1064" s="17">
        <v>5</v>
      </c>
      <c r="N1064" t="s">
        <v>4295</v>
      </c>
      <c r="O1064" s="24" t="s">
        <v>45</v>
      </c>
      <c r="P1064" s="19">
        <v>427.6</v>
      </c>
      <c r="Q1064" s="26" t="str">
        <f>IF(OR(P1064&lt;'Descriptive Statistics'!$H$17,P1064&gt;'Descriptive Statistics'!$H$18),"Potential Outlier","Within Range")</f>
        <v>Within Range</v>
      </c>
      <c r="R1064" s="26" t="str">
        <f>IF(OR(G1064&lt;'Descriptive Statistics'!$I$17,G1064&gt;'Descriptive Statistics'!$I$18),"Potential Outlier","Within Range")</f>
        <v>Within Range</v>
      </c>
      <c r="S1064" s="26" t="str">
        <f>IF(OR(H1064&lt;'Descriptive Statistics'!$J$17,H1064&gt;'Descriptive Statistics'!$J$18),"Potential Outlier","Within Range")</f>
        <v>Within Range</v>
      </c>
    </row>
    <row r="1065" hidden="1" spans="1:19">
      <c r="A1065" t="s">
        <v>3830</v>
      </c>
      <c r="B1065" s="23">
        <v>45462</v>
      </c>
      <c r="C1065" s="23" t="str">
        <f t="shared" si="32"/>
        <v>Jun</v>
      </c>
      <c r="D1065" s="23" t="str">
        <f t="shared" si="33"/>
        <v>2024</v>
      </c>
      <c r="E1065" t="s">
        <v>3831</v>
      </c>
      <c r="F1065" s="24" t="s">
        <v>73</v>
      </c>
      <c r="G1065" s="17">
        <v>2</v>
      </c>
      <c r="H1065" s="19">
        <v>320.68</v>
      </c>
      <c r="I1065" t="s">
        <v>708</v>
      </c>
      <c r="J1065" s="24" t="s">
        <v>34</v>
      </c>
      <c r="K1065" s="24" t="s">
        <v>19</v>
      </c>
      <c r="L1065" t="s">
        <v>3832</v>
      </c>
      <c r="M1065" s="17">
        <v>5</v>
      </c>
      <c r="N1065" t="s">
        <v>37</v>
      </c>
      <c r="O1065" s="24" t="s">
        <v>29</v>
      </c>
      <c r="P1065" s="19">
        <v>641.36</v>
      </c>
      <c r="Q1065" s="26" t="str">
        <f>IF(OR(P1065&lt;'Descriptive Statistics'!$H$17,P1065&gt;'Descriptive Statistics'!$H$18),"Potential Outlier","Within Range")</f>
        <v>Within Range</v>
      </c>
      <c r="R1065" s="26" t="str">
        <f>IF(OR(G1065&lt;'Descriptive Statistics'!$I$17,G1065&gt;'Descriptive Statistics'!$I$18),"Potential Outlier","Within Range")</f>
        <v>Within Range</v>
      </c>
      <c r="S1065" s="26" t="str">
        <f>IF(OR(H1065&lt;'Descriptive Statistics'!$J$17,H1065&gt;'Descriptive Statistics'!$J$18),"Potential Outlier","Within Range")</f>
        <v>Within Range</v>
      </c>
    </row>
    <row r="1066" hidden="1" spans="1:19">
      <c r="A1066" t="s">
        <v>3833</v>
      </c>
      <c r="B1066" s="23">
        <v>45700</v>
      </c>
      <c r="C1066" s="23" t="str">
        <f t="shared" si="32"/>
        <v>Feb</v>
      </c>
      <c r="D1066" s="23" t="str">
        <f t="shared" si="33"/>
        <v>2025</v>
      </c>
      <c r="E1066" t="s">
        <v>3834</v>
      </c>
      <c r="F1066" s="24" t="s">
        <v>58</v>
      </c>
      <c r="G1066" s="17">
        <v>4</v>
      </c>
      <c r="H1066" s="19">
        <v>198.81</v>
      </c>
      <c r="I1066" t="s">
        <v>1105</v>
      </c>
      <c r="J1066" s="24" t="s">
        <v>65</v>
      </c>
      <c r="K1066" s="24" t="s">
        <v>43</v>
      </c>
      <c r="L1066" t="s">
        <v>3835</v>
      </c>
      <c r="M1066" s="17">
        <v>9</v>
      </c>
      <c r="N1066" t="s">
        <v>37</v>
      </c>
      <c r="O1066" s="24" t="s">
        <v>29</v>
      </c>
      <c r="P1066" s="19">
        <v>795.24</v>
      </c>
      <c r="Q1066" s="26" t="str">
        <f>IF(OR(P1066&lt;'Descriptive Statistics'!$H$17,P1066&gt;'Descriptive Statistics'!$H$18),"Potential Outlier","Within Range")</f>
        <v>Within Range</v>
      </c>
      <c r="R1066" s="26" t="str">
        <f>IF(OR(G1066&lt;'Descriptive Statistics'!$I$17,G1066&gt;'Descriptive Statistics'!$I$18),"Potential Outlier","Within Range")</f>
        <v>Within Range</v>
      </c>
      <c r="S1066" s="26" t="str">
        <f>IF(OR(H1066&lt;'Descriptive Statistics'!$J$17,H1066&gt;'Descriptive Statistics'!$J$18),"Potential Outlier","Within Range")</f>
        <v>Within Range</v>
      </c>
    </row>
    <row r="1067" spans="1:19">
      <c r="A1067" t="s">
        <v>3836</v>
      </c>
      <c r="B1067" s="23">
        <v>45229</v>
      </c>
      <c r="C1067" s="23" t="str">
        <f t="shared" si="32"/>
        <v>Oct</v>
      </c>
      <c r="D1067" s="23" t="str">
        <f t="shared" si="33"/>
        <v>2023</v>
      </c>
      <c r="E1067" t="s">
        <v>3837</v>
      </c>
      <c r="F1067" s="24" t="s">
        <v>48</v>
      </c>
      <c r="G1067" s="17">
        <v>5</v>
      </c>
      <c r="H1067" s="19">
        <v>666.8</v>
      </c>
      <c r="I1067" t="s">
        <v>1652</v>
      </c>
      <c r="J1067" s="24" t="s">
        <v>18</v>
      </c>
      <c r="K1067" s="24" t="s">
        <v>50</v>
      </c>
      <c r="L1067" t="s">
        <v>3838</v>
      </c>
      <c r="M1067" s="17">
        <v>7</v>
      </c>
      <c r="N1067" t="s">
        <v>21</v>
      </c>
      <c r="O1067" s="24" t="s">
        <v>29</v>
      </c>
      <c r="P1067" s="19">
        <v>3334</v>
      </c>
      <c r="Q1067" s="26" t="str">
        <f>IF(OR(P1067&lt;'Descriptive Statistics'!$H$17,P1067&gt;'Descriptive Statistics'!$H$18),"Potential Outlier","Within Range")</f>
        <v>Potential Outlier</v>
      </c>
      <c r="R1067" s="26" t="str">
        <f>IF(OR(G1067&lt;'Descriptive Statistics'!$I$17,G1067&gt;'Descriptive Statistics'!$I$18),"Potential Outlier","Within Range")</f>
        <v>Within Range</v>
      </c>
      <c r="S1067" s="26" t="str">
        <f>IF(OR(H1067&lt;'Descriptive Statistics'!$J$17,H1067&gt;'Descriptive Statistics'!$J$18),"Potential Outlier","Within Range")</f>
        <v>Within Range</v>
      </c>
    </row>
    <row r="1068" hidden="1" spans="1:19">
      <c r="A1068" t="s">
        <v>3839</v>
      </c>
      <c r="B1068" s="23">
        <v>45280</v>
      </c>
      <c r="C1068" s="23" t="str">
        <f t="shared" si="32"/>
        <v>Dec</v>
      </c>
      <c r="D1068" s="23" t="str">
        <f t="shared" si="33"/>
        <v>2023</v>
      </c>
      <c r="E1068" t="s">
        <v>3840</v>
      </c>
      <c r="F1068" s="24" t="s">
        <v>73</v>
      </c>
      <c r="G1068" s="17">
        <v>1</v>
      </c>
      <c r="H1068" s="19">
        <v>355.09</v>
      </c>
      <c r="I1068" t="s">
        <v>2586</v>
      </c>
      <c r="J1068" s="24" t="s">
        <v>18</v>
      </c>
      <c r="K1068" s="24" t="s">
        <v>35</v>
      </c>
      <c r="L1068" t="s">
        <v>3841</v>
      </c>
      <c r="M1068" s="17">
        <v>5</v>
      </c>
      <c r="N1068" t="s">
        <v>21</v>
      </c>
      <c r="O1068" s="24" t="s">
        <v>22</v>
      </c>
      <c r="P1068" s="19">
        <v>355.09</v>
      </c>
      <c r="Q1068" s="26" t="str">
        <f>IF(OR(P1068&lt;'Descriptive Statistics'!$H$17,P1068&gt;'Descriptive Statistics'!$H$18),"Potential Outlier","Within Range")</f>
        <v>Within Range</v>
      </c>
      <c r="R1068" s="26" t="str">
        <f>IF(OR(G1068&lt;'Descriptive Statistics'!$I$17,G1068&gt;'Descriptive Statistics'!$I$18),"Potential Outlier","Within Range")</f>
        <v>Within Range</v>
      </c>
      <c r="S1068" s="26" t="str">
        <f>IF(OR(H1068&lt;'Descriptive Statistics'!$J$17,H1068&gt;'Descriptive Statistics'!$J$18),"Potential Outlier","Within Range")</f>
        <v>Within Range</v>
      </c>
    </row>
    <row r="1069" hidden="1" spans="1:19">
      <c r="A1069" t="s">
        <v>3842</v>
      </c>
      <c r="B1069" s="23">
        <v>45083</v>
      </c>
      <c r="C1069" s="23" t="str">
        <f t="shared" si="32"/>
        <v>Jun</v>
      </c>
      <c r="D1069" s="23" t="str">
        <f t="shared" si="33"/>
        <v>2023</v>
      </c>
      <c r="E1069" t="s">
        <v>3843</v>
      </c>
      <c r="F1069" s="24" t="s">
        <v>25</v>
      </c>
      <c r="G1069" s="17">
        <v>2</v>
      </c>
      <c r="H1069" s="19">
        <v>316.2</v>
      </c>
      <c r="I1069" t="s">
        <v>316</v>
      </c>
      <c r="J1069" s="24" t="s">
        <v>27</v>
      </c>
      <c r="K1069" s="24" t="s">
        <v>43</v>
      </c>
      <c r="L1069" t="s">
        <v>3844</v>
      </c>
      <c r="M1069" s="17">
        <v>2</v>
      </c>
      <c r="N1069" t="s">
        <v>4295</v>
      </c>
      <c r="O1069" s="24" t="s">
        <v>22</v>
      </c>
      <c r="P1069" s="19">
        <v>632.4</v>
      </c>
      <c r="Q1069" s="26" t="str">
        <f>IF(OR(P1069&lt;'Descriptive Statistics'!$H$17,P1069&gt;'Descriptive Statistics'!$H$18),"Potential Outlier","Within Range")</f>
        <v>Within Range</v>
      </c>
      <c r="R1069" s="26" t="str">
        <f>IF(OR(G1069&lt;'Descriptive Statistics'!$I$17,G1069&gt;'Descriptive Statistics'!$I$18),"Potential Outlier","Within Range")</f>
        <v>Within Range</v>
      </c>
      <c r="S1069" s="26" t="str">
        <f>IF(OR(H1069&lt;'Descriptive Statistics'!$J$17,H1069&gt;'Descriptive Statistics'!$J$18),"Potential Outlier","Within Range")</f>
        <v>Within Range</v>
      </c>
    </row>
    <row r="1070" hidden="1" spans="1:19">
      <c r="A1070" t="s">
        <v>3845</v>
      </c>
      <c r="B1070" s="23">
        <v>45507</v>
      </c>
      <c r="C1070" s="23" t="str">
        <f t="shared" si="32"/>
        <v>Aug</v>
      </c>
      <c r="D1070" s="23" t="str">
        <f t="shared" si="33"/>
        <v>2024</v>
      </c>
      <c r="E1070" t="s">
        <v>3846</v>
      </c>
      <c r="F1070" s="24" t="s">
        <v>58</v>
      </c>
      <c r="G1070" s="17">
        <v>1</v>
      </c>
      <c r="H1070" s="19">
        <v>133.39</v>
      </c>
      <c r="I1070" t="s">
        <v>3847</v>
      </c>
      <c r="J1070" s="24" t="s">
        <v>18</v>
      </c>
      <c r="K1070" s="24" t="s">
        <v>19</v>
      </c>
      <c r="L1070" t="s">
        <v>3848</v>
      </c>
      <c r="M1070" s="17">
        <v>2</v>
      </c>
      <c r="N1070" t="s">
        <v>21</v>
      </c>
      <c r="O1070" s="24" t="s">
        <v>29</v>
      </c>
      <c r="P1070" s="19">
        <v>133.39</v>
      </c>
      <c r="Q1070" s="26" t="str">
        <f>IF(OR(P1070&lt;'Descriptive Statistics'!$H$17,P1070&gt;'Descriptive Statistics'!$H$18),"Potential Outlier","Within Range")</f>
        <v>Within Range</v>
      </c>
      <c r="R1070" s="26" t="str">
        <f>IF(OR(G1070&lt;'Descriptive Statistics'!$I$17,G1070&gt;'Descriptive Statistics'!$I$18),"Potential Outlier","Within Range")</f>
        <v>Within Range</v>
      </c>
      <c r="S1070" s="26" t="str">
        <f>IF(OR(H1070&lt;'Descriptive Statistics'!$J$17,H1070&gt;'Descriptive Statistics'!$J$18),"Potential Outlier","Within Range")</f>
        <v>Within Range</v>
      </c>
    </row>
    <row r="1071" hidden="1" spans="1:19">
      <c r="A1071" t="s">
        <v>3849</v>
      </c>
      <c r="B1071" s="23">
        <v>44982</v>
      </c>
      <c r="C1071" s="23" t="str">
        <f t="shared" si="32"/>
        <v>Feb</v>
      </c>
      <c r="D1071" s="23" t="str">
        <f t="shared" si="33"/>
        <v>2023</v>
      </c>
      <c r="E1071" t="s">
        <v>3850</v>
      </c>
      <c r="F1071" s="24" t="s">
        <v>16</v>
      </c>
      <c r="G1071" s="17">
        <v>1</v>
      </c>
      <c r="H1071" s="19">
        <v>454.23</v>
      </c>
      <c r="I1071" t="s">
        <v>968</v>
      </c>
      <c r="J1071" s="24" t="s">
        <v>60</v>
      </c>
      <c r="K1071" s="24" t="s">
        <v>43</v>
      </c>
      <c r="L1071" t="s">
        <v>3851</v>
      </c>
      <c r="M1071" s="17">
        <v>3</v>
      </c>
      <c r="N1071" t="s">
        <v>4295</v>
      </c>
      <c r="O1071" s="24" t="s">
        <v>45</v>
      </c>
      <c r="P1071" s="19">
        <v>454.23</v>
      </c>
      <c r="Q1071" s="26" t="str">
        <f>IF(OR(P1071&lt;'Descriptive Statistics'!$H$17,P1071&gt;'Descriptive Statistics'!$H$18),"Potential Outlier","Within Range")</f>
        <v>Within Range</v>
      </c>
      <c r="R1071" s="26" t="str">
        <f>IF(OR(G1071&lt;'Descriptive Statistics'!$I$17,G1071&gt;'Descriptive Statistics'!$I$18),"Potential Outlier","Within Range")</f>
        <v>Within Range</v>
      </c>
      <c r="S1071" s="26" t="str">
        <f>IF(OR(H1071&lt;'Descriptive Statistics'!$J$17,H1071&gt;'Descriptive Statistics'!$J$18),"Potential Outlier","Within Range")</f>
        <v>Within Range</v>
      </c>
    </row>
    <row r="1072" hidden="1" spans="1:19">
      <c r="A1072" t="s">
        <v>3852</v>
      </c>
      <c r="B1072" s="23">
        <v>45541</v>
      </c>
      <c r="C1072" s="23" t="str">
        <f t="shared" si="32"/>
        <v>Sep</v>
      </c>
      <c r="D1072" s="23" t="str">
        <f t="shared" si="33"/>
        <v>2024</v>
      </c>
      <c r="E1072" t="s">
        <v>3853</v>
      </c>
      <c r="F1072" s="24" t="s">
        <v>73</v>
      </c>
      <c r="G1072" s="17">
        <v>4</v>
      </c>
      <c r="H1072" s="19">
        <v>491.29</v>
      </c>
      <c r="I1072" t="s">
        <v>359</v>
      </c>
      <c r="J1072" s="24" t="s">
        <v>18</v>
      </c>
      <c r="K1072" s="24" t="s">
        <v>89</v>
      </c>
      <c r="L1072" t="s">
        <v>3854</v>
      </c>
      <c r="M1072" s="17">
        <v>6</v>
      </c>
      <c r="N1072" t="s">
        <v>4295</v>
      </c>
      <c r="O1072" s="24" t="s">
        <v>38</v>
      </c>
      <c r="P1072" s="19">
        <v>1965.16</v>
      </c>
      <c r="Q1072" s="26" t="str">
        <f>IF(OR(P1072&lt;'Descriptive Statistics'!$H$17,P1072&gt;'Descriptive Statistics'!$H$18),"Potential Outlier","Within Range")</f>
        <v>Within Range</v>
      </c>
      <c r="R1072" s="26" t="str">
        <f>IF(OR(G1072&lt;'Descriptive Statistics'!$I$17,G1072&gt;'Descriptive Statistics'!$I$18),"Potential Outlier","Within Range")</f>
        <v>Within Range</v>
      </c>
      <c r="S1072" s="26" t="str">
        <f>IF(OR(H1072&lt;'Descriptive Statistics'!$J$17,H1072&gt;'Descriptive Statistics'!$J$18),"Potential Outlier","Within Range")</f>
        <v>Within Range</v>
      </c>
    </row>
    <row r="1073" hidden="1" spans="1:19">
      <c r="A1073" t="s">
        <v>3855</v>
      </c>
      <c r="B1073" s="23">
        <v>45832</v>
      </c>
      <c r="C1073" s="23" t="str">
        <f t="shared" si="32"/>
        <v>Jun</v>
      </c>
      <c r="D1073" s="23" t="str">
        <f t="shared" si="33"/>
        <v>2025</v>
      </c>
      <c r="E1073" t="s">
        <v>3856</v>
      </c>
      <c r="F1073" s="24" t="s">
        <v>25</v>
      </c>
      <c r="G1073" s="17">
        <v>2</v>
      </c>
      <c r="H1073" s="19">
        <v>255.14</v>
      </c>
      <c r="I1073" t="s">
        <v>1455</v>
      </c>
      <c r="J1073" s="24" t="s">
        <v>65</v>
      </c>
      <c r="K1073" s="24" t="s">
        <v>19</v>
      </c>
      <c r="L1073" t="s">
        <v>3857</v>
      </c>
      <c r="M1073" s="17">
        <v>2</v>
      </c>
      <c r="N1073" t="s">
        <v>4295</v>
      </c>
      <c r="O1073" s="24" t="s">
        <v>76</v>
      </c>
      <c r="P1073" s="19">
        <v>510.28</v>
      </c>
      <c r="Q1073" s="26" t="str">
        <f>IF(OR(P1073&lt;'Descriptive Statistics'!$H$17,P1073&gt;'Descriptive Statistics'!$H$18),"Potential Outlier","Within Range")</f>
        <v>Within Range</v>
      </c>
      <c r="R1073" s="26" t="str">
        <f>IF(OR(G1073&lt;'Descriptive Statistics'!$I$17,G1073&gt;'Descriptive Statistics'!$I$18),"Potential Outlier","Within Range")</f>
        <v>Within Range</v>
      </c>
      <c r="S1073" s="26" t="str">
        <f>IF(OR(H1073&lt;'Descriptive Statistics'!$J$17,H1073&gt;'Descriptive Statistics'!$J$18),"Potential Outlier","Within Range")</f>
        <v>Within Range</v>
      </c>
    </row>
    <row r="1074" hidden="1" spans="1:19">
      <c r="A1074" t="s">
        <v>3858</v>
      </c>
      <c r="B1074" s="23">
        <v>44983</v>
      </c>
      <c r="C1074" s="23" t="str">
        <f t="shared" si="32"/>
        <v>Feb</v>
      </c>
      <c r="D1074" s="23" t="str">
        <f t="shared" si="33"/>
        <v>2023</v>
      </c>
      <c r="E1074" t="s">
        <v>3859</v>
      </c>
      <c r="F1074" s="24" t="s">
        <v>16</v>
      </c>
      <c r="G1074" s="17">
        <v>1</v>
      </c>
      <c r="H1074" s="19">
        <v>392.61</v>
      </c>
      <c r="I1074" t="s">
        <v>1058</v>
      </c>
      <c r="J1074" s="24" t="s">
        <v>60</v>
      </c>
      <c r="K1074" s="24" t="s">
        <v>35</v>
      </c>
      <c r="L1074" t="s">
        <v>3860</v>
      </c>
      <c r="M1074" s="17">
        <v>4</v>
      </c>
      <c r="N1074" t="s">
        <v>21</v>
      </c>
      <c r="O1074" s="24" t="s">
        <v>29</v>
      </c>
      <c r="P1074" s="19">
        <v>392.61</v>
      </c>
      <c r="Q1074" s="26" t="str">
        <f>IF(OR(P1074&lt;'Descriptive Statistics'!$H$17,P1074&gt;'Descriptive Statistics'!$H$18),"Potential Outlier","Within Range")</f>
        <v>Within Range</v>
      </c>
      <c r="R1074" s="26" t="str">
        <f>IF(OR(G1074&lt;'Descriptive Statistics'!$I$17,G1074&gt;'Descriptive Statistics'!$I$18),"Potential Outlier","Within Range")</f>
        <v>Within Range</v>
      </c>
      <c r="S1074" s="26" t="str">
        <f>IF(OR(H1074&lt;'Descriptive Statistics'!$J$17,H1074&gt;'Descriptive Statistics'!$J$18),"Potential Outlier","Within Range")</f>
        <v>Within Range</v>
      </c>
    </row>
    <row r="1075" hidden="1" spans="1:19">
      <c r="A1075" t="s">
        <v>3861</v>
      </c>
      <c r="B1075" s="23">
        <v>45576</v>
      </c>
      <c r="C1075" s="23" t="str">
        <f t="shared" si="32"/>
        <v>Oct</v>
      </c>
      <c r="D1075" s="23" t="str">
        <f t="shared" si="33"/>
        <v>2024</v>
      </c>
      <c r="E1075" t="s">
        <v>3862</v>
      </c>
      <c r="F1075" s="24" t="s">
        <v>32</v>
      </c>
      <c r="G1075" s="17">
        <v>4</v>
      </c>
      <c r="H1075" s="19">
        <v>362.06</v>
      </c>
      <c r="I1075" t="s">
        <v>1036</v>
      </c>
      <c r="J1075" s="24" t="s">
        <v>18</v>
      </c>
      <c r="K1075" s="24" t="s">
        <v>43</v>
      </c>
      <c r="L1075" t="s">
        <v>3863</v>
      </c>
      <c r="M1075" s="17">
        <v>4</v>
      </c>
      <c r="N1075" t="s">
        <v>4295</v>
      </c>
      <c r="O1075" s="24" t="s">
        <v>45</v>
      </c>
      <c r="P1075" s="19">
        <v>1448.24</v>
      </c>
      <c r="Q1075" s="26" t="str">
        <f>IF(OR(P1075&lt;'Descriptive Statistics'!$H$17,P1075&gt;'Descriptive Statistics'!$H$18),"Potential Outlier","Within Range")</f>
        <v>Within Range</v>
      </c>
      <c r="R1075" s="26" t="str">
        <f>IF(OR(G1075&lt;'Descriptive Statistics'!$I$17,G1075&gt;'Descriptive Statistics'!$I$18),"Potential Outlier","Within Range")</f>
        <v>Within Range</v>
      </c>
      <c r="S1075" s="26" t="str">
        <f>IF(OR(H1075&lt;'Descriptive Statistics'!$J$17,H1075&gt;'Descriptive Statistics'!$J$18),"Potential Outlier","Within Range")</f>
        <v>Within Range</v>
      </c>
    </row>
    <row r="1076" hidden="1" spans="1:19">
      <c r="A1076" t="s">
        <v>3864</v>
      </c>
      <c r="B1076" s="23">
        <v>45422</v>
      </c>
      <c r="C1076" s="23" t="str">
        <f t="shared" si="32"/>
        <v>May</v>
      </c>
      <c r="D1076" s="23" t="str">
        <f t="shared" si="33"/>
        <v>2024</v>
      </c>
      <c r="E1076" t="s">
        <v>3865</v>
      </c>
      <c r="F1076" s="24" t="s">
        <v>25</v>
      </c>
      <c r="G1076" s="17">
        <v>1</v>
      </c>
      <c r="H1076" s="19">
        <v>222.73</v>
      </c>
      <c r="I1076" t="s">
        <v>3866</v>
      </c>
      <c r="J1076" s="24" t="s">
        <v>27</v>
      </c>
      <c r="K1076" s="24" t="s">
        <v>43</v>
      </c>
      <c r="L1076" t="s">
        <v>3867</v>
      </c>
      <c r="M1076" s="17">
        <v>4</v>
      </c>
      <c r="N1076" t="s">
        <v>4295</v>
      </c>
      <c r="O1076" s="24" t="s">
        <v>76</v>
      </c>
      <c r="P1076" s="19">
        <v>222.73</v>
      </c>
      <c r="Q1076" s="26" t="str">
        <f>IF(OR(P1076&lt;'Descriptive Statistics'!$H$17,P1076&gt;'Descriptive Statistics'!$H$18),"Potential Outlier","Within Range")</f>
        <v>Within Range</v>
      </c>
      <c r="R1076" s="26" t="str">
        <f>IF(OR(G1076&lt;'Descriptive Statistics'!$I$17,G1076&gt;'Descriptive Statistics'!$I$18),"Potential Outlier","Within Range")</f>
        <v>Within Range</v>
      </c>
      <c r="S1076" s="26" t="str">
        <f>IF(OR(H1076&lt;'Descriptive Statistics'!$J$17,H1076&gt;'Descriptive Statistics'!$J$18),"Potential Outlier","Within Range")</f>
        <v>Within Range</v>
      </c>
    </row>
    <row r="1077" hidden="1" spans="1:19">
      <c r="A1077" t="s">
        <v>3868</v>
      </c>
      <c r="B1077" s="23">
        <v>45535</v>
      </c>
      <c r="C1077" s="23" t="str">
        <f t="shared" si="32"/>
        <v>Aug</v>
      </c>
      <c r="D1077" s="23" t="str">
        <f t="shared" si="33"/>
        <v>2024</v>
      </c>
      <c r="E1077" t="s">
        <v>3869</v>
      </c>
      <c r="F1077" s="24" t="s">
        <v>16</v>
      </c>
      <c r="G1077" s="17">
        <v>2</v>
      </c>
      <c r="H1077" s="19">
        <v>552.63</v>
      </c>
      <c r="I1077" t="s">
        <v>837</v>
      </c>
      <c r="J1077" s="24" t="s">
        <v>18</v>
      </c>
      <c r="K1077" s="24" t="s">
        <v>50</v>
      </c>
      <c r="L1077" t="s">
        <v>3870</v>
      </c>
      <c r="M1077" s="17">
        <v>7</v>
      </c>
      <c r="N1077" t="s">
        <v>81</v>
      </c>
      <c r="O1077" s="24" t="s">
        <v>22</v>
      </c>
      <c r="P1077" s="19">
        <v>1105.26</v>
      </c>
      <c r="Q1077" s="26" t="str">
        <f>IF(OR(P1077&lt;'Descriptive Statistics'!$H$17,P1077&gt;'Descriptive Statistics'!$H$18),"Potential Outlier","Within Range")</f>
        <v>Within Range</v>
      </c>
      <c r="R1077" s="26" t="str">
        <f>IF(OR(G1077&lt;'Descriptive Statistics'!$I$17,G1077&gt;'Descriptive Statistics'!$I$18),"Potential Outlier","Within Range")</f>
        <v>Within Range</v>
      </c>
      <c r="S1077" s="26" t="str">
        <f>IF(OR(H1077&lt;'Descriptive Statistics'!$J$17,H1077&gt;'Descriptive Statistics'!$J$18),"Potential Outlier","Within Range")</f>
        <v>Within Range</v>
      </c>
    </row>
    <row r="1078" hidden="1" spans="1:19">
      <c r="A1078" t="s">
        <v>3871</v>
      </c>
      <c r="B1078" s="23">
        <v>45054</v>
      </c>
      <c r="C1078" s="23" t="str">
        <f t="shared" si="32"/>
        <v>May</v>
      </c>
      <c r="D1078" s="23" t="str">
        <f t="shared" si="33"/>
        <v>2023</v>
      </c>
      <c r="E1078" t="s">
        <v>3872</v>
      </c>
      <c r="F1078" s="24" t="s">
        <v>58</v>
      </c>
      <c r="G1078" s="17">
        <v>4</v>
      </c>
      <c r="H1078" s="19">
        <v>686.61</v>
      </c>
      <c r="I1078" t="s">
        <v>3718</v>
      </c>
      <c r="J1078" s="24" t="s">
        <v>65</v>
      </c>
      <c r="K1078" s="24" t="s">
        <v>19</v>
      </c>
      <c r="L1078" t="s">
        <v>3873</v>
      </c>
      <c r="M1078" s="17">
        <v>6</v>
      </c>
      <c r="N1078" t="s">
        <v>4295</v>
      </c>
      <c r="O1078" s="24" t="s">
        <v>29</v>
      </c>
      <c r="P1078" s="19">
        <v>2746.44</v>
      </c>
      <c r="Q1078" s="26" t="str">
        <f>IF(OR(P1078&lt;'Descriptive Statistics'!$H$17,P1078&gt;'Descriptive Statistics'!$H$18),"Potential Outlier","Within Range")</f>
        <v>Within Range</v>
      </c>
      <c r="R1078" s="26" t="str">
        <f>IF(OR(G1078&lt;'Descriptive Statistics'!$I$17,G1078&gt;'Descriptive Statistics'!$I$18),"Potential Outlier","Within Range")</f>
        <v>Within Range</v>
      </c>
      <c r="S1078" s="26" t="str">
        <f>IF(OR(H1078&lt;'Descriptive Statistics'!$J$17,H1078&gt;'Descriptive Statistics'!$J$18),"Potential Outlier","Within Range")</f>
        <v>Within Range</v>
      </c>
    </row>
    <row r="1079" hidden="1" spans="1:19">
      <c r="A1079" t="s">
        <v>3874</v>
      </c>
      <c r="B1079" s="23">
        <v>45723</v>
      </c>
      <c r="C1079" s="23" t="str">
        <f t="shared" si="32"/>
        <v>Mar</v>
      </c>
      <c r="D1079" s="23" t="str">
        <f t="shared" si="33"/>
        <v>2025</v>
      </c>
      <c r="E1079" t="s">
        <v>3875</v>
      </c>
      <c r="F1079" s="24" t="s">
        <v>48</v>
      </c>
      <c r="G1079" s="17">
        <v>3</v>
      </c>
      <c r="H1079" s="19">
        <v>305.16</v>
      </c>
      <c r="I1079" t="s">
        <v>490</v>
      </c>
      <c r="J1079" s="24" t="s">
        <v>34</v>
      </c>
      <c r="K1079" s="24" t="s">
        <v>35</v>
      </c>
      <c r="L1079" t="s">
        <v>3876</v>
      </c>
      <c r="M1079" s="17">
        <v>8</v>
      </c>
      <c r="N1079" t="s">
        <v>21</v>
      </c>
      <c r="O1079" s="24" t="s">
        <v>29</v>
      </c>
      <c r="P1079" s="19">
        <v>915.48</v>
      </c>
      <c r="Q1079" s="26" t="str">
        <f>IF(OR(P1079&lt;'Descriptive Statistics'!$H$17,P1079&gt;'Descriptive Statistics'!$H$18),"Potential Outlier","Within Range")</f>
        <v>Within Range</v>
      </c>
      <c r="R1079" s="26" t="str">
        <f>IF(OR(G1079&lt;'Descriptive Statistics'!$I$17,G1079&gt;'Descriptive Statistics'!$I$18),"Potential Outlier","Within Range")</f>
        <v>Within Range</v>
      </c>
      <c r="S1079" s="26" t="str">
        <f>IF(OR(H1079&lt;'Descriptive Statistics'!$J$17,H1079&gt;'Descriptive Statistics'!$J$18),"Potential Outlier","Within Range")</f>
        <v>Within Range</v>
      </c>
    </row>
    <row r="1080" hidden="1" spans="1:19">
      <c r="A1080" t="s">
        <v>3877</v>
      </c>
      <c r="B1080" s="23">
        <v>45003</v>
      </c>
      <c r="C1080" s="23" t="str">
        <f t="shared" si="32"/>
        <v>Mar</v>
      </c>
      <c r="D1080" s="23" t="str">
        <f t="shared" si="33"/>
        <v>2023</v>
      </c>
      <c r="E1080" t="s">
        <v>3878</v>
      </c>
      <c r="F1080" s="24" t="s">
        <v>73</v>
      </c>
      <c r="G1080" s="17">
        <v>1</v>
      </c>
      <c r="H1080" s="19">
        <v>41.09</v>
      </c>
      <c r="I1080" t="s">
        <v>149</v>
      </c>
      <c r="J1080" s="24" t="s">
        <v>27</v>
      </c>
      <c r="K1080" s="24" t="s">
        <v>43</v>
      </c>
      <c r="L1080" t="s">
        <v>3879</v>
      </c>
      <c r="M1080" s="17">
        <v>4</v>
      </c>
      <c r="N1080" t="s">
        <v>81</v>
      </c>
      <c r="O1080" s="24" t="s">
        <v>38</v>
      </c>
      <c r="P1080" s="19">
        <v>41.09</v>
      </c>
      <c r="Q1080" s="26" t="str">
        <f>IF(OR(P1080&lt;'Descriptive Statistics'!$H$17,P1080&gt;'Descriptive Statistics'!$H$18),"Potential Outlier","Within Range")</f>
        <v>Within Range</v>
      </c>
      <c r="R1080" s="26" t="str">
        <f>IF(OR(G1080&lt;'Descriptive Statistics'!$I$17,G1080&gt;'Descriptive Statistics'!$I$18),"Potential Outlier","Within Range")</f>
        <v>Within Range</v>
      </c>
      <c r="S1080" s="26" t="str">
        <f>IF(OR(H1080&lt;'Descriptive Statistics'!$J$17,H1080&gt;'Descriptive Statistics'!$J$18),"Potential Outlier","Within Range")</f>
        <v>Within Range</v>
      </c>
    </row>
    <row r="1081" hidden="1" spans="1:19">
      <c r="A1081" t="s">
        <v>3880</v>
      </c>
      <c r="B1081" s="23">
        <v>45463</v>
      </c>
      <c r="C1081" s="23" t="str">
        <f t="shared" si="32"/>
        <v>Jun</v>
      </c>
      <c r="D1081" s="23" t="str">
        <f t="shared" si="33"/>
        <v>2024</v>
      </c>
      <c r="E1081" t="s">
        <v>3881</v>
      </c>
      <c r="F1081" s="24" t="s">
        <v>25</v>
      </c>
      <c r="G1081" s="17">
        <v>5</v>
      </c>
      <c r="H1081" s="19">
        <v>634</v>
      </c>
      <c r="I1081" t="s">
        <v>3370</v>
      </c>
      <c r="J1081" s="24" t="s">
        <v>60</v>
      </c>
      <c r="K1081" s="24" t="s">
        <v>50</v>
      </c>
      <c r="L1081" t="s">
        <v>3882</v>
      </c>
      <c r="M1081" s="17">
        <v>8</v>
      </c>
      <c r="N1081" t="s">
        <v>4295</v>
      </c>
      <c r="O1081" s="24" t="s">
        <v>38</v>
      </c>
      <c r="P1081" s="19">
        <v>3170</v>
      </c>
      <c r="Q1081" s="26" t="str">
        <f>IF(OR(P1081&lt;'Descriptive Statistics'!$H$17,P1081&gt;'Descriptive Statistics'!$H$18),"Potential Outlier","Within Range")</f>
        <v>Within Range</v>
      </c>
      <c r="R1081" s="26" t="str">
        <f>IF(OR(G1081&lt;'Descriptive Statistics'!$I$17,G1081&gt;'Descriptive Statistics'!$I$18),"Potential Outlier","Within Range")</f>
        <v>Within Range</v>
      </c>
      <c r="S1081" s="26" t="str">
        <f>IF(OR(H1081&lt;'Descriptive Statistics'!$J$17,H1081&gt;'Descriptive Statistics'!$J$18),"Potential Outlier","Within Range")</f>
        <v>Within Range</v>
      </c>
    </row>
    <row r="1082" hidden="1" spans="1:19">
      <c r="A1082" t="s">
        <v>3883</v>
      </c>
      <c r="B1082" s="23">
        <v>44946</v>
      </c>
      <c r="C1082" s="23" t="str">
        <f t="shared" si="32"/>
        <v>Jan</v>
      </c>
      <c r="D1082" s="23" t="str">
        <f t="shared" si="33"/>
        <v>2023</v>
      </c>
      <c r="E1082" t="s">
        <v>3884</v>
      </c>
      <c r="F1082" s="24" t="s">
        <v>58</v>
      </c>
      <c r="G1082" s="17">
        <v>5</v>
      </c>
      <c r="H1082" s="19">
        <v>464.74</v>
      </c>
      <c r="I1082" t="s">
        <v>3885</v>
      </c>
      <c r="J1082" s="24" t="s">
        <v>60</v>
      </c>
      <c r="K1082" s="24" t="s">
        <v>50</v>
      </c>
      <c r="L1082" t="s">
        <v>3886</v>
      </c>
      <c r="M1082" s="17">
        <v>7</v>
      </c>
      <c r="N1082" t="s">
        <v>4295</v>
      </c>
      <c r="O1082" s="24" t="s">
        <v>29</v>
      </c>
      <c r="P1082" s="19">
        <v>2323.7</v>
      </c>
      <c r="Q1082" s="26" t="str">
        <f>IF(OR(P1082&lt;'Descriptive Statistics'!$H$17,P1082&gt;'Descriptive Statistics'!$H$18),"Potential Outlier","Within Range")</f>
        <v>Within Range</v>
      </c>
      <c r="R1082" s="26" t="str">
        <f>IF(OR(G1082&lt;'Descriptive Statistics'!$I$17,G1082&gt;'Descriptive Statistics'!$I$18),"Potential Outlier","Within Range")</f>
        <v>Within Range</v>
      </c>
      <c r="S1082" s="26" t="str">
        <f>IF(OR(H1082&lt;'Descriptive Statistics'!$J$17,H1082&gt;'Descriptive Statistics'!$J$18),"Potential Outlier","Within Range")</f>
        <v>Within Range</v>
      </c>
    </row>
    <row r="1083" hidden="1" spans="1:19">
      <c r="A1083" t="s">
        <v>3887</v>
      </c>
      <c r="B1083" s="23">
        <v>45037</v>
      </c>
      <c r="C1083" s="23" t="str">
        <f t="shared" si="32"/>
        <v>Apr</v>
      </c>
      <c r="D1083" s="23" t="str">
        <f t="shared" si="33"/>
        <v>2023</v>
      </c>
      <c r="E1083" t="s">
        <v>3888</v>
      </c>
      <c r="F1083" s="24" t="s">
        <v>16</v>
      </c>
      <c r="G1083" s="17">
        <v>4</v>
      </c>
      <c r="H1083" s="19">
        <v>425.6</v>
      </c>
      <c r="I1083" t="s">
        <v>1388</v>
      </c>
      <c r="J1083" s="24" t="s">
        <v>34</v>
      </c>
      <c r="K1083" s="24" t="s">
        <v>89</v>
      </c>
      <c r="L1083" t="s">
        <v>3889</v>
      </c>
      <c r="M1083" s="17">
        <v>5</v>
      </c>
      <c r="N1083" t="s">
        <v>37</v>
      </c>
      <c r="O1083" s="24" t="s">
        <v>76</v>
      </c>
      <c r="P1083" s="19">
        <v>1702.4</v>
      </c>
      <c r="Q1083" s="26" t="str">
        <f>IF(OR(P1083&lt;'Descriptive Statistics'!$H$17,P1083&gt;'Descriptive Statistics'!$H$18),"Potential Outlier","Within Range")</f>
        <v>Within Range</v>
      </c>
      <c r="R1083" s="26" t="str">
        <f>IF(OR(G1083&lt;'Descriptive Statistics'!$I$17,G1083&gt;'Descriptive Statistics'!$I$18),"Potential Outlier","Within Range")</f>
        <v>Within Range</v>
      </c>
      <c r="S1083" s="26" t="str">
        <f>IF(OR(H1083&lt;'Descriptive Statistics'!$J$17,H1083&gt;'Descriptive Statistics'!$J$18),"Potential Outlier","Within Range")</f>
        <v>Within Range</v>
      </c>
    </row>
    <row r="1084" hidden="1" spans="1:19">
      <c r="A1084" t="s">
        <v>3890</v>
      </c>
      <c r="B1084" s="23">
        <v>45205</v>
      </c>
      <c r="C1084" s="23" t="str">
        <f t="shared" si="32"/>
        <v>Oct</v>
      </c>
      <c r="D1084" s="23" t="str">
        <f t="shared" si="33"/>
        <v>2023</v>
      </c>
      <c r="E1084" t="s">
        <v>3891</v>
      </c>
      <c r="F1084" s="24" t="s">
        <v>41</v>
      </c>
      <c r="G1084" s="17">
        <v>3</v>
      </c>
      <c r="H1084" s="19">
        <v>573.22</v>
      </c>
      <c r="I1084" t="s">
        <v>3751</v>
      </c>
      <c r="J1084" s="24" t="s">
        <v>18</v>
      </c>
      <c r="K1084" s="24" t="s">
        <v>89</v>
      </c>
      <c r="L1084" t="s">
        <v>3892</v>
      </c>
      <c r="M1084" s="17">
        <v>5</v>
      </c>
      <c r="N1084" t="s">
        <v>21</v>
      </c>
      <c r="O1084" s="24" t="s">
        <v>38</v>
      </c>
      <c r="P1084" s="19">
        <v>1719.66</v>
      </c>
      <c r="Q1084" s="26" t="str">
        <f>IF(OR(P1084&lt;'Descriptive Statistics'!$H$17,P1084&gt;'Descriptive Statistics'!$H$18),"Potential Outlier","Within Range")</f>
        <v>Within Range</v>
      </c>
      <c r="R1084" s="26" t="str">
        <f>IF(OR(G1084&lt;'Descriptive Statistics'!$I$17,G1084&gt;'Descriptive Statistics'!$I$18),"Potential Outlier","Within Range")</f>
        <v>Within Range</v>
      </c>
      <c r="S1084" s="26" t="str">
        <f>IF(OR(H1084&lt;'Descriptive Statistics'!$J$17,H1084&gt;'Descriptive Statistics'!$J$18),"Potential Outlier","Within Range")</f>
        <v>Within Range</v>
      </c>
    </row>
    <row r="1085" hidden="1" spans="1:19">
      <c r="A1085" t="s">
        <v>3893</v>
      </c>
      <c r="B1085" s="23">
        <v>45482</v>
      </c>
      <c r="C1085" s="23" t="str">
        <f t="shared" si="32"/>
        <v>Jul</v>
      </c>
      <c r="D1085" s="23" t="str">
        <f t="shared" si="33"/>
        <v>2024</v>
      </c>
      <c r="E1085" t="s">
        <v>3894</v>
      </c>
      <c r="F1085" s="24" t="s">
        <v>41</v>
      </c>
      <c r="G1085" s="17">
        <v>1</v>
      </c>
      <c r="H1085" s="19">
        <v>123.28</v>
      </c>
      <c r="I1085" t="s">
        <v>161</v>
      </c>
      <c r="J1085" s="24" t="s">
        <v>34</v>
      </c>
      <c r="K1085" s="24" t="s">
        <v>50</v>
      </c>
      <c r="L1085" t="s">
        <v>3895</v>
      </c>
      <c r="M1085" s="17">
        <v>3</v>
      </c>
      <c r="N1085" t="s">
        <v>21</v>
      </c>
      <c r="O1085" s="24" t="s">
        <v>38</v>
      </c>
      <c r="P1085" s="19">
        <v>123.28</v>
      </c>
      <c r="Q1085" s="26" t="str">
        <f>IF(OR(P1085&lt;'Descriptive Statistics'!$H$17,P1085&gt;'Descriptive Statistics'!$H$18),"Potential Outlier","Within Range")</f>
        <v>Within Range</v>
      </c>
      <c r="R1085" s="26" t="str">
        <f>IF(OR(G1085&lt;'Descriptive Statistics'!$I$17,G1085&gt;'Descriptive Statistics'!$I$18),"Potential Outlier","Within Range")</f>
        <v>Within Range</v>
      </c>
      <c r="S1085" s="26" t="str">
        <f>IF(OR(H1085&lt;'Descriptive Statistics'!$J$17,H1085&gt;'Descriptive Statistics'!$J$18),"Potential Outlier","Within Range")</f>
        <v>Within Range</v>
      </c>
    </row>
    <row r="1086" hidden="1" spans="1:19">
      <c r="A1086" t="s">
        <v>3896</v>
      </c>
      <c r="B1086" s="23">
        <v>44934</v>
      </c>
      <c r="C1086" s="23" t="str">
        <f t="shared" si="32"/>
        <v>Jan</v>
      </c>
      <c r="D1086" s="23" t="str">
        <f t="shared" si="33"/>
        <v>2023</v>
      </c>
      <c r="E1086" t="s">
        <v>3897</v>
      </c>
      <c r="F1086" s="24" t="s">
        <v>25</v>
      </c>
      <c r="G1086" s="17">
        <v>1</v>
      </c>
      <c r="H1086" s="19">
        <v>70.82</v>
      </c>
      <c r="I1086" t="s">
        <v>181</v>
      </c>
      <c r="J1086" s="24" t="s">
        <v>60</v>
      </c>
      <c r="K1086" s="24" t="s">
        <v>89</v>
      </c>
      <c r="L1086" t="s">
        <v>3898</v>
      </c>
      <c r="M1086" s="17">
        <v>1</v>
      </c>
      <c r="N1086" t="s">
        <v>81</v>
      </c>
      <c r="O1086" s="24" t="s">
        <v>22</v>
      </c>
      <c r="P1086" s="19">
        <v>70.82</v>
      </c>
      <c r="Q1086" s="26" t="str">
        <f>IF(OR(P1086&lt;'Descriptive Statistics'!$H$17,P1086&gt;'Descriptive Statistics'!$H$18),"Potential Outlier","Within Range")</f>
        <v>Within Range</v>
      </c>
      <c r="R1086" s="26" t="str">
        <f>IF(OR(G1086&lt;'Descriptive Statistics'!$I$17,G1086&gt;'Descriptive Statistics'!$I$18),"Potential Outlier","Within Range")</f>
        <v>Within Range</v>
      </c>
      <c r="S1086" s="26" t="str">
        <f>IF(OR(H1086&lt;'Descriptive Statistics'!$J$17,H1086&gt;'Descriptive Statistics'!$J$18),"Potential Outlier","Within Range")</f>
        <v>Within Range</v>
      </c>
    </row>
    <row r="1087" hidden="1" spans="1:19">
      <c r="A1087" t="s">
        <v>3899</v>
      </c>
      <c r="B1087" s="23">
        <v>45067</v>
      </c>
      <c r="C1087" s="23" t="str">
        <f t="shared" si="32"/>
        <v>May</v>
      </c>
      <c r="D1087" s="23" t="str">
        <f t="shared" si="33"/>
        <v>2023</v>
      </c>
      <c r="E1087" t="s">
        <v>3900</v>
      </c>
      <c r="F1087" s="24" t="s">
        <v>48</v>
      </c>
      <c r="G1087" s="17">
        <v>2</v>
      </c>
      <c r="H1087" s="19">
        <v>646.69</v>
      </c>
      <c r="I1087" t="s">
        <v>614</v>
      </c>
      <c r="J1087" s="24" t="s">
        <v>18</v>
      </c>
      <c r="K1087" s="24" t="s">
        <v>19</v>
      </c>
      <c r="L1087" t="s">
        <v>3901</v>
      </c>
      <c r="M1087" s="17">
        <v>7</v>
      </c>
      <c r="N1087" t="s">
        <v>81</v>
      </c>
      <c r="O1087" s="24" t="s">
        <v>22</v>
      </c>
      <c r="P1087" s="19">
        <v>1293.38</v>
      </c>
      <c r="Q1087" s="26" t="str">
        <f>IF(OR(P1087&lt;'Descriptive Statistics'!$H$17,P1087&gt;'Descriptive Statistics'!$H$18),"Potential Outlier","Within Range")</f>
        <v>Within Range</v>
      </c>
      <c r="R1087" s="26" t="str">
        <f>IF(OR(G1087&lt;'Descriptive Statistics'!$I$17,G1087&gt;'Descriptive Statistics'!$I$18),"Potential Outlier","Within Range")</f>
        <v>Within Range</v>
      </c>
      <c r="S1087" s="26" t="str">
        <f>IF(OR(H1087&lt;'Descriptive Statistics'!$J$17,H1087&gt;'Descriptive Statistics'!$J$18),"Potential Outlier","Within Range")</f>
        <v>Within Range</v>
      </c>
    </row>
    <row r="1088" hidden="1" spans="1:19">
      <c r="A1088" t="s">
        <v>3902</v>
      </c>
      <c r="B1088" s="23">
        <v>45283</v>
      </c>
      <c r="C1088" s="23" t="str">
        <f t="shared" si="32"/>
        <v>Dec</v>
      </c>
      <c r="D1088" s="23" t="str">
        <f t="shared" si="33"/>
        <v>2023</v>
      </c>
      <c r="E1088" t="s">
        <v>3903</v>
      </c>
      <c r="F1088" s="24" t="s">
        <v>32</v>
      </c>
      <c r="G1088" s="17">
        <v>2</v>
      </c>
      <c r="H1088" s="19">
        <v>513.42</v>
      </c>
      <c r="I1088" t="s">
        <v>3904</v>
      </c>
      <c r="J1088" s="24" t="s">
        <v>27</v>
      </c>
      <c r="K1088" s="24" t="s">
        <v>89</v>
      </c>
      <c r="L1088" t="s">
        <v>3905</v>
      </c>
      <c r="M1088" s="17">
        <v>5</v>
      </c>
      <c r="N1088" t="s">
        <v>81</v>
      </c>
      <c r="O1088" s="24" t="s">
        <v>22</v>
      </c>
      <c r="P1088" s="19">
        <v>1026.84</v>
      </c>
      <c r="Q1088" s="26" t="str">
        <f>IF(OR(P1088&lt;'Descriptive Statistics'!$H$17,P1088&gt;'Descriptive Statistics'!$H$18),"Potential Outlier","Within Range")</f>
        <v>Within Range</v>
      </c>
      <c r="R1088" s="26" t="str">
        <f>IF(OR(G1088&lt;'Descriptive Statistics'!$I$17,G1088&gt;'Descriptive Statistics'!$I$18),"Potential Outlier","Within Range")</f>
        <v>Within Range</v>
      </c>
      <c r="S1088" s="26" t="str">
        <f>IF(OR(H1088&lt;'Descriptive Statistics'!$J$17,H1088&gt;'Descriptive Statistics'!$J$18),"Potential Outlier","Within Range")</f>
        <v>Within Range</v>
      </c>
    </row>
    <row r="1089" hidden="1" spans="1:19">
      <c r="A1089" t="s">
        <v>3906</v>
      </c>
      <c r="B1089" s="23">
        <v>45739</v>
      </c>
      <c r="C1089" s="23" t="str">
        <f t="shared" si="32"/>
        <v>Mar</v>
      </c>
      <c r="D1089" s="23" t="str">
        <f t="shared" si="33"/>
        <v>2025</v>
      </c>
      <c r="E1089" t="s">
        <v>3907</v>
      </c>
      <c r="F1089" s="24" t="s">
        <v>58</v>
      </c>
      <c r="G1089" s="17">
        <v>4</v>
      </c>
      <c r="H1089" s="19">
        <v>693.07</v>
      </c>
      <c r="I1089" t="s">
        <v>3908</v>
      </c>
      <c r="J1089" s="24" t="s">
        <v>27</v>
      </c>
      <c r="K1089" s="24" t="s">
        <v>19</v>
      </c>
      <c r="L1089" t="s">
        <v>3909</v>
      </c>
      <c r="M1089" s="17">
        <v>8</v>
      </c>
      <c r="N1089" t="s">
        <v>21</v>
      </c>
      <c r="O1089" s="24" t="s">
        <v>22</v>
      </c>
      <c r="P1089" s="19">
        <v>2772.28</v>
      </c>
      <c r="Q1089" s="26" t="str">
        <f>IF(OR(P1089&lt;'Descriptive Statistics'!$H$17,P1089&gt;'Descriptive Statistics'!$H$18),"Potential Outlier","Within Range")</f>
        <v>Within Range</v>
      </c>
      <c r="R1089" s="26" t="str">
        <f>IF(OR(G1089&lt;'Descriptive Statistics'!$I$17,G1089&gt;'Descriptive Statistics'!$I$18),"Potential Outlier","Within Range")</f>
        <v>Within Range</v>
      </c>
      <c r="S1089" s="26" t="str">
        <f>IF(OR(H1089&lt;'Descriptive Statistics'!$J$17,H1089&gt;'Descriptive Statistics'!$J$18),"Potential Outlier","Within Range")</f>
        <v>Within Range</v>
      </c>
    </row>
    <row r="1090" hidden="1" spans="1:19">
      <c r="A1090" t="s">
        <v>3910</v>
      </c>
      <c r="B1090" s="23">
        <v>45260</v>
      </c>
      <c r="C1090" s="23" t="str">
        <f t="shared" ref="C1090:C1153" si="34">TEXT(B1090,"MMM")</f>
        <v>Nov</v>
      </c>
      <c r="D1090" s="23" t="str">
        <f t="shared" ref="D1090:D1153" si="35">TEXT(B1090,"YYYY")</f>
        <v>2023</v>
      </c>
      <c r="E1090" t="s">
        <v>3911</v>
      </c>
      <c r="F1090" s="24" t="s">
        <v>73</v>
      </c>
      <c r="G1090" s="17">
        <v>3</v>
      </c>
      <c r="H1090" s="19">
        <v>491.43</v>
      </c>
      <c r="I1090" t="s">
        <v>3912</v>
      </c>
      <c r="J1090" s="24" t="s">
        <v>60</v>
      </c>
      <c r="K1090" s="24" t="s">
        <v>19</v>
      </c>
      <c r="L1090" t="s">
        <v>3913</v>
      </c>
      <c r="M1090" s="17">
        <v>6</v>
      </c>
      <c r="N1090" t="s">
        <v>81</v>
      </c>
      <c r="O1090" s="24" t="s">
        <v>22</v>
      </c>
      <c r="P1090" s="19">
        <v>1474.29</v>
      </c>
      <c r="Q1090" s="26" t="str">
        <f>IF(OR(P1090&lt;'Descriptive Statistics'!$H$17,P1090&gt;'Descriptive Statistics'!$H$18),"Potential Outlier","Within Range")</f>
        <v>Within Range</v>
      </c>
      <c r="R1090" s="26" t="str">
        <f>IF(OR(G1090&lt;'Descriptive Statistics'!$I$17,G1090&gt;'Descriptive Statistics'!$I$18),"Potential Outlier","Within Range")</f>
        <v>Within Range</v>
      </c>
      <c r="S1090" s="26" t="str">
        <f>IF(OR(H1090&lt;'Descriptive Statistics'!$J$17,H1090&gt;'Descriptive Statistics'!$J$18),"Potential Outlier","Within Range")</f>
        <v>Within Range</v>
      </c>
    </row>
    <row r="1091" hidden="1" spans="1:19">
      <c r="A1091" t="s">
        <v>3914</v>
      </c>
      <c r="B1091" s="23">
        <v>45731</v>
      </c>
      <c r="C1091" s="23" t="str">
        <f t="shared" si="34"/>
        <v>Mar</v>
      </c>
      <c r="D1091" s="23" t="str">
        <f t="shared" si="35"/>
        <v>2025</v>
      </c>
      <c r="E1091" t="s">
        <v>3915</v>
      </c>
      <c r="F1091" s="24" t="s">
        <v>32</v>
      </c>
      <c r="G1091" s="17">
        <v>2</v>
      </c>
      <c r="H1091" s="19">
        <v>599.74</v>
      </c>
      <c r="I1091" t="s">
        <v>305</v>
      </c>
      <c r="J1091" s="24" t="s">
        <v>60</v>
      </c>
      <c r="K1091" s="24" t="s">
        <v>19</v>
      </c>
      <c r="L1091" t="s">
        <v>3916</v>
      </c>
      <c r="M1091" s="17">
        <v>2</v>
      </c>
      <c r="N1091" t="s">
        <v>4295</v>
      </c>
      <c r="O1091" s="24" t="s">
        <v>22</v>
      </c>
      <c r="P1091" s="19">
        <v>1199.48</v>
      </c>
      <c r="Q1091" s="26" t="str">
        <f>IF(OR(P1091&lt;'Descriptive Statistics'!$H$17,P1091&gt;'Descriptive Statistics'!$H$18),"Potential Outlier","Within Range")</f>
        <v>Within Range</v>
      </c>
      <c r="R1091" s="26" t="str">
        <f>IF(OR(G1091&lt;'Descriptive Statistics'!$I$17,G1091&gt;'Descriptive Statistics'!$I$18),"Potential Outlier","Within Range")</f>
        <v>Within Range</v>
      </c>
      <c r="S1091" s="26" t="str">
        <f>IF(OR(H1091&lt;'Descriptive Statistics'!$J$17,H1091&gt;'Descriptive Statistics'!$J$18),"Potential Outlier","Within Range")</f>
        <v>Within Range</v>
      </c>
    </row>
    <row r="1092" hidden="1" spans="1:19">
      <c r="A1092" t="s">
        <v>3917</v>
      </c>
      <c r="B1092" s="23">
        <v>44982</v>
      </c>
      <c r="C1092" s="23" t="str">
        <f t="shared" si="34"/>
        <v>Feb</v>
      </c>
      <c r="D1092" s="23" t="str">
        <f t="shared" si="35"/>
        <v>2023</v>
      </c>
      <c r="E1092" t="s">
        <v>3918</v>
      </c>
      <c r="F1092" s="24" t="s">
        <v>16</v>
      </c>
      <c r="G1092" s="17">
        <v>2</v>
      </c>
      <c r="H1092" s="19">
        <v>650.25</v>
      </c>
      <c r="I1092" t="s">
        <v>165</v>
      </c>
      <c r="J1092" s="24" t="s">
        <v>60</v>
      </c>
      <c r="K1092" s="24" t="s">
        <v>43</v>
      </c>
      <c r="L1092" t="s">
        <v>3919</v>
      </c>
      <c r="M1092" s="17">
        <v>6</v>
      </c>
      <c r="N1092" t="s">
        <v>4295</v>
      </c>
      <c r="O1092" s="24" t="s">
        <v>22</v>
      </c>
      <c r="P1092" s="19">
        <v>1300.5</v>
      </c>
      <c r="Q1092" s="26" t="str">
        <f>IF(OR(P1092&lt;'Descriptive Statistics'!$H$17,P1092&gt;'Descriptive Statistics'!$H$18),"Potential Outlier","Within Range")</f>
        <v>Within Range</v>
      </c>
      <c r="R1092" s="26" t="str">
        <f>IF(OR(G1092&lt;'Descriptive Statistics'!$I$17,G1092&gt;'Descriptive Statistics'!$I$18),"Potential Outlier","Within Range")</f>
        <v>Within Range</v>
      </c>
      <c r="S1092" s="26" t="str">
        <f>IF(OR(H1092&lt;'Descriptive Statistics'!$J$17,H1092&gt;'Descriptive Statistics'!$J$18),"Potential Outlier","Within Range")</f>
        <v>Within Range</v>
      </c>
    </row>
    <row r="1093" hidden="1" spans="1:19">
      <c r="A1093" t="s">
        <v>3920</v>
      </c>
      <c r="B1093" s="23">
        <v>45573</v>
      </c>
      <c r="C1093" s="23" t="str">
        <f t="shared" si="34"/>
        <v>Oct</v>
      </c>
      <c r="D1093" s="23" t="str">
        <f t="shared" si="35"/>
        <v>2024</v>
      </c>
      <c r="E1093" t="s">
        <v>3921</v>
      </c>
      <c r="F1093" s="24" t="s">
        <v>58</v>
      </c>
      <c r="G1093" s="17">
        <v>3</v>
      </c>
      <c r="H1093" s="19">
        <v>209.48</v>
      </c>
      <c r="I1093" t="s">
        <v>1609</v>
      </c>
      <c r="J1093" s="24" t="s">
        <v>18</v>
      </c>
      <c r="K1093" s="24" t="s">
        <v>89</v>
      </c>
      <c r="L1093" t="s">
        <v>3922</v>
      </c>
      <c r="M1093" s="17">
        <v>4</v>
      </c>
      <c r="N1093" t="s">
        <v>4295</v>
      </c>
      <c r="O1093" s="24" t="s">
        <v>38</v>
      </c>
      <c r="P1093" s="19">
        <v>628.44</v>
      </c>
      <c r="Q1093" s="26" t="str">
        <f>IF(OR(P1093&lt;'Descriptive Statistics'!$H$17,P1093&gt;'Descriptive Statistics'!$H$18),"Potential Outlier","Within Range")</f>
        <v>Within Range</v>
      </c>
      <c r="R1093" s="26" t="str">
        <f>IF(OR(G1093&lt;'Descriptive Statistics'!$I$17,G1093&gt;'Descriptive Statistics'!$I$18),"Potential Outlier","Within Range")</f>
        <v>Within Range</v>
      </c>
      <c r="S1093" s="26" t="str">
        <f>IF(OR(H1093&lt;'Descriptive Statistics'!$J$17,H1093&gt;'Descriptive Statistics'!$J$18),"Potential Outlier","Within Range")</f>
        <v>Within Range</v>
      </c>
    </row>
    <row r="1094" hidden="1" spans="1:19">
      <c r="A1094" t="s">
        <v>3923</v>
      </c>
      <c r="B1094" s="23">
        <v>45159</v>
      </c>
      <c r="C1094" s="23" t="str">
        <f t="shared" si="34"/>
        <v>Aug</v>
      </c>
      <c r="D1094" s="23" t="str">
        <f t="shared" si="35"/>
        <v>2023</v>
      </c>
      <c r="E1094" t="s">
        <v>3924</v>
      </c>
      <c r="F1094" s="24" t="s">
        <v>58</v>
      </c>
      <c r="G1094" s="17">
        <v>5</v>
      </c>
      <c r="H1094" s="19">
        <v>209.2</v>
      </c>
      <c r="I1094" t="s">
        <v>157</v>
      </c>
      <c r="J1094" s="24" t="s">
        <v>18</v>
      </c>
      <c r="K1094" s="24" t="s">
        <v>50</v>
      </c>
      <c r="L1094" t="s">
        <v>3925</v>
      </c>
      <c r="M1094" s="17">
        <v>6</v>
      </c>
      <c r="N1094" t="s">
        <v>81</v>
      </c>
      <c r="O1094" s="24" t="s">
        <v>38</v>
      </c>
      <c r="P1094" s="19">
        <v>1046</v>
      </c>
      <c r="Q1094" s="26" t="str">
        <f>IF(OR(P1094&lt;'Descriptive Statistics'!$H$17,P1094&gt;'Descriptive Statistics'!$H$18),"Potential Outlier","Within Range")</f>
        <v>Within Range</v>
      </c>
      <c r="R1094" s="26" t="str">
        <f>IF(OR(G1094&lt;'Descriptive Statistics'!$I$17,G1094&gt;'Descriptive Statistics'!$I$18),"Potential Outlier","Within Range")</f>
        <v>Within Range</v>
      </c>
      <c r="S1094" s="26" t="str">
        <f>IF(OR(H1094&lt;'Descriptive Statistics'!$J$17,H1094&gt;'Descriptive Statistics'!$J$18),"Potential Outlier","Within Range")</f>
        <v>Within Range</v>
      </c>
    </row>
    <row r="1095" hidden="1" spans="1:19">
      <c r="A1095" t="s">
        <v>3926</v>
      </c>
      <c r="B1095" s="23">
        <v>45086</v>
      </c>
      <c r="C1095" s="23" t="str">
        <f t="shared" si="34"/>
        <v>Jun</v>
      </c>
      <c r="D1095" s="23" t="str">
        <f t="shared" si="35"/>
        <v>2023</v>
      </c>
      <c r="E1095" t="s">
        <v>3927</v>
      </c>
      <c r="F1095" s="24" t="s">
        <v>25</v>
      </c>
      <c r="G1095" s="17">
        <v>4</v>
      </c>
      <c r="H1095" s="19">
        <v>197.36</v>
      </c>
      <c r="I1095" t="s">
        <v>3928</v>
      </c>
      <c r="J1095" s="24" t="s">
        <v>60</v>
      </c>
      <c r="K1095" s="24" t="s">
        <v>43</v>
      </c>
      <c r="L1095" t="s">
        <v>3929</v>
      </c>
      <c r="M1095" s="17">
        <v>9</v>
      </c>
      <c r="N1095" t="s">
        <v>37</v>
      </c>
      <c r="O1095" s="24" t="s">
        <v>22</v>
      </c>
      <c r="P1095" s="19">
        <v>789.44</v>
      </c>
      <c r="Q1095" s="26" t="str">
        <f>IF(OR(P1095&lt;'Descriptive Statistics'!$H$17,P1095&gt;'Descriptive Statistics'!$H$18),"Potential Outlier","Within Range")</f>
        <v>Within Range</v>
      </c>
      <c r="R1095" s="26" t="str">
        <f>IF(OR(G1095&lt;'Descriptive Statistics'!$I$17,G1095&gt;'Descriptive Statistics'!$I$18),"Potential Outlier","Within Range")</f>
        <v>Within Range</v>
      </c>
      <c r="S1095" s="26" t="str">
        <f>IF(OR(H1095&lt;'Descriptive Statistics'!$J$17,H1095&gt;'Descriptive Statistics'!$J$18),"Potential Outlier","Within Range")</f>
        <v>Within Range</v>
      </c>
    </row>
    <row r="1096" hidden="1" spans="1:19">
      <c r="A1096" t="s">
        <v>3930</v>
      </c>
      <c r="B1096" s="23">
        <v>45105</v>
      </c>
      <c r="C1096" s="23" t="str">
        <f t="shared" si="34"/>
        <v>Jun</v>
      </c>
      <c r="D1096" s="23" t="str">
        <f t="shared" si="35"/>
        <v>2023</v>
      </c>
      <c r="E1096" t="s">
        <v>3931</v>
      </c>
      <c r="F1096" s="24" t="s">
        <v>48</v>
      </c>
      <c r="G1096" s="17">
        <v>4</v>
      </c>
      <c r="H1096" s="19">
        <v>648.91</v>
      </c>
      <c r="I1096" t="s">
        <v>3932</v>
      </c>
      <c r="J1096" s="24" t="s">
        <v>34</v>
      </c>
      <c r="K1096" s="24" t="s">
        <v>19</v>
      </c>
      <c r="L1096" t="s">
        <v>3933</v>
      </c>
      <c r="M1096" s="17">
        <v>6</v>
      </c>
      <c r="N1096" t="s">
        <v>21</v>
      </c>
      <c r="O1096" s="24" t="s">
        <v>22</v>
      </c>
      <c r="P1096" s="19">
        <v>2595.64</v>
      </c>
      <c r="Q1096" s="26" t="str">
        <f>IF(OR(P1096&lt;'Descriptive Statistics'!$H$17,P1096&gt;'Descriptive Statistics'!$H$18),"Potential Outlier","Within Range")</f>
        <v>Within Range</v>
      </c>
      <c r="R1096" s="26" t="str">
        <f>IF(OR(G1096&lt;'Descriptive Statistics'!$I$17,G1096&gt;'Descriptive Statistics'!$I$18),"Potential Outlier","Within Range")</f>
        <v>Within Range</v>
      </c>
      <c r="S1096" s="26" t="str">
        <f>IF(OR(H1096&lt;'Descriptive Statistics'!$J$17,H1096&gt;'Descriptive Statistics'!$J$18),"Potential Outlier","Within Range")</f>
        <v>Within Range</v>
      </c>
    </row>
    <row r="1097" hidden="1" spans="1:19">
      <c r="A1097" t="s">
        <v>3934</v>
      </c>
      <c r="B1097" s="23">
        <v>45405</v>
      </c>
      <c r="C1097" s="23" t="str">
        <f t="shared" si="34"/>
        <v>Apr</v>
      </c>
      <c r="D1097" s="23" t="str">
        <f t="shared" si="35"/>
        <v>2024</v>
      </c>
      <c r="E1097" t="s">
        <v>3935</v>
      </c>
      <c r="F1097" s="24" t="s">
        <v>25</v>
      </c>
      <c r="G1097" s="17">
        <v>2</v>
      </c>
      <c r="H1097" s="19">
        <v>441.54</v>
      </c>
      <c r="I1097" t="s">
        <v>3936</v>
      </c>
      <c r="J1097" s="24" t="s">
        <v>27</v>
      </c>
      <c r="K1097" s="24" t="s">
        <v>50</v>
      </c>
      <c r="L1097" t="s">
        <v>3937</v>
      </c>
      <c r="M1097" s="17">
        <v>2</v>
      </c>
      <c r="N1097" t="s">
        <v>21</v>
      </c>
      <c r="O1097" s="24" t="s">
        <v>38</v>
      </c>
      <c r="P1097" s="19">
        <v>883.08</v>
      </c>
      <c r="Q1097" s="26" t="str">
        <f>IF(OR(P1097&lt;'Descriptive Statistics'!$H$17,P1097&gt;'Descriptive Statistics'!$H$18),"Potential Outlier","Within Range")</f>
        <v>Within Range</v>
      </c>
      <c r="R1097" s="26" t="str">
        <f>IF(OR(G1097&lt;'Descriptive Statistics'!$I$17,G1097&gt;'Descriptive Statistics'!$I$18),"Potential Outlier","Within Range")</f>
        <v>Within Range</v>
      </c>
      <c r="S1097" s="26" t="str">
        <f>IF(OR(H1097&lt;'Descriptive Statistics'!$J$17,H1097&gt;'Descriptive Statistics'!$J$18),"Potential Outlier","Within Range")</f>
        <v>Within Range</v>
      </c>
    </row>
    <row r="1098" hidden="1" spans="1:19">
      <c r="A1098" t="s">
        <v>3938</v>
      </c>
      <c r="B1098" s="23">
        <v>45780</v>
      </c>
      <c r="C1098" s="23" t="str">
        <f t="shared" si="34"/>
        <v>May</v>
      </c>
      <c r="D1098" s="23" t="str">
        <f t="shared" si="35"/>
        <v>2025</v>
      </c>
      <c r="E1098" t="s">
        <v>3939</v>
      </c>
      <c r="F1098" s="24" t="s">
        <v>32</v>
      </c>
      <c r="G1098" s="17">
        <v>2</v>
      </c>
      <c r="H1098" s="19">
        <v>464.92</v>
      </c>
      <c r="I1098" t="s">
        <v>3940</v>
      </c>
      <c r="J1098" s="24" t="s">
        <v>18</v>
      </c>
      <c r="K1098" s="24" t="s">
        <v>43</v>
      </c>
      <c r="L1098" t="s">
        <v>3941</v>
      </c>
      <c r="M1098" s="17">
        <v>2</v>
      </c>
      <c r="N1098" t="s">
        <v>4295</v>
      </c>
      <c r="O1098" s="24" t="s">
        <v>45</v>
      </c>
      <c r="P1098" s="19">
        <v>929.84</v>
      </c>
      <c r="Q1098" s="26" t="str">
        <f>IF(OR(P1098&lt;'Descriptive Statistics'!$H$17,P1098&gt;'Descriptive Statistics'!$H$18),"Potential Outlier","Within Range")</f>
        <v>Within Range</v>
      </c>
      <c r="R1098" s="26" t="str">
        <f>IF(OR(G1098&lt;'Descriptive Statistics'!$I$17,G1098&gt;'Descriptive Statistics'!$I$18),"Potential Outlier","Within Range")</f>
        <v>Within Range</v>
      </c>
      <c r="S1098" s="26" t="str">
        <f>IF(OR(H1098&lt;'Descriptive Statistics'!$J$17,H1098&gt;'Descriptive Statistics'!$J$18),"Potential Outlier","Within Range")</f>
        <v>Within Range</v>
      </c>
    </row>
    <row r="1099" hidden="1" spans="1:19">
      <c r="A1099" t="s">
        <v>3942</v>
      </c>
      <c r="B1099" s="23">
        <v>45652</v>
      </c>
      <c r="C1099" s="23" t="str">
        <f t="shared" si="34"/>
        <v>Dec</v>
      </c>
      <c r="D1099" s="23" t="str">
        <f t="shared" si="35"/>
        <v>2024</v>
      </c>
      <c r="E1099" t="s">
        <v>3943</v>
      </c>
      <c r="F1099" s="24" t="s">
        <v>16</v>
      </c>
      <c r="G1099" s="17">
        <v>5</v>
      </c>
      <c r="H1099" s="19">
        <v>506.45</v>
      </c>
      <c r="I1099" t="s">
        <v>3944</v>
      </c>
      <c r="J1099" s="24" t="s">
        <v>60</v>
      </c>
      <c r="K1099" s="24" t="s">
        <v>19</v>
      </c>
      <c r="L1099" t="s">
        <v>3945</v>
      </c>
      <c r="M1099" s="17">
        <v>7</v>
      </c>
      <c r="N1099" t="s">
        <v>81</v>
      </c>
      <c r="O1099" s="24" t="s">
        <v>76</v>
      </c>
      <c r="P1099" s="19">
        <v>2532.25</v>
      </c>
      <c r="Q1099" s="26" t="str">
        <f>IF(OR(P1099&lt;'Descriptive Statistics'!$H$17,P1099&gt;'Descriptive Statistics'!$H$18),"Potential Outlier","Within Range")</f>
        <v>Within Range</v>
      </c>
      <c r="R1099" s="26" t="str">
        <f>IF(OR(G1099&lt;'Descriptive Statistics'!$I$17,G1099&gt;'Descriptive Statistics'!$I$18),"Potential Outlier","Within Range")</f>
        <v>Within Range</v>
      </c>
      <c r="S1099" s="26" t="str">
        <f>IF(OR(H1099&lt;'Descriptive Statistics'!$J$17,H1099&gt;'Descriptive Statistics'!$J$18),"Potential Outlier","Within Range")</f>
        <v>Within Range</v>
      </c>
    </row>
    <row r="1100" hidden="1" spans="1:19">
      <c r="A1100" t="s">
        <v>3946</v>
      </c>
      <c r="B1100" s="23">
        <v>45094</v>
      </c>
      <c r="C1100" s="23" t="str">
        <f t="shared" si="34"/>
        <v>Jun</v>
      </c>
      <c r="D1100" s="23" t="str">
        <f t="shared" si="35"/>
        <v>2023</v>
      </c>
      <c r="E1100" t="s">
        <v>3947</v>
      </c>
      <c r="F1100" s="24" t="s">
        <v>16</v>
      </c>
      <c r="G1100" s="17">
        <v>4</v>
      </c>
      <c r="H1100" s="19">
        <v>255.86</v>
      </c>
      <c r="I1100" t="s">
        <v>3948</v>
      </c>
      <c r="J1100" s="24" t="s">
        <v>34</v>
      </c>
      <c r="K1100" s="24" t="s">
        <v>50</v>
      </c>
      <c r="L1100" t="s">
        <v>3949</v>
      </c>
      <c r="M1100" s="17">
        <v>7</v>
      </c>
      <c r="N1100" t="s">
        <v>4295</v>
      </c>
      <c r="O1100" s="24" t="s">
        <v>38</v>
      </c>
      <c r="P1100" s="19">
        <v>1023.44</v>
      </c>
      <c r="Q1100" s="26" t="str">
        <f>IF(OR(P1100&lt;'Descriptive Statistics'!$H$17,P1100&gt;'Descriptive Statistics'!$H$18),"Potential Outlier","Within Range")</f>
        <v>Within Range</v>
      </c>
      <c r="R1100" s="26" t="str">
        <f>IF(OR(G1100&lt;'Descriptive Statistics'!$I$17,G1100&gt;'Descriptive Statistics'!$I$18),"Potential Outlier","Within Range")</f>
        <v>Within Range</v>
      </c>
      <c r="S1100" s="26" t="str">
        <f>IF(OR(H1100&lt;'Descriptive Statistics'!$J$17,H1100&gt;'Descriptive Statistics'!$J$18),"Potential Outlier","Within Range")</f>
        <v>Within Range</v>
      </c>
    </row>
    <row r="1101" hidden="1" spans="1:19">
      <c r="A1101" t="s">
        <v>3950</v>
      </c>
      <c r="B1101" s="23">
        <v>45554</v>
      </c>
      <c r="C1101" s="23" t="str">
        <f t="shared" si="34"/>
        <v>Sep</v>
      </c>
      <c r="D1101" s="23" t="str">
        <f t="shared" si="35"/>
        <v>2024</v>
      </c>
      <c r="E1101" t="s">
        <v>3951</v>
      </c>
      <c r="F1101" s="24" t="s">
        <v>58</v>
      </c>
      <c r="G1101" s="17">
        <v>2</v>
      </c>
      <c r="H1101" s="19">
        <v>125.23</v>
      </c>
      <c r="I1101" t="s">
        <v>1501</v>
      </c>
      <c r="J1101" s="24" t="s">
        <v>65</v>
      </c>
      <c r="K1101" s="24" t="s">
        <v>35</v>
      </c>
      <c r="L1101" t="s">
        <v>3952</v>
      </c>
      <c r="M1101" s="17">
        <v>3</v>
      </c>
      <c r="N1101" t="s">
        <v>37</v>
      </c>
      <c r="O1101" s="24" t="s">
        <v>38</v>
      </c>
      <c r="P1101" s="19">
        <v>250.46</v>
      </c>
      <c r="Q1101" s="26" t="str">
        <f>IF(OR(P1101&lt;'Descriptive Statistics'!$H$17,P1101&gt;'Descriptive Statistics'!$H$18),"Potential Outlier","Within Range")</f>
        <v>Within Range</v>
      </c>
      <c r="R1101" s="26" t="str">
        <f>IF(OR(G1101&lt;'Descriptive Statistics'!$I$17,G1101&gt;'Descriptive Statistics'!$I$18),"Potential Outlier","Within Range")</f>
        <v>Within Range</v>
      </c>
      <c r="S1101" s="26" t="str">
        <f>IF(OR(H1101&lt;'Descriptive Statistics'!$J$17,H1101&gt;'Descriptive Statistics'!$J$18),"Potential Outlier","Within Range")</f>
        <v>Within Range</v>
      </c>
    </row>
    <row r="1102" hidden="1" spans="1:19">
      <c r="A1102" t="s">
        <v>3953</v>
      </c>
      <c r="B1102" s="23">
        <v>45155</v>
      </c>
      <c r="C1102" s="23" t="str">
        <f t="shared" si="34"/>
        <v>Aug</v>
      </c>
      <c r="D1102" s="23" t="str">
        <f t="shared" si="35"/>
        <v>2023</v>
      </c>
      <c r="E1102" t="s">
        <v>3954</v>
      </c>
      <c r="F1102" s="24" t="s">
        <v>58</v>
      </c>
      <c r="G1102" s="17">
        <v>5</v>
      </c>
      <c r="H1102" s="19">
        <v>38.11</v>
      </c>
      <c r="I1102" t="s">
        <v>3955</v>
      </c>
      <c r="J1102" s="24" t="s">
        <v>18</v>
      </c>
      <c r="K1102" s="24" t="s">
        <v>35</v>
      </c>
      <c r="L1102" t="s">
        <v>3956</v>
      </c>
      <c r="M1102" s="17">
        <v>6</v>
      </c>
      <c r="N1102" t="s">
        <v>81</v>
      </c>
      <c r="O1102" s="24" t="s">
        <v>22</v>
      </c>
      <c r="P1102" s="19">
        <v>190.55</v>
      </c>
      <c r="Q1102" s="26" t="str">
        <f>IF(OR(P1102&lt;'Descriptive Statistics'!$H$17,P1102&gt;'Descriptive Statistics'!$H$18),"Potential Outlier","Within Range")</f>
        <v>Within Range</v>
      </c>
      <c r="R1102" s="26" t="str">
        <f>IF(OR(G1102&lt;'Descriptive Statistics'!$I$17,G1102&gt;'Descriptive Statistics'!$I$18),"Potential Outlier","Within Range")</f>
        <v>Within Range</v>
      </c>
      <c r="S1102" s="26" t="str">
        <f>IF(OR(H1102&lt;'Descriptive Statistics'!$J$17,H1102&gt;'Descriptive Statistics'!$J$18),"Potential Outlier","Within Range")</f>
        <v>Within Range</v>
      </c>
    </row>
    <row r="1103" hidden="1" spans="1:19">
      <c r="A1103" t="s">
        <v>3957</v>
      </c>
      <c r="B1103" s="23">
        <v>45816</v>
      </c>
      <c r="C1103" s="23" t="str">
        <f t="shared" si="34"/>
        <v>Jun</v>
      </c>
      <c r="D1103" s="23" t="str">
        <f t="shared" si="35"/>
        <v>2025</v>
      </c>
      <c r="E1103" t="s">
        <v>3958</v>
      </c>
      <c r="F1103" s="24" t="s">
        <v>16</v>
      </c>
      <c r="G1103" s="17">
        <v>3</v>
      </c>
      <c r="H1103" s="19">
        <v>161.97</v>
      </c>
      <c r="I1103" t="s">
        <v>69</v>
      </c>
      <c r="J1103" s="24" t="s">
        <v>65</v>
      </c>
      <c r="K1103" s="24" t="s">
        <v>89</v>
      </c>
      <c r="L1103" t="s">
        <v>3959</v>
      </c>
      <c r="M1103" s="17">
        <v>4</v>
      </c>
      <c r="N1103" t="s">
        <v>21</v>
      </c>
      <c r="O1103" s="24" t="s">
        <v>38</v>
      </c>
      <c r="P1103" s="19">
        <v>485.91</v>
      </c>
      <c r="Q1103" s="26" t="str">
        <f>IF(OR(P1103&lt;'Descriptive Statistics'!$H$17,P1103&gt;'Descriptive Statistics'!$H$18),"Potential Outlier","Within Range")</f>
        <v>Within Range</v>
      </c>
      <c r="R1103" s="26" t="str">
        <f>IF(OR(G1103&lt;'Descriptive Statistics'!$I$17,G1103&gt;'Descriptive Statistics'!$I$18),"Potential Outlier","Within Range")</f>
        <v>Within Range</v>
      </c>
      <c r="S1103" s="26" t="str">
        <f>IF(OR(H1103&lt;'Descriptive Statistics'!$J$17,H1103&gt;'Descriptive Statistics'!$J$18),"Potential Outlier","Within Range")</f>
        <v>Within Range</v>
      </c>
    </row>
    <row r="1104" hidden="1" spans="1:19">
      <c r="A1104" t="s">
        <v>3960</v>
      </c>
      <c r="B1104" s="23">
        <v>45446</v>
      </c>
      <c r="C1104" s="23" t="str">
        <f t="shared" si="34"/>
        <v>Jun</v>
      </c>
      <c r="D1104" s="23" t="str">
        <f t="shared" si="35"/>
        <v>2024</v>
      </c>
      <c r="E1104" t="s">
        <v>96</v>
      </c>
      <c r="F1104" s="24" t="s">
        <v>41</v>
      </c>
      <c r="G1104" s="17">
        <v>4</v>
      </c>
      <c r="H1104" s="19">
        <v>347.17</v>
      </c>
      <c r="I1104" t="s">
        <v>2779</v>
      </c>
      <c r="J1104" s="24" t="s">
        <v>18</v>
      </c>
      <c r="K1104" s="24" t="s">
        <v>19</v>
      </c>
      <c r="L1104" t="s">
        <v>3961</v>
      </c>
      <c r="M1104" s="17">
        <v>8</v>
      </c>
      <c r="N1104" t="s">
        <v>4295</v>
      </c>
      <c r="O1104" s="24" t="s">
        <v>22</v>
      </c>
      <c r="P1104" s="19">
        <v>1388.68</v>
      </c>
      <c r="Q1104" s="26" t="str">
        <f>IF(OR(P1104&lt;'Descriptive Statistics'!$H$17,P1104&gt;'Descriptive Statistics'!$H$18),"Potential Outlier","Within Range")</f>
        <v>Within Range</v>
      </c>
      <c r="R1104" s="26" t="str">
        <f>IF(OR(G1104&lt;'Descriptive Statistics'!$I$17,G1104&gt;'Descriptive Statistics'!$I$18),"Potential Outlier","Within Range")</f>
        <v>Within Range</v>
      </c>
      <c r="S1104" s="26" t="str">
        <f>IF(OR(H1104&lt;'Descriptive Statistics'!$J$17,H1104&gt;'Descriptive Statistics'!$J$18),"Potential Outlier","Within Range")</f>
        <v>Within Range</v>
      </c>
    </row>
    <row r="1105" hidden="1" spans="1:19">
      <c r="A1105" t="s">
        <v>3962</v>
      </c>
      <c r="B1105" s="23">
        <v>45040</v>
      </c>
      <c r="C1105" s="23" t="str">
        <f t="shared" si="34"/>
        <v>Apr</v>
      </c>
      <c r="D1105" s="23" t="str">
        <f t="shared" si="35"/>
        <v>2023</v>
      </c>
      <c r="E1105" t="s">
        <v>3963</v>
      </c>
      <c r="F1105" s="24" t="s">
        <v>58</v>
      </c>
      <c r="G1105" s="17">
        <v>4</v>
      </c>
      <c r="H1105" s="19">
        <v>276.32</v>
      </c>
      <c r="I1105" t="s">
        <v>327</v>
      </c>
      <c r="J1105" s="24" t="s">
        <v>27</v>
      </c>
      <c r="K1105" s="24" t="s">
        <v>50</v>
      </c>
      <c r="L1105" t="s">
        <v>3964</v>
      </c>
      <c r="M1105" s="17">
        <v>5</v>
      </c>
      <c r="N1105" t="s">
        <v>4295</v>
      </c>
      <c r="O1105" s="24" t="s">
        <v>76</v>
      </c>
      <c r="P1105" s="19">
        <v>1105.28</v>
      </c>
      <c r="Q1105" s="26" t="str">
        <f>IF(OR(P1105&lt;'Descriptive Statistics'!$H$17,P1105&gt;'Descriptive Statistics'!$H$18),"Potential Outlier","Within Range")</f>
        <v>Within Range</v>
      </c>
      <c r="R1105" s="26" t="str">
        <f>IF(OR(G1105&lt;'Descriptive Statistics'!$I$17,G1105&gt;'Descriptive Statistics'!$I$18),"Potential Outlier","Within Range")</f>
        <v>Within Range</v>
      </c>
      <c r="S1105" s="26" t="str">
        <f>IF(OR(H1105&lt;'Descriptive Statistics'!$J$17,H1105&gt;'Descriptive Statistics'!$J$18),"Potential Outlier","Within Range")</f>
        <v>Within Range</v>
      </c>
    </row>
    <row r="1106" hidden="1" spans="1:19">
      <c r="A1106" t="s">
        <v>3965</v>
      </c>
      <c r="B1106" s="23">
        <v>45498</v>
      </c>
      <c r="C1106" s="23" t="str">
        <f t="shared" si="34"/>
        <v>Jul</v>
      </c>
      <c r="D1106" s="23" t="str">
        <f t="shared" si="35"/>
        <v>2024</v>
      </c>
      <c r="E1106" t="s">
        <v>3966</v>
      </c>
      <c r="F1106" s="24" t="s">
        <v>32</v>
      </c>
      <c r="G1106" s="17">
        <v>4</v>
      </c>
      <c r="H1106" s="19">
        <v>314.76</v>
      </c>
      <c r="I1106" t="s">
        <v>3967</v>
      </c>
      <c r="J1106" s="24" t="s">
        <v>27</v>
      </c>
      <c r="K1106" s="24" t="s">
        <v>19</v>
      </c>
      <c r="L1106" t="s">
        <v>3968</v>
      </c>
      <c r="M1106" s="17">
        <v>8</v>
      </c>
      <c r="N1106" t="s">
        <v>4295</v>
      </c>
      <c r="O1106" s="24" t="s">
        <v>22</v>
      </c>
      <c r="P1106" s="19">
        <v>1259.04</v>
      </c>
      <c r="Q1106" s="26" t="str">
        <f>IF(OR(P1106&lt;'Descriptive Statistics'!$H$17,P1106&gt;'Descriptive Statistics'!$H$18),"Potential Outlier","Within Range")</f>
        <v>Within Range</v>
      </c>
      <c r="R1106" s="26" t="str">
        <f>IF(OR(G1106&lt;'Descriptive Statistics'!$I$17,G1106&gt;'Descriptive Statistics'!$I$18),"Potential Outlier","Within Range")</f>
        <v>Within Range</v>
      </c>
      <c r="S1106" s="26" t="str">
        <f>IF(OR(H1106&lt;'Descriptive Statistics'!$J$17,H1106&gt;'Descriptive Statistics'!$J$18),"Potential Outlier","Within Range")</f>
        <v>Within Range</v>
      </c>
    </row>
    <row r="1107" hidden="1" spans="1:19">
      <c r="A1107" t="s">
        <v>3969</v>
      </c>
      <c r="B1107" s="23">
        <v>45299</v>
      </c>
      <c r="C1107" s="23" t="str">
        <f t="shared" si="34"/>
        <v>Jan</v>
      </c>
      <c r="D1107" s="23" t="str">
        <f t="shared" si="35"/>
        <v>2024</v>
      </c>
      <c r="E1107" t="s">
        <v>3970</v>
      </c>
      <c r="F1107" s="24" t="s">
        <v>32</v>
      </c>
      <c r="G1107" s="17">
        <v>3</v>
      </c>
      <c r="H1107" s="19">
        <v>475.69</v>
      </c>
      <c r="I1107" t="s">
        <v>1097</v>
      </c>
      <c r="J1107" s="24" t="s">
        <v>60</v>
      </c>
      <c r="K1107" s="24" t="s">
        <v>35</v>
      </c>
      <c r="L1107" t="s">
        <v>3971</v>
      </c>
      <c r="M1107" s="17">
        <v>3</v>
      </c>
      <c r="N1107" t="s">
        <v>37</v>
      </c>
      <c r="O1107" s="24" t="s">
        <v>76</v>
      </c>
      <c r="P1107" s="19">
        <v>1427.07</v>
      </c>
      <c r="Q1107" s="26" t="str">
        <f>IF(OR(P1107&lt;'Descriptive Statistics'!$H$17,P1107&gt;'Descriptive Statistics'!$H$18),"Potential Outlier","Within Range")</f>
        <v>Within Range</v>
      </c>
      <c r="R1107" s="26" t="str">
        <f>IF(OR(G1107&lt;'Descriptive Statistics'!$I$17,G1107&gt;'Descriptive Statistics'!$I$18),"Potential Outlier","Within Range")</f>
        <v>Within Range</v>
      </c>
      <c r="S1107" s="26" t="str">
        <f>IF(OR(H1107&lt;'Descriptive Statistics'!$J$17,H1107&gt;'Descriptive Statistics'!$J$18),"Potential Outlier","Within Range")</f>
        <v>Within Range</v>
      </c>
    </row>
    <row r="1108" hidden="1" spans="1:19">
      <c r="A1108" t="s">
        <v>3972</v>
      </c>
      <c r="B1108" s="23">
        <v>44997</v>
      </c>
      <c r="C1108" s="23" t="str">
        <f t="shared" si="34"/>
        <v>Mar</v>
      </c>
      <c r="D1108" s="23" t="str">
        <f t="shared" si="35"/>
        <v>2023</v>
      </c>
      <c r="E1108" t="s">
        <v>3973</v>
      </c>
      <c r="F1108" s="24" t="s">
        <v>41</v>
      </c>
      <c r="G1108" s="17">
        <v>1</v>
      </c>
      <c r="H1108" s="19">
        <v>372.8</v>
      </c>
      <c r="I1108" t="s">
        <v>93</v>
      </c>
      <c r="J1108" s="24" t="s">
        <v>65</v>
      </c>
      <c r="K1108" s="24" t="s">
        <v>35</v>
      </c>
      <c r="L1108" t="s">
        <v>3974</v>
      </c>
      <c r="M1108" s="17">
        <v>6</v>
      </c>
      <c r="N1108" t="s">
        <v>21</v>
      </c>
      <c r="O1108" s="24" t="s">
        <v>45</v>
      </c>
      <c r="P1108" s="19">
        <v>372.8</v>
      </c>
      <c r="Q1108" s="26" t="str">
        <f>IF(OR(P1108&lt;'Descriptive Statistics'!$H$17,P1108&gt;'Descriptive Statistics'!$H$18),"Potential Outlier","Within Range")</f>
        <v>Within Range</v>
      </c>
      <c r="R1108" s="26" t="str">
        <f>IF(OR(G1108&lt;'Descriptive Statistics'!$I$17,G1108&gt;'Descriptive Statistics'!$I$18),"Potential Outlier","Within Range")</f>
        <v>Within Range</v>
      </c>
      <c r="S1108" s="26" t="str">
        <f>IF(OR(H1108&lt;'Descriptive Statistics'!$J$17,H1108&gt;'Descriptive Statistics'!$J$18),"Potential Outlier","Within Range")</f>
        <v>Within Range</v>
      </c>
    </row>
    <row r="1109" hidden="1" spans="1:19">
      <c r="A1109" t="s">
        <v>3975</v>
      </c>
      <c r="B1109" s="23">
        <v>45838</v>
      </c>
      <c r="C1109" s="23" t="str">
        <f t="shared" si="34"/>
        <v>Jun</v>
      </c>
      <c r="D1109" s="23" t="str">
        <f t="shared" si="35"/>
        <v>2025</v>
      </c>
      <c r="E1109" t="s">
        <v>3976</v>
      </c>
      <c r="F1109" s="24" t="s">
        <v>32</v>
      </c>
      <c r="G1109" s="17">
        <v>2</v>
      </c>
      <c r="H1109" s="19">
        <v>63.21</v>
      </c>
      <c r="I1109" t="s">
        <v>2290</v>
      </c>
      <c r="J1109" s="24" t="s">
        <v>27</v>
      </c>
      <c r="K1109" s="24" t="s">
        <v>35</v>
      </c>
      <c r="L1109" t="s">
        <v>3977</v>
      </c>
      <c r="M1109" s="17">
        <v>4</v>
      </c>
      <c r="N1109" t="s">
        <v>21</v>
      </c>
      <c r="O1109" s="24" t="s">
        <v>76</v>
      </c>
      <c r="P1109" s="19">
        <v>126.42</v>
      </c>
      <c r="Q1109" s="26" t="str">
        <f>IF(OR(P1109&lt;'Descriptive Statistics'!$H$17,P1109&gt;'Descriptive Statistics'!$H$18),"Potential Outlier","Within Range")</f>
        <v>Within Range</v>
      </c>
      <c r="R1109" s="26" t="str">
        <f>IF(OR(G1109&lt;'Descriptive Statistics'!$I$17,G1109&gt;'Descriptive Statistics'!$I$18),"Potential Outlier","Within Range")</f>
        <v>Within Range</v>
      </c>
      <c r="S1109" s="26" t="str">
        <f>IF(OR(H1109&lt;'Descriptive Statistics'!$J$17,H1109&gt;'Descriptive Statistics'!$J$18),"Potential Outlier","Within Range")</f>
        <v>Within Range</v>
      </c>
    </row>
    <row r="1110" hidden="1" spans="1:19">
      <c r="A1110" t="s">
        <v>3978</v>
      </c>
      <c r="B1110" s="23">
        <v>45005</v>
      </c>
      <c r="C1110" s="23" t="str">
        <f t="shared" si="34"/>
        <v>Mar</v>
      </c>
      <c r="D1110" s="23" t="str">
        <f t="shared" si="35"/>
        <v>2023</v>
      </c>
      <c r="E1110" t="s">
        <v>3979</v>
      </c>
      <c r="F1110" s="24" t="s">
        <v>58</v>
      </c>
      <c r="G1110" s="17">
        <v>1</v>
      </c>
      <c r="H1110" s="19">
        <v>634.94</v>
      </c>
      <c r="I1110" t="s">
        <v>3980</v>
      </c>
      <c r="J1110" s="24" t="s">
        <v>27</v>
      </c>
      <c r="K1110" s="24" t="s">
        <v>35</v>
      </c>
      <c r="L1110" t="s">
        <v>3981</v>
      </c>
      <c r="M1110" s="17">
        <v>5</v>
      </c>
      <c r="N1110" t="s">
        <v>81</v>
      </c>
      <c r="O1110" s="24" t="s">
        <v>22</v>
      </c>
      <c r="P1110" s="19">
        <v>634.94</v>
      </c>
      <c r="Q1110" s="26" t="str">
        <f>IF(OR(P1110&lt;'Descriptive Statistics'!$H$17,P1110&gt;'Descriptive Statistics'!$H$18),"Potential Outlier","Within Range")</f>
        <v>Within Range</v>
      </c>
      <c r="R1110" s="26" t="str">
        <f>IF(OR(G1110&lt;'Descriptive Statistics'!$I$17,G1110&gt;'Descriptive Statistics'!$I$18),"Potential Outlier","Within Range")</f>
        <v>Within Range</v>
      </c>
      <c r="S1110" s="26" t="str">
        <f>IF(OR(H1110&lt;'Descriptive Statistics'!$J$17,H1110&gt;'Descriptive Statistics'!$J$18),"Potential Outlier","Within Range")</f>
        <v>Within Range</v>
      </c>
    </row>
    <row r="1111" hidden="1" spans="1:19">
      <c r="A1111" t="s">
        <v>3982</v>
      </c>
      <c r="B1111" s="23">
        <v>45390</v>
      </c>
      <c r="C1111" s="23" t="str">
        <f t="shared" si="34"/>
        <v>Apr</v>
      </c>
      <c r="D1111" s="23" t="str">
        <f t="shared" si="35"/>
        <v>2024</v>
      </c>
      <c r="E1111" t="s">
        <v>3983</v>
      </c>
      <c r="F1111" s="24" t="s">
        <v>48</v>
      </c>
      <c r="G1111" s="17">
        <v>4</v>
      </c>
      <c r="H1111" s="19">
        <v>77.47</v>
      </c>
      <c r="I1111" t="s">
        <v>1779</v>
      </c>
      <c r="J1111" s="24" t="s">
        <v>60</v>
      </c>
      <c r="K1111" s="24" t="s">
        <v>43</v>
      </c>
      <c r="L1111" t="s">
        <v>3984</v>
      </c>
      <c r="M1111" s="17">
        <v>7</v>
      </c>
      <c r="N1111" t="s">
        <v>21</v>
      </c>
      <c r="O1111" s="24" t="s">
        <v>22</v>
      </c>
      <c r="P1111" s="19">
        <v>309.88</v>
      </c>
      <c r="Q1111" s="26" t="str">
        <f>IF(OR(P1111&lt;'Descriptive Statistics'!$H$17,P1111&gt;'Descriptive Statistics'!$H$18),"Potential Outlier","Within Range")</f>
        <v>Within Range</v>
      </c>
      <c r="R1111" s="26" t="str">
        <f>IF(OR(G1111&lt;'Descriptive Statistics'!$I$17,G1111&gt;'Descriptive Statistics'!$I$18),"Potential Outlier","Within Range")</f>
        <v>Within Range</v>
      </c>
      <c r="S1111" s="26" t="str">
        <f>IF(OR(H1111&lt;'Descriptive Statistics'!$J$17,H1111&gt;'Descriptive Statistics'!$J$18),"Potential Outlier","Within Range")</f>
        <v>Within Range</v>
      </c>
    </row>
    <row r="1112" hidden="1" spans="1:19">
      <c r="A1112" t="s">
        <v>3985</v>
      </c>
      <c r="B1112" s="23">
        <v>45347</v>
      </c>
      <c r="C1112" s="23" t="str">
        <f t="shared" si="34"/>
        <v>Feb</v>
      </c>
      <c r="D1112" s="23" t="str">
        <f t="shared" si="35"/>
        <v>2024</v>
      </c>
      <c r="E1112" t="s">
        <v>3986</v>
      </c>
      <c r="F1112" s="24" t="s">
        <v>41</v>
      </c>
      <c r="G1112" s="17">
        <v>3</v>
      </c>
      <c r="H1112" s="19">
        <v>84.31</v>
      </c>
      <c r="I1112" t="s">
        <v>173</v>
      </c>
      <c r="J1112" s="24" t="s">
        <v>34</v>
      </c>
      <c r="K1112" s="24" t="s">
        <v>19</v>
      </c>
      <c r="L1112" t="s">
        <v>3987</v>
      </c>
      <c r="M1112" s="17">
        <v>3</v>
      </c>
      <c r="N1112" t="s">
        <v>21</v>
      </c>
      <c r="O1112" s="24" t="s">
        <v>38</v>
      </c>
      <c r="P1112" s="19">
        <v>252.93</v>
      </c>
      <c r="Q1112" s="26" t="str">
        <f>IF(OR(P1112&lt;'Descriptive Statistics'!$H$17,P1112&gt;'Descriptive Statistics'!$H$18),"Potential Outlier","Within Range")</f>
        <v>Within Range</v>
      </c>
      <c r="R1112" s="26" t="str">
        <f>IF(OR(G1112&lt;'Descriptive Statistics'!$I$17,G1112&gt;'Descriptive Statistics'!$I$18),"Potential Outlier","Within Range")</f>
        <v>Within Range</v>
      </c>
      <c r="S1112" s="26" t="str">
        <f>IF(OR(H1112&lt;'Descriptive Statistics'!$J$17,H1112&gt;'Descriptive Statistics'!$J$18),"Potential Outlier","Within Range")</f>
        <v>Within Range</v>
      </c>
    </row>
    <row r="1113" hidden="1" spans="1:19">
      <c r="A1113" t="s">
        <v>3988</v>
      </c>
      <c r="B1113" s="23">
        <v>45052</v>
      </c>
      <c r="C1113" s="23" t="str">
        <f t="shared" si="34"/>
        <v>May</v>
      </c>
      <c r="D1113" s="23" t="str">
        <f t="shared" si="35"/>
        <v>2023</v>
      </c>
      <c r="E1113" t="s">
        <v>3989</v>
      </c>
      <c r="F1113" s="24" t="s">
        <v>16</v>
      </c>
      <c r="G1113" s="17">
        <v>4</v>
      </c>
      <c r="H1113" s="19">
        <v>234.45</v>
      </c>
      <c r="I1113" t="s">
        <v>3990</v>
      </c>
      <c r="J1113" s="24" t="s">
        <v>27</v>
      </c>
      <c r="K1113" s="24" t="s">
        <v>35</v>
      </c>
      <c r="L1113" t="s">
        <v>3991</v>
      </c>
      <c r="M1113" s="17">
        <v>9</v>
      </c>
      <c r="N1113" t="s">
        <v>37</v>
      </c>
      <c r="O1113" s="24" t="s">
        <v>22</v>
      </c>
      <c r="P1113" s="19">
        <v>937.8</v>
      </c>
      <c r="Q1113" s="26" t="str">
        <f>IF(OR(P1113&lt;'Descriptive Statistics'!$H$17,P1113&gt;'Descriptive Statistics'!$H$18),"Potential Outlier","Within Range")</f>
        <v>Within Range</v>
      </c>
      <c r="R1113" s="26" t="str">
        <f>IF(OR(G1113&lt;'Descriptive Statistics'!$I$17,G1113&gt;'Descriptive Statistics'!$I$18),"Potential Outlier","Within Range")</f>
        <v>Within Range</v>
      </c>
      <c r="S1113" s="26" t="str">
        <f>IF(OR(H1113&lt;'Descriptive Statistics'!$J$17,H1113&gt;'Descriptive Statistics'!$J$18),"Potential Outlier","Within Range")</f>
        <v>Within Range</v>
      </c>
    </row>
    <row r="1114" hidden="1" spans="1:19">
      <c r="A1114" t="s">
        <v>3992</v>
      </c>
      <c r="B1114" s="23">
        <v>45212</v>
      </c>
      <c r="C1114" s="23" t="str">
        <f t="shared" si="34"/>
        <v>Oct</v>
      </c>
      <c r="D1114" s="23" t="str">
        <f t="shared" si="35"/>
        <v>2023</v>
      </c>
      <c r="E1114" t="s">
        <v>3993</v>
      </c>
      <c r="F1114" s="24" t="s">
        <v>73</v>
      </c>
      <c r="G1114" s="17">
        <v>1</v>
      </c>
      <c r="H1114" s="19">
        <v>356.81</v>
      </c>
      <c r="I1114" t="s">
        <v>529</v>
      </c>
      <c r="J1114" s="24" t="s">
        <v>27</v>
      </c>
      <c r="K1114" s="24" t="s">
        <v>50</v>
      </c>
      <c r="L1114" t="s">
        <v>3994</v>
      </c>
      <c r="M1114" s="17">
        <v>1</v>
      </c>
      <c r="N1114" t="s">
        <v>81</v>
      </c>
      <c r="O1114" s="24" t="s">
        <v>22</v>
      </c>
      <c r="P1114" s="19">
        <v>356.81</v>
      </c>
      <c r="Q1114" s="26" t="str">
        <f>IF(OR(P1114&lt;'Descriptive Statistics'!$H$17,P1114&gt;'Descriptive Statistics'!$H$18),"Potential Outlier","Within Range")</f>
        <v>Within Range</v>
      </c>
      <c r="R1114" s="26" t="str">
        <f>IF(OR(G1114&lt;'Descriptive Statistics'!$I$17,G1114&gt;'Descriptive Statistics'!$I$18),"Potential Outlier","Within Range")</f>
        <v>Within Range</v>
      </c>
      <c r="S1114" s="26" t="str">
        <f>IF(OR(H1114&lt;'Descriptive Statistics'!$J$17,H1114&gt;'Descriptive Statistics'!$J$18),"Potential Outlier","Within Range")</f>
        <v>Within Range</v>
      </c>
    </row>
    <row r="1115" hidden="1" spans="1:19">
      <c r="A1115" t="s">
        <v>3995</v>
      </c>
      <c r="B1115" s="23">
        <v>45004</v>
      </c>
      <c r="C1115" s="23" t="str">
        <f t="shared" si="34"/>
        <v>Mar</v>
      </c>
      <c r="D1115" s="23" t="str">
        <f t="shared" si="35"/>
        <v>2023</v>
      </c>
      <c r="E1115" t="s">
        <v>3996</v>
      </c>
      <c r="F1115" s="24" t="s">
        <v>73</v>
      </c>
      <c r="G1115" s="17">
        <v>4</v>
      </c>
      <c r="H1115" s="19">
        <v>209.99</v>
      </c>
      <c r="I1115" t="s">
        <v>3405</v>
      </c>
      <c r="J1115" s="24" t="s">
        <v>65</v>
      </c>
      <c r="K1115" s="24" t="s">
        <v>50</v>
      </c>
      <c r="L1115" t="s">
        <v>3997</v>
      </c>
      <c r="M1115" s="17">
        <v>8</v>
      </c>
      <c r="N1115" t="s">
        <v>4295</v>
      </c>
      <c r="O1115" s="24" t="s">
        <v>76</v>
      </c>
      <c r="P1115" s="19">
        <v>839.96</v>
      </c>
      <c r="Q1115" s="26" t="str">
        <f>IF(OR(P1115&lt;'Descriptive Statistics'!$H$17,P1115&gt;'Descriptive Statistics'!$H$18),"Potential Outlier","Within Range")</f>
        <v>Within Range</v>
      </c>
      <c r="R1115" s="26" t="str">
        <f>IF(OR(G1115&lt;'Descriptive Statistics'!$I$17,G1115&gt;'Descriptive Statistics'!$I$18),"Potential Outlier","Within Range")</f>
        <v>Within Range</v>
      </c>
      <c r="S1115" s="26" t="str">
        <f>IF(OR(H1115&lt;'Descriptive Statistics'!$J$17,H1115&gt;'Descriptive Statistics'!$J$18),"Potential Outlier","Within Range")</f>
        <v>Within Range</v>
      </c>
    </row>
    <row r="1116" hidden="1" spans="1:19">
      <c r="A1116" t="s">
        <v>3998</v>
      </c>
      <c r="B1116" s="23">
        <v>45001</v>
      </c>
      <c r="C1116" s="23" t="str">
        <f t="shared" si="34"/>
        <v>Mar</v>
      </c>
      <c r="D1116" s="23" t="str">
        <f t="shared" si="35"/>
        <v>2023</v>
      </c>
      <c r="E1116" t="s">
        <v>3999</v>
      </c>
      <c r="F1116" s="24" t="s">
        <v>32</v>
      </c>
      <c r="G1116" s="17">
        <v>3</v>
      </c>
      <c r="H1116" s="19">
        <v>659.88</v>
      </c>
      <c r="I1116" t="s">
        <v>837</v>
      </c>
      <c r="J1116" s="24" t="s">
        <v>60</v>
      </c>
      <c r="K1116" s="24" t="s">
        <v>35</v>
      </c>
      <c r="L1116" t="s">
        <v>4000</v>
      </c>
      <c r="M1116" s="17">
        <v>3</v>
      </c>
      <c r="N1116" t="s">
        <v>4295</v>
      </c>
      <c r="O1116" s="24" t="s">
        <v>76</v>
      </c>
      <c r="P1116" s="19">
        <v>1979.64</v>
      </c>
      <c r="Q1116" s="26" t="str">
        <f>IF(OR(P1116&lt;'Descriptive Statistics'!$H$17,P1116&gt;'Descriptive Statistics'!$H$18),"Potential Outlier","Within Range")</f>
        <v>Within Range</v>
      </c>
      <c r="R1116" s="26" t="str">
        <f>IF(OR(G1116&lt;'Descriptive Statistics'!$I$17,G1116&gt;'Descriptive Statistics'!$I$18),"Potential Outlier","Within Range")</f>
        <v>Within Range</v>
      </c>
      <c r="S1116" s="26" t="str">
        <f>IF(OR(H1116&lt;'Descriptive Statistics'!$J$17,H1116&gt;'Descriptive Statistics'!$J$18),"Potential Outlier","Within Range")</f>
        <v>Within Range</v>
      </c>
    </row>
    <row r="1117" hidden="1" spans="1:19">
      <c r="A1117" t="s">
        <v>4001</v>
      </c>
      <c r="B1117" s="23">
        <v>45828</v>
      </c>
      <c r="C1117" s="23" t="str">
        <f t="shared" si="34"/>
        <v>Jun</v>
      </c>
      <c r="D1117" s="23" t="str">
        <f t="shared" si="35"/>
        <v>2025</v>
      </c>
      <c r="E1117" t="s">
        <v>4002</v>
      </c>
      <c r="F1117" s="24" t="s">
        <v>58</v>
      </c>
      <c r="G1117" s="17">
        <v>2</v>
      </c>
      <c r="H1117" s="19">
        <v>336.32</v>
      </c>
      <c r="I1117" t="s">
        <v>952</v>
      </c>
      <c r="J1117" s="24" t="s">
        <v>27</v>
      </c>
      <c r="K1117" s="24" t="s">
        <v>43</v>
      </c>
      <c r="L1117" t="s">
        <v>4003</v>
      </c>
      <c r="M1117" s="17">
        <v>3</v>
      </c>
      <c r="N1117" t="s">
        <v>4295</v>
      </c>
      <c r="O1117" s="24" t="s">
        <v>76</v>
      </c>
      <c r="P1117" s="19">
        <v>672.64</v>
      </c>
      <c r="Q1117" s="26" t="str">
        <f>IF(OR(P1117&lt;'Descriptive Statistics'!$H$17,P1117&gt;'Descriptive Statistics'!$H$18),"Potential Outlier","Within Range")</f>
        <v>Within Range</v>
      </c>
      <c r="R1117" s="26" t="str">
        <f>IF(OR(G1117&lt;'Descriptive Statistics'!$I$17,G1117&gt;'Descriptive Statistics'!$I$18),"Potential Outlier","Within Range")</f>
        <v>Within Range</v>
      </c>
      <c r="S1117" s="26" t="str">
        <f>IF(OR(H1117&lt;'Descriptive Statistics'!$J$17,H1117&gt;'Descriptive Statistics'!$J$18),"Potential Outlier","Within Range")</f>
        <v>Within Range</v>
      </c>
    </row>
    <row r="1118" hidden="1" spans="1:19">
      <c r="A1118" t="s">
        <v>4004</v>
      </c>
      <c r="B1118" s="23">
        <v>45213</v>
      </c>
      <c r="C1118" s="23" t="str">
        <f t="shared" si="34"/>
        <v>Oct</v>
      </c>
      <c r="D1118" s="23" t="str">
        <f t="shared" si="35"/>
        <v>2023</v>
      </c>
      <c r="E1118" t="s">
        <v>4005</v>
      </c>
      <c r="F1118" s="24" t="s">
        <v>48</v>
      </c>
      <c r="G1118" s="17">
        <v>2</v>
      </c>
      <c r="H1118" s="19">
        <v>531.49</v>
      </c>
      <c r="I1118" t="s">
        <v>952</v>
      </c>
      <c r="J1118" s="24" t="s">
        <v>34</v>
      </c>
      <c r="K1118" s="24" t="s">
        <v>50</v>
      </c>
      <c r="L1118" t="s">
        <v>4006</v>
      </c>
      <c r="M1118" s="17">
        <v>7</v>
      </c>
      <c r="N1118" t="s">
        <v>81</v>
      </c>
      <c r="O1118" s="24" t="s">
        <v>45</v>
      </c>
      <c r="P1118" s="19">
        <v>1062.98</v>
      </c>
      <c r="Q1118" s="26" t="str">
        <f>IF(OR(P1118&lt;'Descriptive Statistics'!$H$17,P1118&gt;'Descriptive Statistics'!$H$18),"Potential Outlier","Within Range")</f>
        <v>Within Range</v>
      </c>
      <c r="R1118" s="26" t="str">
        <f>IF(OR(G1118&lt;'Descriptive Statistics'!$I$17,G1118&gt;'Descriptive Statistics'!$I$18),"Potential Outlier","Within Range")</f>
        <v>Within Range</v>
      </c>
      <c r="S1118" s="26" t="str">
        <f>IF(OR(H1118&lt;'Descriptive Statistics'!$J$17,H1118&gt;'Descriptive Statistics'!$J$18),"Potential Outlier","Within Range")</f>
        <v>Within Range</v>
      </c>
    </row>
    <row r="1119" hidden="1" spans="1:19">
      <c r="A1119" t="s">
        <v>4007</v>
      </c>
      <c r="B1119" s="23">
        <v>45432</v>
      </c>
      <c r="C1119" s="23" t="str">
        <f t="shared" si="34"/>
        <v>May</v>
      </c>
      <c r="D1119" s="23" t="str">
        <f t="shared" si="35"/>
        <v>2024</v>
      </c>
      <c r="E1119" t="s">
        <v>4008</v>
      </c>
      <c r="F1119" s="24" t="s">
        <v>41</v>
      </c>
      <c r="G1119" s="17">
        <v>3</v>
      </c>
      <c r="H1119" s="19">
        <v>588.44</v>
      </c>
      <c r="I1119" t="s">
        <v>1571</v>
      </c>
      <c r="J1119" s="24" t="s">
        <v>60</v>
      </c>
      <c r="K1119" s="24" t="s">
        <v>19</v>
      </c>
      <c r="L1119" t="s">
        <v>4009</v>
      </c>
      <c r="M1119" s="17">
        <v>8</v>
      </c>
      <c r="N1119" t="s">
        <v>81</v>
      </c>
      <c r="O1119" s="24" t="s">
        <v>76</v>
      </c>
      <c r="P1119" s="19">
        <v>1765.32</v>
      </c>
      <c r="Q1119" s="26" t="str">
        <f>IF(OR(P1119&lt;'Descriptive Statistics'!$H$17,P1119&gt;'Descriptive Statistics'!$H$18),"Potential Outlier","Within Range")</f>
        <v>Within Range</v>
      </c>
      <c r="R1119" s="26" t="str">
        <f>IF(OR(G1119&lt;'Descriptive Statistics'!$I$17,G1119&gt;'Descriptive Statistics'!$I$18),"Potential Outlier","Within Range")</f>
        <v>Within Range</v>
      </c>
      <c r="S1119" s="26" t="str">
        <f>IF(OR(H1119&lt;'Descriptive Statistics'!$J$17,H1119&gt;'Descriptive Statistics'!$J$18),"Potential Outlier","Within Range")</f>
        <v>Within Range</v>
      </c>
    </row>
    <row r="1120" hidden="1" spans="1:19">
      <c r="A1120" t="s">
        <v>4010</v>
      </c>
      <c r="B1120" s="23">
        <v>45436</v>
      </c>
      <c r="C1120" s="23" t="str">
        <f t="shared" si="34"/>
        <v>May</v>
      </c>
      <c r="D1120" s="23" t="str">
        <f t="shared" si="35"/>
        <v>2024</v>
      </c>
      <c r="E1120" t="s">
        <v>4011</v>
      </c>
      <c r="F1120" s="24" t="s">
        <v>25</v>
      </c>
      <c r="G1120" s="17">
        <v>3</v>
      </c>
      <c r="H1120" s="19">
        <v>251.48</v>
      </c>
      <c r="I1120" t="s">
        <v>1542</v>
      </c>
      <c r="J1120" s="24" t="s">
        <v>34</v>
      </c>
      <c r="K1120" s="24" t="s">
        <v>43</v>
      </c>
      <c r="L1120" t="s">
        <v>4012</v>
      </c>
      <c r="M1120" s="17">
        <v>4</v>
      </c>
      <c r="N1120" t="s">
        <v>4295</v>
      </c>
      <c r="O1120" s="24" t="s">
        <v>38</v>
      </c>
      <c r="P1120" s="19">
        <v>754.44</v>
      </c>
      <c r="Q1120" s="26" t="str">
        <f>IF(OR(P1120&lt;'Descriptive Statistics'!$H$17,P1120&gt;'Descriptive Statistics'!$H$18),"Potential Outlier","Within Range")</f>
        <v>Within Range</v>
      </c>
      <c r="R1120" s="26" t="str">
        <f>IF(OR(G1120&lt;'Descriptive Statistics'!$I$17,G1120&gt;'Descriptive Statistics'!$I$18),"Potential Outlier","Within Range")</f>
        <v>Within Range</v>
      </c>
      <c r="S1120" s="26" t="str">
        <f>IF(OR(H1120&lt;'Descriptive Statistics'!$J$17,H1120&gt;'Descriptive Statistics'!$J$18),"Potential Outlier","Within Range")</f>
        <v>Within Range</v>
      </c>
    </row>
    <row r="1121" hidden="1" spans="1:19">
      <c r="A1121" t="s">
        <v>4013</v>
      </c>
      <c r="B1121" s="23">
        <v>45620</v>
      </c>
      <c r="C1121" s="23" t="str">
        <f t="shared" si="34"/>
        <v>Nov</v>
      </c>
      <c r="D1121" s="23" t="str">
        <f t="shared" si="35"/>
        <v>2024</v>
      </c>
      <c r="E1121" t="s">
        <v>4014</v>
      </c>
      <c r="F1121" s="24" t="s">
        <v>58</v>
      </c>
      <c r="G1121" s="17">
        <v>1</v>
      </c>
      <c r="H1121" s="19">
        <v>684.65</v>
      </c>
      <c r="I1121" t="s">
        <v>1054</v>
      </c>
      <c r="J1121" s="24" t="s">
        <v>34</v>
      </c>
      <c r="K1121" s="24" t="s">
        <v>50</v>
      </c>
      <c r="L1121" t="s">
        <v>4015</v>
      </c>
      <c r="M1121" s="17">
        <v>1</v>
      </c>
      <c r="N1121" t="s">
        <v>37</v>
      </c>
      <c r="O1121" s="24" t="s">
        <v>38</v>
      </c>
      <c r="P1121" s="19">
        <v>684.65</v>
      </c>
      <c r="Q1121" s="26" t="str">
        <f>IF(OR(P1121&lt;'Descriptive Statistics'!$H$17,P1121&gt;'Descriptive Statistics'!$H$18),"Potential Outlier","Within Range")</f>
        <v>Within Range</v>
      </c>
      <c r="R1121" s="26" t="str">
        <f>IF(OR(G1121&lt;'Descriptive Statistics'!$I$17,G1121&gt;'Descriptive Statistics'!$I$18),"Potential Outlier","Within Range")</f>
        <v>Within Range</v>
      </c>
      <c r="S1121" s="26" t="str">
        <f>IF(OR(H1121&lt;'Descriptive Statistics'!$J$17,H1121&gt;'Descriptive Statistics'!$J$18),"Potential Outlier","Within Range")</f>
        <v>Within Range</v>
      </c>
    </row>
    <row r="1122" hidden="1" spans="1:19">
      <c r="A1122" t="s">
        <v>4016</v>
      </c>
      <c r="B1122" s="23">
        <v>45787</v>
      </c>
      <c r="C1122" s="23" t="str">
        <f t="shared" si="34"/>
        <v>May</v>
      </c>
      <c r="D1122" s="23" t="str">
        <f t="shared" si="35"/>
        <v>2025</v>
      </c>
      <c r="E1122" t="s">
        <v>4017</v>
      </c>
      <c r="F1122" s="24" t="s">
        <v>32</v>
      </c>
      <c r="G1122" s="17">
        <v>1</v>
      </c>
      <c r="H1122" s="19">
        <v>195.86</v>
      </c>
      <c r="I1122" t="s">
        <v>201</v>
      </c>
      <c r="J1122" s="24" t="s">
        <v>27</v>
      </c>
      <c r="K1122" s="24" t="s">
        <v>89</v>
      </c>
      <c r="L1122" t="s">
        <v>4018</v>
      </c>
      <c r="M1122" s="17">
        <v>3</v>
      </c>
      <c r="N1122" t="s">
        <v>4295</v>
      </c>
      <c r="O1122" s="24" t="s">
        <v>45</v>
      </c>
      <c r="P1122" s="19">
        <v>195.86</v>
      </c>
      <c r="Q1122" s="26" t="str">
        <f>IF(OR(P1122&lt;'Descriptive Statistics'!$H$17,P1122&gt;'Descriptive Statistics'!$H$18),"Potential Outlier","Within Range")</f>
        <v>Within Range</v>
      </c>
      <c r="R1122" s="26" t="str">
        <f>IF(OR(G1122&lt;'Descriptive Statistics'!$I$17,G1122&gt;'Descriptive Statistics'!$I$18),"Potential Outlier","Within Range")</f>
        <v>Within Range</v>
      </c>
      <c r="S1122" s="26" t="str">
        <f>IF(OR(H1122&lt;'Descriptive Statistics'!$J$17,H1122&gt;'Descriptive Statistics'!$J$18),"Potential Outlier","Within Range")</f>
        <v>Within Range</v>
      </c>
    </row>
    <row r="1123" hidden="1" spans="1:19">
      <c r="A1123" t="s">
        <v>4019</v>
      </c>
      <c r="B1123" s="23">
        <v>45074</v>
      </c>
      <c r="C1123" s="23" t="str">
        <f t="shared" si="34"/>
        <v>May</v>
      </c>
      <c r="D1123" s="23" t="str">
        <f t="shared" si="35"/>
        <v>2023</v>
      </c>
      <c r="E1123" t="s">
        <v>4020</v>
      </c>
      <c r="F1123" s="24" t="s">
        <v>25</v>
      </c>
      <c r="G1123" s="17">
        <v>3</v>
      </c>
      <c r="H1123" s="19">
        <v>50.34</v>
      </c>
      <c r="I1123" t="s">
        <v>3226</v>
      </c>
      <c r="J1123" s="24" t="s">
        <v>60</v>
      </c>
      <c r="K1123" s="24" t="s">
        <v>43</v>
      </c>
      <c r="L1123" t="s">
        <v>4021</v>
      </c>
      <c r="M1123" s="17">
        <v>3</v>
      </c>
      <c r="N1123" t="s">
        <v>37</v>
      </c>
      <c r="O1123" s="24" t="s">
        <v>22</v>
      </c>
      <c r="P1123" s="19">
        <v>151.02</v>
      </c>
      <c r="Q1123" s="26" t="str">
        <f>IF(OR(P1123&lt;'Descriptive Statistics'!$H$17,P1123&gt;'Descriptive Statistics'!$H$18),"Potential Outlier","Within Range")</f>
        <v>Within Range</v>
      </c>
      <c r="R1123" s="26" t="str">
        <f>IF(OR(G1123&lt;'Descriptive Statistics'!$I$17,G1123&gt;'Descriptive Statistics'!$I$18),"Potential Outlier","Within Range")</f>
        <v>Within Range</v>
      </c>
      <c r="S1123" s="26" t="str">
        <f>IF(OR(H1123&lt;'Descriptive Statistics'!$J$17,H1123&gt;'Descriptive Statistics'!$J$18),"Potential Outlier","Within Range")</f>
        <v>Within Range</v>
      </c>
    </row>
    <row r="1124" spans="1:19">
      <c r="A1124" t="s">
        <v>4022</v>
      </c>
      <c r="B1124" s="23">
        <v>45084</v>
      </c>
      <c r="C1124" s="23" t="str">
        <f t="shared" si="34"/>
        <v>Jun</v>
      </c>
      <c r="D1124" s="23" t="str">
        <f t="shared" si="35"/>
        <v>2023</v>
      </c>
      <c r="E1124" t="s">
        <v>1065</v>
      </c>
      <c r="F1124" s="24" t="s">
        <v>16</v>
      </c>
      <c r="G1124" s="17">
        <v>5</v>
      </c>
      <c r="H1124" s="19">
        <v>678.19</v>
      </c>
      <c r="I1124" t="s">
        <v>3733</v>
      </c>
      <c r="J1124" s="24" t="s">
        <v>27</v>
      </c>
      <c r="K1124" s="24" t="s">
        <v>43</v>
      </c>
      <c r="L1124" t="s">
        <v>4023</v>
      </c>
      <c r="M1124" s="17">
        <v>8</v>
      </c>
      <c r="N1124" t="s">
        <v>4295</v>
      </c>
      <c r="O1124" s="24" t="s">
        <v>45</v>
      </c>
      <c r="P1124" s="19">
        <v>3390.95</v>
      </c>
      <c r="Q1124" s="26" t="str">
        <f>IF(OR(P1124&lt;'Descriptive Statistics'!$H$17,P1124&gt;'Descriptive Statistics'!$H$18),"Potential Outlier","Within Range")</f>
        <v>Potential Outlier</v>
      </c>
      <c r="R1124" s="26" t="str">
        <f>IF(OR(G1124&lt;'Descriptive Statistics'!$I$17,G1124&gt;'Descriptive Statistics'!$I$18),"Potential Outlier","Within Range")</f>
        <v>Within Range</v>
      </c>
      <c r="S1124" s="26" t="str">
        <f>IF(OR(H1124&lt;'Descriptive Statistics'!$J$17,H1124&gt;'Descriptive Statistics'!$J$18),"Potential Outlier","Within Range")</f>
        <v>Within Range</v>
      </c>
    </row>
    <row r="1125" hidden="1" spans="1:19">
      <c r="A1125" t="s">
        <v>4024</v>
      </c>
      <c r="B1125" s="23">
        <v>45030</v>
      </c>
      <c r="C1125" s="23" t="str">
        <f t="shared" si="34"/>
        <v>Apr</v>
      </c>
      <c r="D1125" s="23" t="str">
        <f t="shared" si="35"/>
        <v>2023</v>
      </c>
      <c r="E1125" t="s">
        <v>4025</v>
      </c>
      <c r="F1125" s="24" t="s">
        <v>32</v>
      </c>
      <c r="G1125" s="17">
        <v>3</v>
      </c>
      <c r="H1125" s="19">
        <v>554.25</v>
      </c>
      <c r="I1125" t="s">
        <v>4026</v>
      </c>
      <c r="J1125" s="24" t="s">
        <v>18</v>
      </c>
      <c r="K1125" s="24" t="s">
        <v>19</v>
      </c>
      <c r="L1125" t="s">
        <v>4027</v>
      </c>
      <c r="M1125" s="17">
        <v>6</v>
      </c>
      <c r="N1125" t="s">
        <v>81</v>
      </c>
      <c r="O1125" s="24" t="s">
        <v>29</v>
      </c>
      <c r="P1125" s="19">
        <v>1662.75</v>
      </c>
      <c r="Q1125" s="26" t="str">
        <f>IF(OR(P1125&lt;'Descriptive Statistics'!$H$17,P1125&gt;'Descriptive Statistics'!$H$18),"Potential Outlier","Within Range")</f>
        <v>Within Range</v>
      </c>
      <c r="R1125" s="26" t="str">
        <f>IF(OR(G1125&lt;'Descriptive Statistics'!$I$17,G1125&gt;'Descriptive Statistics'!$I$18),"Potential Outlier","Within Range")</f>
        <v>Within Range</v>
      </c>
      <c r="S1125" s="26" t="str">
        <f>IF(OR(H1125&lt;'Descriptive Statistics'!$J$17,H1125&gt;'Descriptive Statistics'!$J$18),"Potential Outlier","Within Range")</f>
        <v>Within Range</v>
      </c>
    </row>
    <row r="1126" hidden="1" spans="1:19">
      <c r="A1126" t="s">
        <v>4028</v>
      </c>
      <c r="B1126" s="23">
        <v>45055</v>
      </c>
      <c r="C1126" s="23" t="str">
        <f t="shared" si="34"/>
        <v>May</v>
      </c>
      <c r="D1126" s="23" t="str">
        <f t="shared" si="35"/>
        <v>2023</v>
      </c>
      <c r="E1126" t="s">
        <v>4029</v>
      </c>
      <c r="F1126" s="24" t="s">
        <v>41</v>
      </c>
      <c r="G1126" s="17">
        <v>4</v>
      </c>
      <c r="H1126" s="19">
        <v>576.87</v>
      </c>
      <c r="I1126" t="s">
        <v>4030</v>
      </c>
      <c r="J1126" s="24" t="s">
        <v>60</v>
      </c>
      <c r="K1126" s="24" t="s">
        <v>43</v>
      </c>
      <c r="L1126" t="s">
        <v>4031</v>
      </c>
      <c r="M1126" s="17">
        <v>5</v>
      </c>
      <c r="N1126" t="s">
        <v>4295</v>
      </c>
      <c r="O1126" s="24" t="s">
        <v>22</v>
      </c>
      <c r="P1126" s="19">
        <v>2307.48</v>
      </c>
      <c r="Q1126" s="26" t="str">
        <f>IF(OR(P1126&lt;'Descriptive Statistics'!$H$17,P1126&gt;'Descriptive Statistics'!$H$18),"Potential Outlier","Within Range")</f>
        <v>Within Range</v>
      </c>
      <c r="R1126" s="26" t="str">
        <f>IF(OR(G1126&lt;'Descriptive Statistics'!$I$17,G1126&gt;'Descriptive Statistics'!$I$18),"Potential Outlier","Within Range")</f>
        <v>Within Range</v>
      </c>
      <c r="S1126" s="26" t="str">
        <f>IF(OR(H1126&lt;'Descriptive Statistics'!$J$17,H1126&gt;'Descriptive Statistics'!$J$18),"Potential Outlier","Within Range")</f>
        <v>Within Range</v>
      </c>
    </row>
    <row r="1127" hidden="1" spans="1:19">
      <c r="A1127" t="s">
        <v>4032</v>
      </c>
      <c r="B1127" s="23">
        <v>45215</v>
      </c>
      <c r="C1127" s="23" t="str">
        <f t="shared" si="34"/>
        <v>Oct</v>
      </c>
      <c r="D1127" s="23" t="str">
        <f t="shared" si="35"/>
        <v>2023</v>
      </c>
      <c r="E1127" t="s">
        <v>4033</v>
      </c>
      <c r="F1127" s="24" t="s">
        <v>73</v>
      </c>
      <c r="G1127" s="17">
        <v>4</v>
      </c>
      <c r="H1127" s="19">
        <v>408.36</v>
      </c>
      <c r="I1127" t="s">
        <v>3180</v>
      </c>
      <c r="J1127" s="24" t="s">
        <v>60</v>
      </c>
      <c r="K1127" s="24" t="s">
        <v>35</v>
      </c>
      <c r="L1127" t="s">
        <v>4034</v>
      </c>
      <c r="M1127" s="17">
        <v>4</v>
      </c>
      <c r="N1127" t="s">
        <v>37</v>
      </c>
      <c r="O1127" s="24" t="s">
        <v>29</v>
      </c>
      <c r="P1127" s="19">
        <v>1633.44</v>
      </c>
      <c r="Q1127" s="26" t="str">
        <f>IF(OR(P1127&lt;'Descriptive Statistics'!$H$17,P1127&gt;'Descriptive Statistics'!$H$18),"Potential Outlier","Within Range")</f>
        <v>Within Range</v>
      </c>
      <c r="R1127" s="26" t="str">
        <f>IF(OR(G1127&lt;'Descriptive Statistics'!$I$17,G1127&gt;'Descriptive Statistics'!$I$18),"Potential Outlier","Within Range")</f>
        <v>Within Range</v>
      </c>
      <c r="S1127" s="26" t="str">
        <f>IF(OR(H1127&lt;'Descriptive Statistics'!$J$17,H1127&gt;'Descriptive Statistics'!$J$18),"Potential Outlier","Within Range")</f>
        <v>Within Range</v>
      </c>
    </row>
    <row r="1128" hidden="1" spans="1:19">
      <c r="A1128" t="s">
        <v>4035</v>
      </c>
      <c r="B1128" s="23">
        <v>45495</v>
      </c>
      <c r="C1128" s="23" t="str">
        <f t="shared" si="34"/>
        <v>Jul</v>
      </c>
      <c r="D1128" s="23" t="str">
        <f t="shared" si="35"/>
        <v>2024</v>
      </c>
      <c r="E1128" t="s">
        <v>4036</v>
      </c>
      <c r="F1128" s="24" t="s">
        <v>25</v>
      </c>
      <c r="G1128" s="17">
        <v>5</v>
      </c>
      <c r="H1128" s="19">
        <v>190.11</v>
      </c>
      <c r="I1128" t="s">
        <v>4037</v>
      </c>
      <c r="J1128" s="24" t="s">
        <v>65</v>
      </c>
      <c r="K1128" s="24" t="s">
        <v>50</v>
      </c>
      <c r="L1128" t="s">
        <v>4038</v>
      </c>
      <c r="M1128" s="17">
        <v>7</v>
      </c>
      <c r="N1128" t="s">
        <v>21</v>
      </c>
      <c r="O1128" s="24" t="s">
        <v>76</v>
      </c>
      <c r="P1128" s="19">
        <v>950.55</v>
      </c>
      <c r="Q1128" s="26" t="str">
        <f>IF(OR(P1128&lt;'Descriptive Statistics'!$H$17,P1128&gt;'Descriptive Statistics'!$H$18),"Potential Outlier","Within Range")</f>
        <v>Within Range</v>
      </c>
      <c r="R1128" s="26" t="str">
        <f>IF(OR(G1128&lt;'Descriptive Statistics'!$I$17,G1128&gt;'Descriptive Statistics'!$I$18),"Potential Outlier","Within Range")</f>
        <v>Within Range</v>
      </c>
      <c r="S1128" s="26" t="str">
        <f>IF(OR(H1128&lt;'Descriptive Statistics'!$J$17,H1128&gt;'Descriptive Statistics'!$J$18),"Potential Outlier","Within Range")</f>
        <v>Within Range</v>
      </c>
    </row>
    <row r="1129" hidden="1" spans="1:19">
      <c r="A1129" t="s">
        <v>4039</v>
      </c>
      <c r="B1129" s="23">
        <v>45731</v>
      </c>
      <c r="C1129" s="23" t="str">
        <f t="shared" si="34"/>
        <v>Mar</v>
      </c>
      <c r="D1129" s="23" t="str">
        <f t="shared" si="35"/>
        <v>2025</v>
      </c>
      <c r="E1129" t="s">
        <v>4040</v>
      </c>
      <c r="F1129" s="24" t="s">
        <v>48</v>
      </c>
      <c r="G1129" s="17">
        <v>3</v>
      </c>
      <c r="H1129" s="19">
        <v>602.75</v>
      </c>
      <c r="I1129" t="s">
        <v>3011</v>
      </c>
      <c r="J1129" s="24" t="s">
        <v>34</v>
      </c>
      <c r="K1129" s="24" t="s">
        <v>19</v>
      </c>
      <c r="L1129" t="s">
        <v>4041</v>
      </c>
      <c r="M1129" s="17">
        <v>6</v>
      </c>
      <c r="N1129" t="s">
        <v>21</v>
      </c>
      <c r="O1129" s="24" t="s">
        <v>38</v>
      </c>
      <c r="P1129" s="19">
        <v>1808.25</v>
      </c>
      <c r="Q1129" s="26" t="str">
        <f>IF(OR(P1129&lt;'Descriptive Statistics'!$H$17,P1129&gt;'Descriptive Statistics'!$H$18),"Potential Outlier","Within Range")</f>
        <v>Within Range</v>
      </c>
      <c r="R1129" s="26" t="str">
        <f>IF(OR(G1129&lt;'Descriptive Statistics'!$I$17,G1129&gt;'Descriptive Statistics'!$I$18),"Potential Outlier","Within Range")</f>
        <v>Within Range</v>
      </c>
      <c r="S1129" s="26" t="str">
        <f>IF(OR(H1129&lt;'Descriptive Statistics'!$J$17,H1129&gt;'Descriptive Statistics'!$J$18),"Potential Outlier","Within Range")</f>
        <v>Within Range</v>
      </c>
    </row>
    <row r="1130" hidden="1" spans="1:19">
      <c r="A1130" t="s">
        <v>4042</v>
      </c>
      <c r="B1130" s="23">
        <v>45155</v>
      </c>
      <c r="C1130" s="23" t="str">
        <f t="shared" si="34"/>
        <v>Aug</v>
      </c>
      <c r="D1130" s="23" t="str">
        <f t="shared" si="35"/>
        <v>2023</v>
      </c>
      <c r="E1130" t="s">
        <v>4043</v>
      </c>
      <c r="F1130" s="24" t="s">
        <v>16</v>
      </c>
      <c r="G1130" s="17">
        <v>3</v>
      </c>
      <c r="H1130" s="19">
        <v>646.79</v>
      </c>
      <c r="I1130" t="s">
        <v>379</v>
      </c>
      <c r="J1130" s="24" t="s">
        <v>65</v>
      </c>
      <c r="K1130" s="24" t="s">
        <v>35</v>
      </c>
      <c r="L1130" t="s">
        <v>4044</v>
      </c>
      <c r="M1130" s="17">
        <v>5</v>
      </c>
      <c r="N1130" t="s">
        <v>81</v>
      </c>
      <c r="O1130" s="24" t="s">
        <v>76</v>
      </c>
      <c r="P1130" s="19">
        <v>1940.37</v>
      </c>
      <c r="Q1130" s="26" t="str">
        <f>IF(OR(P1130&lt;'Descriptive Statistics'!$H$17,P1130&gt;'Descriptive Statistics'!$H$18),"Potential Outlier","Within Range")</f>
        <v>Within Range</v>
      </c>
      <c r="R1130" s="26" t="str">
        <f>IF(OR(G1130&lt;'Descriptive Statistics'!$I$17,G1130&gt;'Descriptive Statistics'!$I$18),"Potential Outlier","Within Range")</f>
        <v>Within Range</v>
      </c>
      <c r="S1130" s="26" t="str">
        <f>IF(OR(H1130&lt;'Descriptive Statistics'!$J$17,H1130&gt;'Descriptive Statistics'!$J$18),"Potential Outlier","Within Range")</f>
        <v>Within Range</v>
      </c>
    </row>
    <row r="1131" hidden="1" spans="1:19">
      <c r="A1131" t="s">
        <v>4045</v>
      </c>
      <c r="B1131" s="23">
        <v>45088</v>
      </c>
      <c r="C1131" s="23" t="str">
        <f t="shared" si="34"/>
        <v>Jun</v>
      </c>
      <c r="D1131" s="23" t="str">
        <f t="shared" si="35"/>
        <v>2023</v>
      </c>
      <c r="E1131" t="s">
        <v>4046</v>
      </c>
      <c r="F1131" s="24" t="s">
        <v>41</v>
      </c>
      <c r="G1131" s="17">
        <v>4</v>
      </c>
      <c r="H1131" s="19">
        <v>418.71</v>
      </c>
      <c r="I1131" t="s">
        <v>339</v>
      </c>
      <c r="J1131" s="24" t="s">
        <v>65</v>
      </c>
      <c r="K1131" s="24" t="s">
        <v>89</v>
      </c>
      <c r="L1131" t="s">
        <v>4047</v>
      </c>
      <c r="M1131" s="17">
        <v>8</v>
      </c>
      <c r="N1131" t="s">
        <v>37</v>
      </c>
      <c r="O1131" s="24" t="s">
        <v>22</v>
      </c>
      <c r="P1131" s="19">
        <v>1674.84</v>
      </c>
      <c r="Q1131" s="26" t="str">
        <f>IF(OR(P1131&lt;'Descriptive Statistics'!$H$17,P1131&gt;'Descriptive Statistics'!$H$18),"Potential Outlier","Within Range")</f>
        <v>Within Range</v>
      </c>
      <c r="R1131" s="26" t="str">
        <f>IF(OR(G1131&lt;'Descriptive Statistics'!$I$17,G1131&gt;'Descriptive Statistics'!$I$18),"Potential Outlier","Within Range")</f>
        <v>Within Range</v>
      </c>
      <c r="S1131" s="26" t="str">
        <f>IF(OR(H1131&lt;'Descriptive Statistics'!$J$17,H1131&gt;'Descriptive Statistics'!$J$18),"Potential Outlier","Within Range")</f>
        <v>Within Range</v>
      </c>
    </row>
    <row r="1132" hidden="1" spans="1:19">
      <c r="A1132" t="s">
        <v>4048</v>
      </c>
      <c r="B1132" s="23">
        <v>45704</v>
      </c>
      <c r="C1132" s="23" t="str">
        <f t="shared" si="34"/>
        <v>Feb</v>
      </c>
      <c r="D1132" s="23" t="str">
        <f t="shared" si="35"/>
        <v>2025</v>
      </c>
      <c r="E1132" t="s">
        <v>4049</v>
      </c>
      <c r="F1132" s="24" t="s">
        <v>58</v>
      </c>
      <c r="G1132" s="17">
        <v>2</v>
      </c>
      <c r="H1132" s="19">
        <v>323.45</v>
      </c>
      <c r="I1132" t="s">
        <v>426</v>
      </c>
      <c r="J1132" s="24" t="s">
        <v>34</v>
      </c>
      <c r="K1132" s="24" t="s">
        <v>43</v>
      </c>
      <c r="L1132" t="s">
        <v>4050</v>
      </c>
      <c r="M1132" s="17">
        <v>5</v>
      </c>
      <c r="N1132" t="s">
        <v>37</v>
      </c>
      <c r="O1132" s="24" t="s">
        <v>22</v>
      </c>
      <c r="P1132" s="19">
        <v>646.9</v>
      </c>
      <c r="Q1132" s="26" t="str">
        <f>IF(OR(P1132&lt;'Descriptive Statistics'!$H$17,P1132&gt;'Descriptive Statistics'!$H$18),"Potential Outlier","Within Range")</f>
        <v>Within Range</v>
      </c>
      <c r="R1132" s="26" t="str">
        <f>IF(OR(G1132&lt;'Descriptive Statistics'!$I$17,G1132&gt;'Descriptive Statistics'!$I$18),"Potential Outlier","Within Range")</f>
        <v>Within Range</v>
      </c>
      <c r="S1132" s="26" t="str">
        <f>IF(OR(H1132&lt;'Descriptive Statistics'!$J$17,H1132&gt;'Descriptive Statistics'!$J$18),"Potential Outlier","Within Range")</f>
        <v>Within Range</v>
      </c>
    </row>
    <row r="1133" hidden="1" spans="1:19">
      <c r="A1133" t="s">
        <v>4051</v>
      </c>
      <c r="B1133" s="23">
        <v>45491</v>
      </c>
      <c r="C1133" s="23" t="str">
        <f t="shared" si="34"/>
        <v>Jul</v>
      </c>
      <c r="D1133" s="23" t="str">
        <f t="shared" si="35"/>
        <v>2024</v>
      </c>
      <c r="E1133" t="s">
        <v>4052</v>
      </c>
      <c r="F1133" s="24" t="s">
        <v>25</v>
      </c>
      <c r="G1133" s="17">
        <v>1</v>
      </c>
      <c r="H1133" s="19">
        <v>694.5</v>
      </c>
      <c r="I1133" t="s">
        <v>1125</v>
      </c>
      <c r="J1133" s="24" t="s">
        <v>34</v>
      </c>
      <c r="K1133" s="24" t="s">
        <v>89</v>
      </c>
      <c r="L1133" t="s">
        <v>4053</v>
      </c>
      <c r="M1133" s="17">
        <v>3</v>
      </c>
      <c r="N1133" t="s">
        <v>81</v>
      </c>
      <c r="O1133" s="24" t="s">
        <v>45</v>
      </c>
      <c r="P1133" s="19">
        <v>694.5</v>
      </c>
      <c r="Q1133" s="26" t="str">
        <f>IF(OR(P1133&lt;'Descriptive Statistics'!$H$17,P1133&gt;'Descriptive Statistics'!$H$18),"Potential Outlier","Within Range")</f>
        <v>Within Range</v>
      </c>
      <c r="R1133" s="26" t="str">
        <f>IF(OR(G1133&lt;'Descriptive Statistics'!$I$17,G1133&gt;'Descriptive Statistics'!$I$18),"Potential Outlier","Within Range")</f>
        <v>Within Range</v>
      </c>
      <c r="S1133" s="26" t="str">
        <f>IF(OR(H1133&lt;'Descriptive Statistics'!$J$17,H1133&gt;'Descriptive Statistics'!$J$18),"Potential Outlier","Within Range")</f>
        <v>Within Range</v>
      </c>
    </row>
    <row r="1134" hidden="1" spans="1:19">
      <c r="A1134" t="s">
        <v>4054</v>
      </c>
      <c r="B1134" s="23">
        <v>45628</v>
      </c>
      <c r="C1134" s="23" t="str">
        <f t="shared" si="34"/>
        <v>Dec</v>
      </c>
      <c r="D1134" s="23" t="str">
        <f t="shared" si="35"/>
        <v>2024</v>
      </c>
      <c r="E1134" t="s">
        <v>4055</v>
      </c>
      <c r="F1134" s="24" t="s">
        <v>41</v>
      </c>
      <c r="G1134" s="17">
        <v>2</v>
      </c>
      <c r="H1134" s="19">
        <v>337.32</v>
      </c>
      <c r="I1134" t="s">
        <v>929</v>
      </c>
      <c r="J1134" s="24" t="s">
        <v>34</v>
      </c>
      <c r="K1134" s="24" t="s">
        <v>35</v>
      </c>
      <c r="L1134" t="s">
        <v>4056</v>
      </c>
      <c r="M1134" s="17">
        <v>4</v>
      </c>
      <c r="N1134" t="s">
        <v>21</v>
      </c>
      <c r="O1134" s="24" t="s">
        <v>38</v>
      </c>
      <c r="P1134" s="19">
        <v>674.64</v>
      </c>
      <c r="Q1134" s="26" t="str">
        <f>IF(OR(P1134&lt;'Descriptive Statistics'!$H$17,P1134&gt;'Descriptive Statistics'!$H$18),"Potential Outlier","Within Range")</f>
        <v>Within Range</v>
      </c>
      <c r="R1134" s="26" t="str">
        <f>IF(OR(G1134&lt;'Descriptive Statistics'!$I$17,G1134&gt;'Descriptive Statistics'!$I$18),"Potential Outlier","Within Range")</f>
        <v>Within Range</v>
      </c>
      <c r="S1134" s="26" t="str">
        <f>IF(OR(H1134&lt;'Descriptive Statistics'!$J$17,H1134&gt;'Descriptive Statistics'!$J$18),"Potential Outlier","Within Range")</f>
        <v>Within Range</v>
      </c>
    </row>
    <row r="1135" hidden="1" spans="1:19">
      <c r="A1135" t="s">
        <v>4057</v>
      </c>
      <c r="B1135" s="23">
        <v>45391</v>
      </c>
      <c r="C1135" s="23" t="str">
        <f t="shared" si="34"/>
        <v>Apr</v>
      </c>
      <c r="D1135" s="23" t="str">
        <f t="shared" si="35"/>
        <v>2024</v>
      </c>
      <c r="E1135" t="s">
        <v>4058</v>
      </c>
      <c r="F1135" s="24" t="s">
        <v>48</v>
      </c>
      <c r="G1135" s="17">
        <v>2</v>
      </c>
      <c r="H1135" s="19">
        <v>467.91</v>
      </c>
      <c r="I1135" t="s">
        <v>873</v>
      </c>
      <c r="J1135" s="24" t="s">
        <v>60</v>
      </c>
      <c r="K1135" s="24" t="s">
        <v>43</v>
      </c>
      <c r="L1135" t="s">
        <v>4059</v>
      </c>
      <c r="M1135" s="17">
        <v>5</v>
      </c>
      <c r="N1135" t="s">
        <v>81</v>
      </c>
      <c r="O1135" s="24" t="s">
        <v>45</v>
      </c>
      <c r="P1135" s="19">
        <v>935.82</v>
      </c>
      <c r="Q1135" s="26" t="str">
        <f>IF(OR(P1135&lt;'Descriptive Statistics'!$H$17,P1135&gt;'Descriptive Statistics'!$H$18),"Potential Outlier","Within Range")</f>
        <v>Within Range</v>
      </c>
      <c r="R1135" s="26" t="str">
        <f>IF(OR(G1135&lt;'Descriptive Statistics'!$I$17,G1135&gt;'Descriptive Statistics'!$I$18),"Potential Outlier","Within Range")</f>
        <v>Within Range</v>
      </c>
      <c r="S1135" s="26" t="str">
        <f>IF(OR(H1135&lt;'Descriptive Statistics'!$J$17,H1135&gt;'Descriptive Statistics'!$J$18),"Potential Outlier","Within Range")</f>
        <v>Within Range</v>
      </c>
    </row>
    <row r="1136" hidden="1" spans="1:19">
      <c r="A1136" t="s">
        <v>4060</v>
      </c>
      <c r="B1136" s="23">
        <v>45451</v>
      </c>
      <c r="C1136" s="23" t="str">
        <f t="shared" si="34"/>
        <v>Jun</v>
      </c>
      <c r="D1136" s="23" t="str">
        <f t="shared" si="35"/>
        <v>2024</v>
      </c>
      <c r="E1136" t="s">
        <v>4061</v>
      </c>
      <c r="F1136" s="24" t="s">
        <v>73</v>
      </c>
      <c r="G1136" s="17">
        <v>4</v>
      </c>
      <c r="H1136" s="19">
        <v>38.28</v>
      </c>
      <c r="I1136" t="s">
        <v>4062</v>
      </c>
      <c r="J1136" s="24" t="s">
        <v>18</v>
      </c>
      <c r="K1136" s="24" t="s">
        <v>35</v>
      </c>
      <c r="L1136" t="s">
        <v>4063</v>
      </c>
      <c r="M1136" s="17">
        <v>4</v>
      </c>
      <c r="N1136" t="s">
        <v>81</v>
      </c>
      <c r="O1136" s="24" t="s">
        <v>45</v>
      </c>
      <c r="P1136" s="19">
        <v>153.12</v>
      </c>
      <c r="Q1136" s="26" t="str">
        <f>IF(OR(P1136&lt;'Descriptive Statistics'!$H$17,P1136&gt;'Descriptive Statistics'!$H$18),"Potential Outlier","Within Range")</f>
        <v>Within Range</v>
      </c>
      <c r="R1136" s="26" t="str">
        <f>IF(OR(G1136&lt;'Descriptive Statistics'!$I$17,G1136&gt;'Descriptive Statistics'!$I$18),"Potential Outlier","Within Range")</f>
        <v>Within Range</v>
      </c>
      <c r="S1136" s="26" t="str">
        <f>IF(OR(H1136&lt;'Descriptive Statistics'!$J$17,H1136&gt;'Descriptive Statistics'!$J$18),"Potential Outlier","Within Range")</f>
        <v>Within Range</v>
      </c>
    </row>
    <row r="1137" hidden="1" spans="1:19">
      <c r="A1137" t="s">
        <v>4064</v>
      </c>
      <c r="B1137" s="23">
        <v>45288</v>
      </c>
      <c r="C1137" s="23" t="str">
        <f t="shared" si="34"/>
        <v>Dec</v>
      </c>
      <c r="D1137" s="23" t="str">
        <f t="shared" si="35"/>
        <v>2023</v>
      </c>
      <c r="E1137" t="s">
        <v>4065</v>
      </c>
      <c r="F1137" s="24" t="s">
        <v>48</v>
      </c>
      <c r="G1137" s="17">
        <v>2</v>
      </c>
      <c r="H1137" s="19">
        <v>73.41</v>
      </c>
      <c r="I1137" t="s">
        <v>952</v>
      </c>
      <c r="J1137" s="24" t="s">
        <v>27</v>
      </c>
      <c r="K1137" s="24" t="s">
        <v>19</v>
      </c>
      <c r="L1137" t="s">
        <v>4066</v>
      </c>
      <c r="M1137" s="17">
        <v>2</v>
      </c>
      <c r="N1137" t="s">
        <v>21</v>
      </c>
      <c r="O1137" s="24" t="s">
        <v>76</v>
      </c>
      <c r="P1137" s="19">
        <v>146.82</v>
      </c>
      <c r="Q1137" s="26" t="str">
        <f>IF(OR(P1137&lt;'Descriptive Statistics'!$H$17,P1137&gt;'Descriptive Statistics'!$H$18),"Potential Outlier","Within Range")</f>
        <v>Within Range</v>
      </c>
      <c r="R1137" s="26" t="str">
        <f>IF(OR(G1137&lt;'Descriptive Statistics'!$I$17,G1137&gt;'Descriptive Statistics'!$I$18),"Potential Outlier","Within Range")</f>
        <v>Within Range</v>
      </c>
      <c r="S1137" s="26" t="str">
        <f>IF(OR(H1137&lt;'Descriptive Statistics'!$J$17,H1137&gt;'Descriptive Statistics'!$J$18),"Potential Outlier","Within Range")</f>
        <v>Within Range</v>
      </c>
    </row>
    <row r="1138" hidden="1" spans="1:19">
      <c r="A1138" t="s">
        <v>4067</v>
      </c>
      <c r="B1138" s="23">
        <v>45193</v>
      </c>
      <c r="C1138" s="23" t="str">
        <f t="shared" si="34"/>
        <v>Sep</v>
      </c>
      <c r="D1138" s="23" t="str">
        <f t="shared" si="35"/>
        <v>2023</v>
      </c>
      <c r="E1138" t="s">
        <v>4068</v>
      </c>
      <c r="F1138" s="24" t="s">
        <v>32</v>
      </c>
      <c r="G1138" s="17">
        <v>3</v>
      </c>
      <c r="H1138" s="19">
        <v>668.33</v>
      </c>
      <c r="I1138" t="s">
        <v>2620</v>
      </c>
      <c r="J1138" s="24" t="s">
        <v>60</v>
      </c>
      <c r="K1138" s="24" t="s">
        <v>89</v>
      </c>
      <c r="L1138" t="s">
        <v>4069</v>
      </c>
      <c r="M1138" s="17">
        <v>4</v>
      </c>
      <c r="N1138" t="s">
        <v>81</v>
      </c>
      <c r="O1138" s="24" t="s">
        <v>45</v>
      </c>
      <c r="P1138" s="19">
        <v>2004.99</v>
      </c>
      <c r="Q1138" s="26" t="str">
        <f>IF(OR(P1138&lt;'Descriptive Statistics'!$H$17,P1138&gt;'Descriptive Statistics'!$H$18),"Potential Outlier","Within Range")</f>
        <v>Within Range</v>
      </c>
      <c r="R1138" s="26" t="str">
        <f>IF(OR(G1138&lt;'Descriptive Statistics'!$I$17,G1138&gt;'Descriptive Statistics'!$I$18),"Potential Outlier","Within Range")</f>
        <v>Within Range</v>
      </c>
      <c r="S1138" s="26" t="str">
        <f>IF(OR(H1138&lt;'Descriptive Statistics'!$J$17,H1138&gt;'Descriptive Statistics'!$J$18),"Potential Outlier","Within Range")</f>
        <v>Within Range</v>
      </c>
    </row>
    <row r="1139" hidden="1" spans="1:19">
      <c r="A1139" t="s">
        <v>4070</v>
      </c>
      <c r="B1139" s="23">
        <v>45502</v>
      </c>
      <c r="C1139" s="23" t="str">
        <f t="shared" si="34"/>
        <v>Jul</v>
      </c>
      <c r="D1139" s="23" t="str">
        <f t="shared" si="35"/>
        <v>2024</v>
      </c>
      <c r="E1139" t="s">
        <v>4071</v>
      </c>
      <c r="F1139" s="24" t="s">
        <v>48</v>
      </c>
      <c r="G1139" s="17">
        <v>4</v>
      </c>
      <c r="H1139" s="19">
        <v>410.21</v>
      </c>
      <c r="I1139" t="s">
        <v>4072</v>
      </c>
      <c r="J1139" s="24" t="s">
        <v>65</v>
      </c>
      <c r="K1139" s="24" t="s">
        <v>89</v>
      </c>
      <c r="L1139" t="s">
        <v>4073</v>
      </c>
      <c r="M1139" s="17">
        <v>5</v>
      </c>
      <c r="N1139" t="s">
        <v>81</v>
      </c>
      <c r="O1139" s="24" t="s">
        <v>22</v>
      </c>
      <c r="P1139" s="19">
        <v>1640.84</v>
      </c>
      <c r="Q1139" s="26" t="str">
        <f>IF(OR(P1139&lt;'Descriptive Statistics'!$H$17,P1139&gt;'Descriptive Statistics'!$H$18),"Potential Outlier","Within Range")</f>
        <v>Within Range</v>
      </c>
      <c r="R1139" s="26" t="str">
        <f>IF(OR(G1139&lt;'Descriptive Statistics'!$I$17,G1139&gt;'Descriptive Statistics'!$I$18),"Potential Outlier","Within Range")</f>
        <v>Within Range</v>
      </c>
      <c r="S1139" s="26" t="str">
        <f>IF(OR(H1139&lt;'Descriptive Statistics'!$J$17,H1139&gt;'Descriptive Statistics'!$J$18),"Potential Outlier","Within Range")</f>
        <v>Within Range</v>
      </c>
    </row>
    <row r="1140" hidden="1" spans="1:19">
      <c r="A1140" t="s">
        <v>4074</v>
      </c>
      <c r="B1140" s="23">
        <v>45278</v>
      </c>
      <c r="C1140" s="23" t="str">
        <f t="shared" si="34"/>
        <v>Dec</v>
      </c>
      <c r="D1140" s="23" t="str">
        <f t="shared" si="35"/>
        <v>2023</v>
      </c>
      <c r="E1140" t="s">
        <v>4075</v>
      </c>
      <c r="F1140" s="24" t="s">
        <v>73</v>
      </c>
      <c r="G1140" s="17">
        <v>4</v>
      </c>
      <c r="H1140" s="19">
        <v>294.41</v>
      </c>
      <c r="I1140" t="s">
        <v>2486</v>
      </c>
      <c r="J1140" s="24" t="s">
        <v>18</v>
      </c>
      <c r="K1140" s="24" t="s">
        <v>89</v>
      </c>
      <c r="L1140" t="s">
        <v>4076</v>
      </c>
      <c r="M1140" s="17">
        <v>4</v>
      </c>
      <c r="N1140" t="s">
        <v>4295</v>
      </c>
      <c r="O1140" s="24" t="s">
        <v>22</v>
      </c>
      <c r="P1140" s="19">
        <v>1177.64</v>
      </c>
      <c r="Q1140" s="26" t="str">
        <f>IF(OR(P1140&lt;'Descriptive Statistics'!$H$17,P1140&gt;'Descriptive Statistics'!$H$18),"Potential Outlier","Within Range")</f>
        <v>Within Range</v>
      </c>
      <c r="R1140" s="26" t="str">
        <f>IF(OR(G1140&lt;'Descriptive Statistics'!$I$17,G1140&gt;'Descriptive Statistics'!$I$18),"Potential Outlier","Within Range")</f>
        <v>Within Range</v>
      </c>
      <c r="S1140" s="26" t="str">
        <f>IF(OR(H1140&lt;'Descriptive Statistics'!$J$17,H1140&gt;'Descriptive Statistics'!$J$18),"Potential Outlier","Within Range")</f>
        <v>Within Range</v>
      </c>
    </row>
    <row r="1141" hidden="1" spans="1:19">
      <c r="A1141" t="s">
        <v>4077</v>
      </c>
      <c r="B1141" s="23">
        <v>45717</v>
      </c>
      <c r="C1141" s="23" t="str">
        <f t="shared" si="34"/>
        <v>Mar</v>
      </c>
      <c r="D1141" s="23" t="str">
        <f t="shared" si="35"/>
        <v>2025</v>
      </c>
      <c r="E1141" t="s">
        <v>3789</v>
      </c>
      <c r="F1141" s="24" t="s">
        <v>41</v>
      </c>
      <c r="G1141" s="17">
        <v>3</v>
      </c>
      <c r="H1141" s="19">
        <v>501.82</v>
      </c>
      <c r="I1141" t="s">
        <v>153</v>
      </c>
      <c r="J1141" s="24" t="s">
        <v>60</v>
      </c>
      <c r="K1141" s="24" t="s">
        <v>35</v>
      </c>
      <c r="L1141" t="s">
        <v>4078</v>
      </c>
      <c r="M1141" s="17">
        <v>4</v>
      </c>
      <c r="N1141" t="s">
        <v>37</v>
      </c>
      <c r="O1141" s="24" t="s">
        <v>38</v>
      </c>
      <c r="P1141" s="19">
        <v>1505.46</v>
      </c>
      <c r="Q1141" s="26" t="str">
        <f>IF(OR(P1141&lt;'Descriptive Statistics'!$H$17,P1141&gt;'Descriptive Statistics'!$H$18),"Potential Outlier","Within Range")</f>
        <v>Within Range</v>
      </c>
      <c r="R1141" s="26" t="str">
        <f>IF(OR(G1141&lt;'Descriptive Statistics'!$I$17,G1141&gt;'Descriptive Statistics'!$I$18),"Potential Outlier","Within Range")</f>
        <v>Within Range</v>
      </c>
      <c r="S1141" s="26" t="str">
        <f>IF(OR(H1141&lt;'Descriptive Statistics'!$J$17,H1141&gt;'Descriptive Statistics'!$J$18),"Potential Outlier","Within Range")</f>
        <v>Within Range</v>
      </c>
    </row>
    <row r="1142" hidden="1" spans="1:19">
      <c r="A1142" t="s">
        <v>4079</v>
      </c>
      <c r="B1142" s="23">
        <v>45467</v>
      </c>
      <c r="C1142" s="23" t="str">
        <f t="shared" si="34"/>
        <v>Jun</v>
      </c>
      <c r="D1142" s="23" t="str">
        <f t="shared" si="35"/>
        <v>2024</v>
      </c>
      <c r="E1142" t="s">
        <v>4080</v>
      </c>
      <c r="F1142" s="24" t="s">
        <v>48</v>
      </c>
      <c r="G1142" s="17">
        <v>2</v>
      </c>
      <c r="H1142" s="19">
        <v>552.83</v>
      </c>
      <c r="I1142" t="s">
        <v>69</v>
      </c>
      <c r="J1142" s="24" t="s">
        <v>34</v>
      </c>
      <c r="K1142" s="24" t="s">
        <v>35</v>
      </c>
      <c r="L1142" t="s">
        <v>4081</v>
      </c>
      <c r="M1142" s="17">
        <v>3</v>
      </c>
      <c r="N1142" t="s">
        <v>4295</v>
      </c>
      <c r="O1142" s="24" t="s">
        <v>29</v>
      </c>
      <c r="P1142" s="19">
        <v>1105.66</v>
      </c>
      <c r="Q1142" s="26" t="str">
        <f>IF(OR(P1142&lt;'Descriptive Statistics'!$H$17,P1142&gt;'Descriptive Statistics'!$H$18),"Potential Outlier","Within Range")</f>
        <v>Within Range</v>
      </c>
      <c r="R1142" s="26" t="str">
        <f>IF(OR(G1142&lt;'Descriptive Statistics'!$I$17,G1142&gt;'Descriptive Statistics'!$I$18),"Potential Outlier","Within Range")</f>
        <v>Within Range</v>
      </c>
      <c r="S1142" s="26" t="str">
        <f>IF(OR(H1142&lt;'Descriptive Statistics'!$J$17,H1142&gt;'Descriptive Statistics'!$J$18),"Potential Outlier","Within Range")</f>
        <v>Within Range</v>
      </c>
    </row>
    <row r="1143" hidden="1" spans="1:19">
      <c r="A1143" t="s">
        <v>4082</v>
      </c>
      <c r="B1143" s="23">
        <v>45704</v>
      </c>
      <c r="C1143" s="23" t="str">
        <f t="shared" si="34"/>
        <v>Feb</v>
      </c>
      <c r="D1143" s="23" t="str">
        <f t="shared" si="35"/>
        <v>2025</v>
      </c>
      <c r="E1143" t="s">
        <v>4083</v>
      </c>
      <c r="F1143" s="24" t="s">
        <v>41</v>
      </c>
      <c r="G1143" s="17">
        <v>3</v>
      </c>
      <c r="H1143" s="19">
        <v>498.66</v>
      </c>
      <c r="I1143" t="s">
        <v>109</v>
      </c>
      <c r="J1143" s="24" t="s">
        <v>65</v>
      </c>
      <c r="K1143" s="24" t="s">
        <v>35</v>
      </c>
      <c r="L1143" t="s">
        <v>4084</v>
      </c>
      <c r="M1143" s="17">
        <v>6</v>
      </c>
      <c r="N1143" t="s">
        <v>4295</v>
      </c>
      <c r="O1143" s="24" t="s">
        <v>38</v>
      </c>
      <c r="P1143" s="19">
        <v>1495.98</v>
      </c>
      <c r="Q1143" s="26" t="str">
        <f>IF(OR(P1143&lt;'Descriptive Statistics'!$H$17,P1143&gt;'Descriptive Statistics'!$H$18),"Potential Outlier","Within Range")</f>
        <v>Within Range</v>
      </c>
      <c r="R1143" s="26" t="str">
        <f>IF(OR(G1143&lt;'Descriptive Statistics'!$I$17,G1143&gt;'Descriptive Statistics'!$I$18),"Potential Outlier","Within Range")</f>
        <v>Within Range</v>
      </c>
      <c r="S1143" s="26" t="str">
        <f>IF(OR(H1143&lt;'Descriptive Statistics'!$J$17,H1143&gt;'Descriptive Statistics'!$J$18),"Potential Outlier","Within Range")</f>
        <v>Within Range</v>
      </c>
    </row>
    <row r="1144" hidden="1" spans="1:19">
      <c r="A1144" t="s">
        <v>4085</v>
      </c>
      <c r="B1144" s="23">
        <v>45527</v>
      </c>
      <c r="C1144" s="23" t="str">
        <f t="shared" si="34"/>
        <v>Aug</v>
      </c>
      <c r="D1144" s="23" t="str">
        <f t="shared" si="35"/>
        <v>2024</v>
      </c>
      <c r="E1144" t="s">
        <v>4086</v>
      </c>
      <c r="F1144" s="24" t="s">
        <v>25</v>
      </c>
      <c r="G1144" s="17">
        <v>4</v>
      </c>
      <c r="H1144" s="19">
        <v>695.1</v>
      </c>
      <c r="I1144" t="s">
        <v>4087</v>
      </c>
      <c r="J1144" s="24" t="s">
        <v>18</v>
      </c>
      <c r="K1144" s="24" t="s">
        <v>43</v>
      </c>
      <c r="L1144" t="s">
        <v>4088</v>
      </c>
      <c r="M1144" s="17">
        <v>8</v>
      </c>
      <c r="N1144" t="s">
        <v>4295</v>
      </c>
      <c r="O1144" s="24" t="s">
        <v>38</v>
      </c>
      <c r="P1144" s="19">
        <v>2780.4</v>
      </c>
      <c r="Q1144" s="26" t="str">
        <f>IF(OR(P1144&lt;'Descriptive Statistics'!$H$17,P1144&gt;'Descriptive Statistics'!$H$18),"Potential Outlier","Within Range")</f>
        <v>Within Range</v>
      </c>
      <c r="R1144" s="26" t="str">
        <f>IF(OR(G1144&lt;'Descriptive Statistics'!$I$17,G1144&gt;'Descriptive Statistics'!$I$18),"Potential Outlier","Within Range")</f>
        <v>Within Range</v>
      </c>
      <c r="S1144" s="26" t="str">
        <f>IF(OR(H1144&lt;'Descriptive Statistics'!$J$17,H1144&gt;'Descriptive Statistics'!$J$18),"Potential Outlier","Within Range")</f>
        <v>Within Range</v>
      </c>
    </row>
    <row r="1145" hidden="1" spans="1:19">
      <c r="A1145" t="s">
        <v>4089</v>
      </c>
      <c r="B1145" s="23">
        <v>45019</v>
      </c>
      <c r="C1145" s="23" t="str">
        <f t="shared" si="34"/>
        <v>Apr</v>
      </c>
      <c r="D1145" s="23" t="str">
        <f t="shared" si="35"/>
        <v>2023</v>
      </c>
      <c r="E1145" t="s">
        <v>4090</v>
      </c>
      <c r="F1145" s="24" t="s">
        <v>41</v>
      </c>
      <c r="G1145" s="17">
        <v>1</v>
      </c>
      <c r="H1145" s="19">
        <v>381.61</v>
      </c>
      <c r="I1145" t="s">
        <v>4091</v>
      </c>
      <c r="J1145" s="24" t="s">
        <v>18</v>
      </c>
      <c r="K1145" s="24" t="s">
        <v>89</v>
      </c>
      <c r="L1145" t="s">
        <v>4092</v>
      </c>
      <c r="M1145" s="17">
        <v>5</v>
      </c>
      <c r="N1145" t="s">
        <v>4295</v>
      </c>
      <c r="O1145" s="24" t="s">
        <v>38</v>
      </c>
      <c r="P1145" s="19">
        <v>381.61</v>
      </c>
      <c r="Q1145" s="26" t="str">
        <f>IF(OR(P1145&lt;'Descriptive Statistics'!$H$17,P1145&gt;'Descriptive Statistics'!$H$18),"Potential Outlier","Within Range")</f>
        <v>Within Range</v>
      </c>
      <c r="R1145" s="26" t="str">
        <f>IF(OR(G1145&lt;'Descriptive Statistics'!$I$17,G1145&gt;'Descriptive Statistics'!$I$18),"Potential Outlier","Within Range")</f>
        <v>Within Range</v>
      </c>
      <c r="S1145" s="26" t="str">
        <f>IF(OR(H1145&lt;'Descriptive Statistics'!$J$17,H1145&gt;'Descriptive Statistics'!$J$18),"Potential Outlier","Within Range")</f>
        <v>Within Range</v>
      </c>
    </row>
    <row r="1146" hidden="1" spans="1:19">
      <c r="A1146" t="s">
        <v>4093</v>
      </c>
      <c r="B1146" s="23">
        <v>44973</v>
      </c>
      <c r="C1146" s="23" t="str">
        <f t="shared" si="34"/>
        <v>Feb</v>
      </c>
      <c r="D1146" s="23" t="str">
        <f t="shared" si="35"/>
        <v>2023</v>
      </c>
      <c r="E1146" t="s">
        <v>4094</v>
      </c>
      <c r="F1146" s="24" t="s">
        <v>73</v>
      </c>
      <c r="G1146" s="17">
        <v>5</v>
      </c>
      <c r="H1146" s="19">
        <v>507.94</v>
      </c>
      <c r="I1146" t="s">
        <v>4095</v>
      </c>
      <c r="J1146" s="24" t="s">
        <v>27</v>
      </c>
      <c r="K1146" s="24" t="s">
        <v>35</v>
      </c>
      <c r="L1146" t="s">
        <v>4096</v>
      </c>
      <c r="M1146" s="17">
        <v>9</v>
      </c>
      <c r="N1146" t="s">
        <v>4295</v>
      </c>
      <c r="O1146" s="24" t="s">
        <v>45</v>
      </c>
      <c r="P1146" s="19">
        <v>2539.7</v>
      </c>
      <c r="Q1146" s="26" t="str">
        <f>IF(OR(P1146&lt;'Descriptive Statistics'!$H$17,P1146&gt;'Descriptive Statistics'!$H$18),"Potential Outlier","Within Range")</f>
        <v>Within Range</v>
      </c>
      <c r="R1146" s="26" t="str">
        <f>IF(OR(G1146&lt;'Descriptive Statistics'!$I$17,G1146&gt;'Descriptive Statistics'!$I$18),"Potential Outlier","Within Range")</f>
        <v>Within Range</v>
      </c>
      <c r="S1146" s="26" t="str">
        <f>IF(OR(H1146&lt;'Descriptive Statistics'!$J$17,H1146&gt;'Descriptive Statistics'!$J$18),"Potential Outlier","Within Range")</f>
        <v>Within Range</v>
      </c>
    </row>
    <row r="1147" hidden="1" spans="1:19">
      <c r="A1147" t="s">
        <v>4097</v>
      </c>
      <c r="B1147" s="23">
        <v>45789</v>
      </c>
      <c r="C1147" s="23" t="str">
        <f t="shared" si="34"/>
        <v>May</v>
      </c>
      <c r="D1147" s="23" t="str">
        <f t="shared" si="35"/>
        <v>2025</v>
      </c>
      <c r="E1147" t="s">
        <v>4098</v>
      </c>
      <c r="F1147" s="24" t="s">
        <v>73</v>
      </c>
      <c r="G1147" s="17">
        <v>3</v>
      </c>
      <c r="H1147" s="19">
        <v>571.53</v>
      </c>
      <c r="I1147" t="s">
        <v>1015</v>
      </c>
      <c r="J1147" s="24" t="s">
        <v>18</v>
      </c>
      <c r="K1147" s="24" t="s">
        <v>50</v>
      </c>
      <c r="L1147" t="s">
        <v>4099</v>
      </c>
      <c r="M1147" s="17">
        <v>6</v>
      </c>
      <c r="N1147" t="s">
        <v>37</v>
      </c>
      <c r="O1147" s="24" t="s">
        <v>45</v>
      </c>
      <c r="P1147" s="19">
        <v>1714.59</v>
      </c>
      <c r="Q1147" s="26" t="str">
        <f>IF(OR(P1147&lt;'Descriptive Statistics'!$H$17,P1147&gt;'Descriptive Statistics'!$H$18),"Potential Outlier","Within Range")</f>
        <v>Within Range</v>
      </c>
      <c r="R1147" s="26" t="str">
        <f>IF(OR(G1147&lt;'Descriptive Statistics'!$I$17,G1147&gt;'Descriptive Statistics'!$I$18),"Potential Outlier","Within Range")</f>
        <v>Within Range</v>
      </c>
      <c r="S1147" s="26" t="str">
        <f>IF(OR(H1147&lt;'Descriptive Statistics'!$J$17,H1147&gt;'Descriptive Statistics'!$J$18),"Potential Outlier","Within Range")</f>
        <v>Within Range</v>
      </c>
    </row>
    <row r="1148" hidden="1" spans="1:19">
      <c r="A1148" t="s">
        <v>4100</v>
      </c>
      <c r="B1148" s="23">
        <v>45568</v>
      </c>
      <c r="C1148" s="23" t="str">
        <f t="shared" si="34"/>
        <v>Oct</v>
      </c>
      <c r="D1148" s="23" t="str">
        <f t="shared" si="35"/>
        <v>2024</v>
      </c>
      <c r="E1148" t="s">
        <v>4101</v>
      </c>
      <c r="F1148" s="24" t="s">
        <v>16</v>
      </c>
      <c r="G1148" s="17">
        <v>5</v>
      </c>
      <c r="H1148" s="19">
        <v>421.44</v>
      </c>
      <c r="I1148" t="s">
        <v>1739</v>
      </c>
      <c r="J1148" s="24" t="s">
        <v>65</v>
      </c>
      <c r="K1148" s="24" t="s">
        <v>89</v>
      </c>
      <c r="L1148" t="s">
        <v>4102</v>
      </c>
      <c r="M1148" s="17">
        <v>5</v>
      </c>
      <c r="N1148" t="s">
        <v>21</v>
      </c>
      <c r="O1148" s="24" t="s">
        <v>22</v>
      </c>
      <c r="P1148" s="19">
        <v>2107.2</v>
      </c>
      <c r="Q1148" s="26" t="str">
        <f>IF(OR(P1148&lt;'Descriptive Statistics'!$H$17,P1148&gt;'Descriptive Statistics'!$H$18),"Potential Outlier","Within Range")</f>
        <v>Within Range</v>
      </c>
      <c r="R1148" s="26" t="str">
        <f>IF(OR(G1148&lt;'Descriptive Statistics'!$I$17,G1148&gt;'Descriptive Statistics'!$I$18),"Potential Outlier","Within Range")</f>
        <v>Within Range</v>
      </c>
      <c r="S1148" s="26" t="str">
        <f>IF(OR(H1148&lt;'Descriptive Statistics'!$J$17,H1148&gt;'Descriptive Statistics'!$J$18),"Potential Outlier","Within Range")</f>
        <v>Within Range</v>
      </c>
    </row>
    <row r="1149" hidden="1" spans="1:19">
      <c r="A1149" t="s">
        <v>4103</v>
      </c>
      <c r="B1149" s="23">
        <v>45659</v>
      </c>
      <c r="C1149" s="23" t="str">
        <f t="shared" si="34"/>
        <v>Jan</v>
      </c>
      <c r="D1149" s="23" t="str">
        <f t="shared" si="35"/>
        <v>2025</v>
      </c>
      <c r="E1149" t="s">
        <v>4104</v>
      </c>
      <c r="F1149" s="24" t="s">
        <v>41</v>
      </c>
      <c r="G1149" s="17">
        <v>2</v>
      </c>
      <c r="H1149" s="19">
        <v>588.3</v>
      </c>
      <c r="I1149" t="s">
        <v>4105</v>
      </c>
      <c r="J1149" s="24" t="s">
        <v>27</v>
      </c>
      <c r="K1149" s="24" t="s">
        <v>89</v>
      </c>
      <c r="L1149" t="s">
        <v>4106</v>
      </c>
      <c r="M1149" s="17">
        <v>2</v>
      </c>
      <c r="N1149" t="s">
        <v>37</v>
      </c>
      <c r="O1149" s="24" t="s">
        <v>38</v>
      </c>
      <c r="P1149" s="19">
        <v>1176.6</v>
      </c>
      <c r="Q1149" s="26" t="str">
        <f>IF(OR(P1149&lt;'Descriptive Statistics'!$H$17,P1149&gt;'Descriptive Statistics'!$H$18),"Potential Outlier","Within Range")</f>
        <v>Within Range</v>
      </c>
      <c r="R1149" s="26" t="str">
        <f>IF(OR(G1149&lt;'Descriptive Statistics'!$I$17,G1149&gt;'Descriptive Statistics'!$I$18),"Potential Outlier","Within Range")</f>
        <v>Within Range</v>
      </c>
      <c r="S1149" s="26" t="str">
        <f>IF(OR(H1149&lt;'Descriptive Statistics'!$J$17,H1149&gt;'Descriptive Statistics'!$J$18),"Potential Outlier","Within Range")</f>
        <v>Within Range</v>
      </c>
    </row>
    <row r="1150" hidden="1" spans="1:19">
      <c r="A1150" t="s">
        <v>4107</v>
      </c>
      <c r="B1150" s="23">
        <v>45468</v>
      </c>
      <c r="C1150" s="23" t="str">
        <f t="shared" si="34"/>
        <v>Jun</v>
      </c>
      <c r="D1150" s="23" t="str">
        <f t="shared" si="35"/>
        <v>2024</v>
      </c>
      <c r="E1150" t="s">
        <v>4108</v>
      </c>
      <c r="F1150" s="24" t="s">
        <v>25</v>
      </c>
      <c r="G1150" s="17">
        <v>1</v>
      </c>
      <c r="H1150" s="19">
        <v>355.15</v>
      </c>
      <c r="I1150" t="s">
        <v>4109</v>
      </c>
      <c r="J1150" s="24" t="s">
        <v>65</v>
      </c>
      <c r="K1150" s="24" t="s">
        <v>43</v>
      </c>
      <c r="L1150" t="s">
        <v>4110</v>
      </c>
      <c r="M1150" s="17">
        <v>2</v>
      </c>
      <c r="N1150" t="s">
        <v>21</v>
      </c>
      <c r="O1150" s="24" t="s">
        <v>38</v>
      </c>
      <c r="P1150" s="19">
        <v>355.15</v>
      </c>
      <c r="Q1150" s="26" t="str">
        <f>IF(OR(P1150&lt;'Descriptive Statistics'!$H$17,P1150&gt;'Descriptive Statistics'!$H$18),"Potential Outlier","Within Range")</f>
        <v>Within Range</v>
      </c>
      <c r="R1150" s="26" t="str">
        <f>IF(OR(G1150&lt;'Descriptive Statistics'!$I$17,G1150&gt;'Descriptive Statistics'!$I$18),"Potential Outlier","Within Range")</f>
        <v>Within Range</v>
      </c>
      <c r="S1150" s="26" t="str">
        <f>IF(OR(H1150&lt;'Descriptive Statistics'!$J$17,H1150&gt;'Descriptive Statistics'!$J$18),"Potential Outlier","Within Range")</f>
        <v>Within Range</v>
      </c>
    </row>
    <row r="1151" hidden="1" spans="1:19">
      <c r="A1151" t="s">
        <v>4111</v>
      </c>
      <c r="B1151" s="23">
        <v>45498</v>
      </c>
      <c r="C1151" s="23" t="str">
        <f t="shared" si="34"/>
        <v>Jul</v>
      </c>
      <c r="D1151" s="23" t="str">
        <f t="shared" si="35"/>
        <v>2024</v>
      </c>
      <c r="E1151" t="s">
        <v>4112</v>
      </c>
      <c r="F1151" s="24" t="s">
        <v>41</v>
      </c>
      <c r="G1151" s="17">
        <v>2</v>
      </c>
      <c r="H1151" s="19">
        <v>695.29</v>
      </c>
      <c r="I1151" t="s">
        <v>4113</v>
      </c>
      <c r="J1151" s="24" t="s">
        <v>34</v>
      </c>
      <c r="K1151" s="24" t="s">
        <v>89</v>
      </c>
      <c r="L1151" t="s">
        <v>4114</v>
      </c>
      <c r="M1151" s="17">
        <v>6</v>
      </c>
      <c r="N1151" t="s">
        <v>37</v>
      </c>
      <c r="O1151" s="24" t="s">
        <v>22</v>
      </c>
      <c r="P1151" s="19">
        <v>1390.58</v>
      </c>
      <c r="Q1151" s="26" t="str">
        <f>IF(OR(P1151&lt;'Descriptive Statistics'!$H$17,P1151&gt;'Descriptive Statistics'!$H$18),"Potential Outlier","Within Range")</f>
        <v>Within Range</v>
      </c>
      <c r="R1151" s="26" t="str">
        <f>IF(OR(G1151&lt;'Descriptive Statistics'!$I$17,G1151&gt;'Descriptive Statistics'!$I$18),"Potential Outlier","Within Range")</f>
        <v>Within Range</v>
      </c>
      <c r="S1151" s="26" t="str">
        <f>IF(OR(H1151&lt;'Descriptive Statistics'!$J$17,H1151&gt;'Descriptive Statistics'!$J$18),"Potential Outlier","Within Range")</f>
        <v>Within Range</v>
      </c>
    </row>
    <row r="1152" hidden="1" spans="1:19">
      <c r="A1152" t="s">
        <v>4115</v>
      </c>
      <c r="B1152" s="23">
        <v>44977</v>
      </c>
      <c r="C1152" s="23" t="str">
        <f t="shared" si="34"/>
        <v>Feb</v>
      </c>
      <c r="D1152" s="23" t="str">
        <f t="shared" si="35"/>
        <v>2023</v>
      </c>
      <c r="E1152" t="s">
        <v>4116</v>
      </c>
      <c r="F1152" s="24" t="s">
        <v>73</v>
      </c>
      <c r="G1152" s="17">
        <v>4</v>
      </c>
      <c r="H1152" s="19">
        <v>302.65</v>
      </c>
      <c r="I1152" t="s">
        <v>1089</v>
      </c>
      <c r="J1152" s="24" t="s">
        <v>34</v>
      </c>
      <c r="K1152" s="24" t="s">
        <v>35</v>
      </c>
      <c r="L1152" t="s">
        <v>4117</v>
      </c>
      <c r="M1152" s="17">
        <v>8</v>
      </c>
      <c r="N1152" t="s">
        <v>21</v>
      </c>
      <c r="O1152" s="24" t="s">
        <v>29</v>
      </c>
      <c r="P1152" s="19">
        <v>1210.6</v>
      </c>
      <c r="Q1152" s="26" t="str">
        <f>IF(OR(P1152&lt;'Descriptive Statistics'!$H$17,P1152&gt;'Descriptive Statistics'!$H$18),"Potential Outlier","Within Range")</f>
        <v>Within Range</v>
      </c>
      <c r="R1152" s="26" t="str">
        <f>IF(OR(G1152&lt;'Descriptive Statistics'!$I$17,G1152&gt;'Descriptive Statistics'!$I$18),"Potential Outlier","Within Range")</f>
        <v>Within Range</v>
      </c>
      <c r="S1152" s="26" t="str">
        <f>IF(OR(H1152&lt;'Descriptive Statistics'!$J$17,H1152&gt;'Descriptive Statistics'!$J$18),"Potential Outlier","Within Range")</f>
        <v>Within Range</v>
      </c>
    </row>
    <row r="1153" hidden="1" spans="1:19">
      <c r="A1153" t="s">
        <v>4118</v>
      </c>
      <c r="B1153" s="23">
        <v>44955</v>
      </c>
      <c r="C1153" s="23" t="str">
        <f t="shared" si="34"/>
        <v>Jan</v>
      </c>
      <c r="D1153" s="23" t="str">
        <f t="shared" si="35"/>
        <v>2023</v>
      </c>
      <c r="E1153" t="s">
        <v>4119</v>
      </c>
      <c r="F1153" s="24" t="s">
        <v>41</v>
      </c>
      <c r="G1153" s="17">
        <v>2</v>
      </c>
      <c r="H1153" s="19">
        <v>608.04</v>
      </c>
      <c r="I1153" t="s">
        <v>4120</v>
      </c>
      <c r="J1153" s="24" t="s">
        <v>65</v>
      </c>
      <c r="K1153" s="24" t="s">
        <v>35</v>
      </c>
      <c r="L1153" t="s">
        <v>4121</v>
      </c>
      <c r="M1153" s="17">
        <v>4</v>
      </c>
      <c r="N1153" t="s">
        <v>4295</v>
      </c>
      <c r="O1153" s="24" t="s">
        <v>76</v>
      </c>
      <c r="P1153" s="19">
        <v>1216.08</v>
      </c>
      <c r="Q1153" s="26" t="str">
        <f>IF(OR(P1153&lt;'Descriptive Statistics'!$H$17,P1153&gt;'Descriptive Statistics'!$H$18),"Potential Outlier","Within Range")</f>
        <v>Within Range</v>
      </c>
      <c r="R1153" s="26" t="str">
        <f>IF(OR(G1153&lt;'Descriptive Statistics'!$I$17,G1153&gt;'Descriptive Statistics'!$I$18),"Potential Outlier","Within Range")</f>
        <v>Within Range</v>
      </c>
      <c r="S1153" s="26" t="str">
        <f>IF(OR(H1153&lt;'Descriptive Statistics'!$J$17,H1153&gt;'Descriptive Statistics'!$J$18),"Potential Outlier","Within Range")</f>
        <v>Within Range</v>
      </c>
    </row>
    <row r="1154" hidden="1" spans="1:19">
      <c r="A1154" t="s">
        <v>4122</v>
      </c>
      <c r="B1154" s="23">
        <v>45239</v>
      </c>
      <c r="C1154" s="23" t="str">
        <f t="shared" ref="C1154:C1201" si="36">TEXT(B1154,"MMM")</f>
        <v>Nov</v>
      </c>
      <c r="D1154" s="23" t="str">
        <f t="shared" ref="D1154:D1201" si="37">TEXT(B1154,"YYYY")</f>
        <v>2023</v>
      </c>
      <c r="E1154" t="s">
        <v>4123</v>
      </c>
      <c r="F1154" s="24" t="s">
        <v>32</v>
      </c>
      <c r="G1154" s="17">
        <v>2</v>
      </c>
      <c r="H1154" s="19">
        <v>344.18</v>
      </c>
      <c r="I1154" t="s">
        <v>426</v>
      </c>
      <c r="J1154" s="24" t="s">
        <v>34</v>
      </c>
      <c r="K1154" s="24" t="s">
        <v>19</v>
      </c>
      <c r="L1154" t="s">
        <v>4124</v>
      </c>
      <c r="M1154" s="17">
        <v>7</v>
      </c>
      <c r="N1154" t="s">
        <v>4295</v>
      </c>
      <c r="O1154" s="24" t="s">
        <v>29</v>
      </c>
      <c r="P1154" s="19">
        <v>688.36</v>
      </c>
      <c r="Q1154" s="26" t="str">
        <f>IF(OR(P1154&lt;'Descriptive Statistics'!$H$17,P1154&gt;'Descriptive Statistics'!$H$18),"Potential Outlier","Within Range")</f>
        <v>Within Range</v>
      </c>
      <c r="R1154" s="26" t="str">
        <f>IF(OR(G1154&lt;'Descriptive Statistics'!$I$17,G1154&gt;'Descriptive Statistics'!$I$18),"Potential Outlier","Within Range")</f>
        <v>Within Range</v>
      </c>
      <c r="S1154" s="26" t="str">
        <f>IF(OR(H1154&lt;'Descriptive Statistics'!$J$17,H1154&gt;'Descriptive Statistics'!$J$18),"Potential Outlier","Within Range")</f>
        <v>Within Range</v>
      </c>
    </row>
    <row r="1155" hidden="1" spans="1:19">
      <c r="A1155" t="s">
        <v>4125</v>
      </c>
      <c r="B1155" s="23">
        <v>45642</v>
      </c>
      <c r="C1155" s="23" t="str">
        <f t="shared" si="36"/>
        <v>Dec</v>
      </c>
      <c r="D1155" s="23" t="str">
        <f t="shared" si="37"/>
        <v>2024</v>
      </c>
      <c r="E1155" t="s">
        <v>4126</v>
      </c>
      <c r="F1155" s="24" t="s">
        <v>16</v>
      </c>
      <c r="G1155" s="17">
        <v>4</v>
      </c>
      <c r="H1155" s="19">
        <v>696.71</v>
      </c>
      <c r="I1155" t="s">
        <v>4127</v>
      </c>
      <c r="J1155" s="24" t="s">
        <v>18</v>
      </c>
      <c r="K1155" s="24" t="s">
        <v>19</v>
      </c>
      <c r="L1155" t="s">
        <v>4128</v>
      </c>
      <c r="M1155" s="17">
        <v>4</v>
      </c>
      <c r="N1155" t="s">
        <v>4295</v>
      </c>
      <c r="O1155" s="24" t="s">
        <v>22</v>
      </c>
      <c r="P1155" s="19">
        <v>2786.84</v>
      </c>
      <c r="Q1155" s="26" t="str">
        <f>IF(OR(P1155&lt;'Descriptive Statistics'!$H$17,P1155&gt;'Descriptive Statistics'!$H$18),"Potential Outlier","Within Range")</f>
        <v>Within Range</v>
      </c>
      <c r="R1155" s="26" t="str">
        <f>IF(OR(G1155&lt;'Descriptive Statistics'!$I$17,G1155&gt;'Descriptive Statistics'!$I$18),"Potential Outlier","Within Range")</f>
        <v>Within Range</v>
      </c>
      <c r="S1155" s="26" t="str">
        <f>IF(OR(H1155&lt;'Descriptive Statistics'!$J$17,H1155&gt;'Descriptive Statistics'!$J$18),"Potential Outlier","Within Range")</f>
        <v>Within Range</v>
      </c>
    </row>
    <row r="1156" hidden="1" spans="1:19">
      <c r="A1156" t="s">
        <v>4129</v>
      </c>
      <c r="B1156" s="23">
        <v>45819</v>
      </c>
      <c r="C1156" s="23" t="str">
        <f t="shared" si="36"/>
        <v>Jun</v>
      </c>
      <c r="D1156" s="23" t="str">
        <f t="shared" si="37"/>
        <v>2025</v>
      </c>
      <c r="E1156" t="s">
        <v>4130</v>
      </c>
      <c r="F1156" s="24" t="s">
        <v>16</v>
      </c>
      <c r="G1156" s="17">
        <v>3</v>
      </c>
      <c r="H1156" s="19">
        <v>198.63</v>
      </c>
      <c r="I1156" t="s">
        <v>502</v>
      </c>
      <c r="J1156" s="24" t="s">
        <v>65</v>
      </c>
      <c r="K1156" s="24" t="s">
        <v>89</v>
      </c>
      <c r="L1156" t="s">
        <v>4131</v>
      </c>
      <c r="M1156" s="17">
        <v>8</v>
      </c>
      <c r="N1156" t="s">
        <v>21</v>
      </c>
      <c r="O1156" s="24" t="s">
        <v>22</v>
      </c>
      <c r="P1156" s="19">
        <v>595.89</v>
      </c>
      <c r="Q1156" s="26" t="str">
        <f>IF(OR(P1156&lt;'Descriptive Statistics'!$H$17,P1156&gt;'Descriptive Statistics'!$H$18),"Potential Outlier","Within Range")</f>
        <v>Within Range</v>
      </c>
      <c r="R1156" s="26" t="str">
        <f>IF(OR(G1156&lt;'Descriptive Statistics'!$I$17,G1156&gt;'Descriptive Statistics'!$I$18),"Potential Outlier","Within Range")</f>
        <v>Within Range</v>
      </c>
      <c r="S1156" s="26" t="str">
        <f>IF(OR(H1156&lt;'Descriptive Statistics'!$J$17,H1156&gt;'Descriptive Statistics'!$J$18),"Potential Outlier","Within Range")</f>
        <v>Within Range</v>
      </c>
    </row>
    <row r="1157" hidden="1" spans="1:19">
      <c r="A1157" t="s">
        <v>4132</v>
      </c>
      <c r="B1157" s="23">
        <v>45151</v>
      </c>
      <c r="C1157" s="23" t="str">
        <f t="shared" si="36"/>
        <v>Aug</v>
      </c>
      <c r="D1157" s="23" t="str">
        <f t="shared" si="37"/>
        <v>2023</v>
      </c>
      <c r="E1157" t="s">
        <v>4133</v>
      </c>
      <c r="F1157" s="24" t="s">
        <v>48</v>
      </c>
      <c r="G1157" s="17">
        <v>4</v>
      </c>
      <c r="H1157" s="19">
        <v>534.57</v>
      </c>
      <c r="I1157" t="s">
        <v>681</v>
      </c>
      <c r="J1157" s="24" t="s">
        <v>34</v>
      </c>
      <c r="K1157" s="24" t="s">
        <v>50</v>
      </c>
      <c r="L1157" t="s">
        <v>4134</v>
      </c>
      <c r="M1157" s="17">
        <v>6</v>
      </c>
      <c r="N1157" t="s">
        <v>37</v>
      </c>
      <c r="O1157" s="24" t="s">
        <v>45</v>
      </c>
      <c r="P1157" s="19">
        <v>2138.28</v>
      </c>
      <c r="Q1157" s="26" t="str">
        <f>IF(OR(P1157&lt;'Descriptive Statistics'!$H$17,P1157&gt;'Descriptive Statistics'!$H$18),"Potential Outlier","Within Range")</f>
        <v>Within Range</v>
      </c>
      <c r="R1157" s="26" t="str">
        <f>IF(OR(G1157&lt;'Descriptive Statistics'!$I$17,G1157&gt;'Descriptive Statistics'!$I$18),"Potential Outlier","Within Range")</f>
        <v>Within Range</v>
      </c>
      <c r="S1157" s="26" t="str">
        <f>IF(OR(H1157&lt;'Descriptive Statistics'!$J$17,H1157&gt;'Descriptive Statistics'!$J$18),"Potential Outlier","Within Range")</f>
        <v>Within Range</v>
      </c>
    </row>
    <row r="1158" hidden="1" spans="1:19">
      <c r="A1158" t="s">
        <v>4135</v>
      </c>
      <c r="B1158" s="23">
        <v>45126</v>
      </c>
      <c r="C1158" s="23" t="str">
        <f t="shared" si="36"/>
        <v>Jul</v>
      </c>
      <c r="D1158" s="23" t="str">
        <f t="shared" si="37"/>
        <v>2023</v>
      </c>
      <c r="E1158" t="s">
        <v>4136</v>
      </c>
      <c r="F1158" s="24" t="s">
        <v>58</v>
      </c>
      <c r="G1158" s="17">
        <v>4</v>
      </c>
      <c r="H1158" s="19">
        <v>690.78</v>
      </c>
      <c r="I1158" t="s">
        <v>97</v>
      </c>
      <c r="J1158" s="24" t="s">
        <v>34</v>
      </c>
      <c r="K1158" s="24" t="s">
        <v>19</v>
      </c>
      <c r="L1158" t="s">
        <v>4137</v>
      </c>
      <c r="M1158" s="17">
        <v>9</v>
      </c>
      <c r="N1158" t="s">
        <v>4295</v>
      </c>
      <c r="O1158" s="24" t="s">
        <v>29</v>
      </c>
      <c r="P1158" s="19">
        <v>2763.12</v>
      </c>
      <c r="Q1158" s="26" t="str">
        <f>IF(OR(P1158&lt;'Descriptive Statistics'!$H$17,P1158&gt;'Descriptive Statistics'!$H$18),"Potential Outlier","Within Range")</f>
        <v>Within Range</v>
      </c>
      <c r="R1158" s="26" t="str">
        <f>IF(OR(G1158&lt;'Descriptive Statistics'!$I$17,G1158&gt;'Descriptive Statistics'!$I$18),"Potential Outlier","Within Range")</f>
        <v>Within Range</v>
      </c>
      <c r="S1158" s="26" t="str">
        <f>IF(OR(H1158&lt;'Descriptive Statistics'!$J$17,H1158&gt;'Descriptive Statistics'!$J$18),"Potential Outlier","Within Range")</f>
        <v>Within Range</v>
      </c>
    </row>
    <row r="1159" hidden="1" spans="1:19">
      <c r="A1159" t="s">
        <v>4138</v>
      </c>
      <c r="B1159" s="23">
        <v>45441</v>
      </c>
      <c r="C1159" s="23" t="str">
        <f t="shared" si="36"/>
        <v>May</v>
      </c>
      <c r="D1159" s="23" t="str">
        <f t="shared" si="37"/>
        <v>2024</v>
      </c>
      <c r="E1159" t="s">
        <v>4139</v>
      </c>
      <c r="F1159" s="24" t="s">
        <v>16</v>
      </c>
      <c r="G1159" s="17">
        <v>3</v>
      </c>
      <c r="H1159" s="19">
        <v>301.55</v>
      </c>
      <c r="I1159" t="s">
        <v>914</v>
      </c>
      <c r="J1159" s="24" t="s">
        <v>18</v>
      </c>
      <c r="K1159" s="24" t="s">
        <v>50</v>
      </c>
      <c r="L1159" t="s">
        <v>4140</v>
      </c>
      <c r="M1159" s="17">
        <v>5</v>
      </c>
      <c r="N1159" t="s">
        <v>37</v>
      </c>
      <c r="O1159" s="24" t="s">
        <v>76</v>
      </c>
      <c r="P1159" s="19">
        <v>904.65</v>
      </c>
      <c r="Q1159" s="26" t="str">
        <f>IF(OR(P1159&lt;'Descriptive Statistics'!$H$17,P1159&gt;'Descriptive Statistics'!$H$18),"Potential Outlier","Within Range")</f>
        <v>Within Range</v>
      </c>
      <c r="R1159" s="26" t="str">
        <f>IF(OR(G1159&lt;'Descriptive Statistics'!$I$17,G1159&gt;'Descriptive Statistics'!$I$18),"Potential Outlier","Within Range")</f>
        <v>Within Range</v>
      </c>
      <c r="S1159" s="26" t="str">
        <f>IF(OR(H1159&lt;'Descriptive Statistics'!$J$17,H1159&gt;'Descriptive Statistics'!$J$18),"Potential Outlier","Within Range")</f>
        <v>Within Range</v>
      </c>
    </row>
    <row r="1160" hidden="1" spans="1:19">
      <c r="A1160" t="s">
        <v>4141</v>
      </c>
      <c r="B1160" s="23">
        <v>45036</v>
      </c>
      <c r="C1160" s="23" t="str">
        <f t="shared" si="36"/>
        <v>Apr</v>
      </c>
      <c r="D1160" s="23" t="str">
        <f t="shared" si="37"/>
        <v>2023</v>
      </c>
      <c r="E1160" t="s">
        <v>4142</v>
      </c>
      <c r="F1160" s="24" t="s">
        <v>16</v>
      </c>
      <c r="G1160" s="17">
        <v>4</v>
      </c>
      <c r="H1160" s="19">
        <v>27.42</v>
      </c>
      <c r="I1160" t="s">
        <v>1712</v>
      </c>
      <c r="J1160" s="24" t="s">
        <v>18</v>
      </c>
      <c r="K1160" s="24" t="s">
        <v>89</v>
      </c>
      <c r="L1160" t="s">
        <v>4143</v>
      </c>
      <c r="M1160" s="17">
        <v>4</v>
      </c>
      <c r="N1160" t="s">
        <v>21</v>
      </c>
      <c r="O1160" s="24" t="s">
        <v>29</v>
      </c>
      <c r="P1160" s="19">
        <v>109.68</v>
      </c>
      <c r="Q1160" s="26" t="str">
        <f>IF(OR(P1160&lt;'Descriptive Statistics'!$H$17,P1160&gt;'Descriptive Statistics'!$H$18),"Potential Outlier","Within Range")</f>
        <v>Within Range</v>
      </c>
      <c r="R1160" s="26" t="str">
        <f>IF(OR(G1160&lt;'Descriptive Statistics'!$I$17,G1160&gt;'Descriptive Statistics'!$I$18),"Potential Outlier","Within Range")</f>
        <v>Within Range</v>
      </c>
      <c r="S1160" s="26" t="str">
        <f>IF(OR(H1160&lt;'Descriptive Statistics'!$J$17,H1160&gt;'Descriptive Statistics'!$J$18),"Potential Outlier","Within Range")</f>
        <v>Within Range</v>
      </c>
    </row>
    <row r="1161" hidden="1" spans="1:19">
      <c r="A1161" t="s">
        <v>4144</v>
      </c>
      <c r="B1161" s="23">
        <v>45345</v>
      </c>
      <c r="C1161" s="23" t="str">
        <f t="shared" si="36"/>
        <v>Feb</v>
      </c>
      <c r="D1161" s="23" t="str">
        <f t="shared" si="37"/>
        <v>2024</v>
      </c>
      <c r="E1161" t="s">
        <v>4145</v>
      </c>
      <c r="F1161" s="24" t="s">
        <v>73</v>
      </c>
      <c r="G1161" s="17">
        <v>4</v>
      </c>
      <c r="H1161" s="19">
        <v>466.7</v>
      </c>
      <c r="I1161" t="s">
        <v>1762</v>
      </c>
      <c r="J1161" s="24" t="s">
        <v>18</v>
      </c>
      <c r="K1161" s="24" t="s">
        <v>43</v>
      </c>
      <c r="L1161" t="s">
        <v>4146</v>
      </c>
      <c r="M1161" s="17">
        <v>8</v>
      </c>
      <c r="N1161" t="s">
        <v>4295</v>
      </c>
      <c r="O1161" s="24" t="s">
        <v>22</v>
      </c>
      <c r="P1161" s="19">
        <v>1866.8</v>
      </c>
      <c r="Q1161" s="26" t="str">
        <f>IF(OR(P1161&lt;'Descriptive Statistics'!$H$17,P1161&gt;'Descriptive Statistics'!$H$18),"Potential Outlier","Within Range")</f>
        <v>Within Range</v>
      </c>
      <c r="R1161" s="26" t="str">
        <f>IF(OR(G1161&lt;'Descriptive Statistics'!$I$17,G1161&gt;'Descriptive Statistics'!$I$18),"Potential Outlier","Within Range")</f>
        <v>Within Range</v>
      </c>
      <c r="S1161" s="26" t="str">
        <f>IF(OR(H1161&lt;'Descriptive Statistics'!$J$17,H1161&gt;'Descriptive Statistics'!$J$18),"Potential Outlier","Within Range")</f>
        <v>Within Range</v>
      </c>
    </row>
    <row r="1162" hidden="1" spans="1:19">
      <c r="A1162" t="s">
        <v>4147</v>
      </c>
      <c r="B1162" s="23">
        <v>45539</v>
      </c>
      <c r="C1162" s="23" t="str">
        <f t="shared" si="36"/>
        <v>Sep</v>
      </c>
      <c r="D1162" s="23" t="str">
        <f t="shared" si="37"/>
        <v>2024</v>
      </c>
      <c r="E1162" t="s">
        <v>4148</v>
      </c>
      <c r="F1162" s="24" t="s">
        <v>73</v>
      </c>
      <c r="G1162" s="17">
        <v>1</v>
      </c>
      <c r="H1162" s="19">
        <v>541.64</v>
      </c>
      <c r="I1162" t="s">
        <v>1827</v>
      </c>
      <c r="J1162" s="24" t="s">
        <v>18</v>
      </c>
      <c r="K1162" s="24" t="s">
        <v>19</v>
      </c>
      <c r="L1162" t="s">
        <v>4149</v>
      </c>
      <c r="M1162" s="17">
        <v>5</v>
      </c>
      <c r="N1162" t="s">
        <v>21</v>
      </c>
      <c r="O1162" s="24" t="s">
        <v>38</v>
      </c>
      <c r="P1162" s="19">
        <v>541.64</v>
      </c>
      <c r="Q1162" s="26" t="str">
        <f>IF(OR(P1162&lt;'Descriptive Statistics'!$H$17,P1162&gt;'Descriptive Statistics'!$H$18),"Potential Outlier","Within Range")</f>
        <v>Within Range</v>
      </c>
      <c r="R1162" s="26" t="str">
        <f>IF(OR(G1162&lt;'Descriptive Statistics'!$I$17,G1162&gt;'Descriptive Statistics'!$I$18),"Potential Outlier","Within Range")</f>
        <v>Within Range</v>
      </c>
      <c r="S1162" s="26" t="str">
        <f>IF(OR(H1162&lt;'Descriptive Statistics'!$J$17,H1162&gt;'Descriptive Statistics'!$J$18),"Potential Outlier","Within Range")</f>
        <v>Within Range</v>
      </c>
    </row>
    <row r="1163" hidden="1" spans="1:19">
      <c r="A1163" t="s">
        <v>4150</v>
      </c>
      <c r="B1163" s="23">
        <v>45215</v>
      </c>
      <c r="C1163" s="23" t="str">
        <f t="shared" si="36"/>
        <v>Oct</v>
      </c>
      <c r="D1163" s="23" t="str">
        <f t="shared" si="37"/>
        <v>2023</v>
      </c>
      <c r="E1163" t="s">
        <v>4151</v>
      </c>
      <c r="F1163" s="24" t="s">
        <v>25</v>
      </c>
      <c r="G1163" s="17">
        <v>1</v>
      </c>
      <c r="H1163" s="19">
        <v>11.39</v>
      </c>
      <c r="I1163" t="s">
        <v>1344</v>
      </c>
      <c r="J1163" s="24" t="s">
        <v>65</v>
      </c>
      <c r="K1163" s="24" t="s">
        <v>35</v>
      </c>
      <c r="L1163" t="s">
        <v>4152</v>
      </c>
      <c r="M1163" s="17">
        <v>6</v>
      </c>
      <c r="N1163" t="s">
        <v>81</v>
      </c>
      <c r="O1163" s="24" t="s">
        <v>38</v>
      </c>
      <c r="P1163" s="19">
        <v>11.39</v>
      </c>
      <c r="Q1163" s="26" t="str">
        <f>IF(OR(P1163&lt;'Descriptive Statistics'!$H$17,P1163&gt;'Descriptive Statistics'!$H$18),"Potential Outlier","Within Range")</f>
        <v>Within Range</v>
      </c>
      <c r="R1163" s="26" t="str">
        <f>IF(OR(G1163&lt;'Descriptive Statistics'!$I$17,G1163&gt;'Descriptive Statistics'!$I$18),"Potential Outlier","Within Range")</f>
        <v>Within Range</v>
      </c>
      <c r="S1163" s="26" t="str">
        <f>IF(OR(H1163&lt;'Descriptive Statistics'!$J$17,H1163&gt;'Descriptive Statistics'!$J$18),"Potential Outlier","Within Range")</f>
        <v>Within Range</v>
      </c>
    </row>
    <row r="1164" hidden="1" spans="1:19">
      <c r="A1164" t="s">
        <v>4153</v>
      </c>
      <c r="B1164" s="23">
        <v>45727</v>
      </c>
      <c r="C1164" s="23" t="str">
        <f t="shared" si="36"/>
        <v>Mar</v>
      </c>
      <c r="D1164" s="23" t="str">
        <f t="shared" si="37"/>
        <v>2025</v>
      </c>
      <c r="E1164" t="s">
        <v>4154</v>
      </c>
      <c r="F1164" s="24" t="s">
        <v>25</v>
      </c>
      <c r="G1164" s="17">
        <v>2</v>
      </c>
      <c r="H1164" s="19">
        <v>224.37</v>
      </c>
      <c r="I1164" t="s">
        <v>4155</v>
      </c>
      <c r="J1164" s="24" t="s">
        <v>18</v>
      </c>
      <c r="K1164" s="24" t="s">
        <v>50</v>
      </c>
      <c r="L1164" t="s">
        <v>4156</v>
      </c>
      <c r="M1164" s="17">
        <v>3</v>
      </c>
      <c r="N1164" t="s">
        <v>81</v>
      </c>
      <c r="O1164" s="24" t="s">
        <v>29</v>
      </c>
      <c r="P1164" s="19">
        <v>448.74</v>
      </c>
      <c r="Q1164" s="26" t="str">
        <f>IF(OR(P1164&lt;'Descriptive Statistics'!$H$17,P1164&gt;'Descriptive Statistics'!$H$18),"Potential Outlier","Within Range")</f>
        <v>Within Range</v>
      </c>
      <c r="R1164" s="26" t="str">
        <f>IF(OR(G1164&lt;'Descriptive Statistics'!$I$17,G1164&gt;'Descriptive Statistics'!$I$18),"Potential Outlier","Within Range")</f>
        <v>Within Range</v>
      </c>
      <c r="S1164" s="26" t="str">
        <f>IF(OR(H1164&lt;'Descriptive Statistics'!$J$17,H1164&gt;'Descriptive Statistics'!$J$18),"Potential Outlier","Within Range")</f>
        <v>Within Range</v>
      </c>
    </row>
    <row r="1165" hidden="1" spans="1:19">
      <c r="A1165" t="s">
        <v>4157</v>
      </c>
      <c r="B1165" s="23">
        <v>45454</v>
      </c>
      <c r="C1165" s="23" t="str">
        <f t="shared" si="36"/>
        <v>Jun</v>
      </c>
      <c r="D1165" s="23" t="str">
        <f t="shared" si="37"/>
        <v>2024</v>
      </c>
      <c r="E1165" t="s">
        <v>4158</v>
      </c>
      <c r="F1165" s="24" t="s">
        <v>58</v>
      </c>
      <c r="G1165" s="17">
        <v>3</v>
      </c>
      <c r="H1165" s="19">
        <v>306.29</v>
      </c>
      <c r="I1165" t="s">
        <v>4159</v>
      </c>
      <c r="J1165" s="24" t="s">
        <v>34</v>
      </c>
      <c r="K1165" s="24" t="s">
        <v>43</v>
      </c>
      <c r="L1165" t="s">
        <v>4160</v>
      </c>
      <c r="M1165" s="17">
        <v>7</v>
      </c>
      <c r="N1165" t="s">
        <v>81</v>
      </c>
      <c r="O1165" s="24" t="s">
        <v>22</v>
      </c>
      <c r="P1165" s="19">
        <v>918.87</v>
      </c>
      <c r="Q1165" s="26" t="str">
        <f>IF(OR(P1165&lt;'Descriptive Statistics'!$H$17,P1165&gt;'Descriptive Statistics'!$H$18),"Potential Outlier","Within Range")</f>
        <v>Within Range</v>
      </c>
      <c r="R1165" s="26" t="str">
        <f>IF(OR(G1165&lt;'Descriptive Statistics'!$I$17,G1165&gt;'Descriptive Statistics'!$I$18),"Potential Outlier","Within Range")</f>
        <v>Within Range</v>
      </c>
      <c r="S1165" s="26" t="str">
        <f>IF(OR(H1165&lt;'Descriptive Statistics'!$J$17,H1165&gt;'Descriptive Statistics'!$J$18),"Potential Outlier","Within Range")</f>
        <v>Within Range</v>
      </c>
    </row>
    <row r="1166" hidden="1" spans="1:19">
      <c r="A1166" t="s">
        <v>4161</v>
      </c>
      <c r="B1166" s="23">
        <v>45299</v>
      </c>
      <c r="C1166" s="23" t="str">
        <f t="shared" si="36"/>
        <v>Jan</v>
      </c>
      <c r="D1166" s="23" t="str">
        <f t="shared" si="37"/>
        <v>2024</v>
      </c>
      <c r="E1166" t="s">
        <v>4162</v>
      </c>
      <c r="F1166" s="24" t="s">
        <v>32</v>
      </c>
      <c r="G1166" s="17">
        <v>5</v>
      </c>
      <c r="H1166" s="19">
        <v>315.57</v>
      </c>
      <c r="I1166" t="s">
        <v>2197</v>
      </c>
      <c r="J1166" s="24" t="s">
        <v>18</v>
      </c>
      <c r="K1166" s="24" t="s">
        <v>50</v>
      </c>
      <c r="L1166" t="s">
        <v>4163</v>
      </c>
      <c r="M1166" s="17">
        <v>6</v>
      </c>
      <c r="N1166" t="s">
        <v>81</v>
      </c>
      <c r="O1166" s="24" t="s">
        <v>38</v>
      </c>
      <c r="P1166" s="19">
        <v>1577.85</v>
      </c>
      <c r="Q1166" s="26" t="str">
        <f>IF(OR(P1166&lt;'Descriptive Statistics'!$H$17,P1166&gt;'Descriptive Statistics'!$H$18),"Potential Outlier","Within Range")</f>
        <v>Within Range</v>
      </c>
      <c r="R1166" s="26" t="str">
        <f>IF(OR(G1166&lt;'Descriptive Statistics'!$I$17,G1166&gt;'Descriptive Statistics'!$I$18),"Potential Outlier","Within Range")</f>
        <v>Within Range</v>
      </c>
      <c r="S1166" s="26" t="str">
        <f>IF(OR(H1166&lt;'Descriptive Statistics'!$J$17,H1166&gt;'Descriptive Statistics'!$J$18),"Potential Outlier","Within Range")</f>
        <v>Within Range</v>
      </c>
    </row>
    <row r="1167" hidden="1" spans="1:19">
      <c r="A1167" t="s">
        <v>4164</v>
      </c>
      <c r="B1167" s="23">
        <v>45121</v>
      </c>
      <c r="C1167" s="23" t="str">
        <f t="shared" si="36"/>
        <v>Jul</v>
      </c>
      <c r="D1167" s="23" t="str">
        <f t="shared" si="37"/>
        <v>2023</v>
      </c>
      <c r="E1167" t="s">
        <v>4165</v>
      </c>
      <c r="F1167" s="24" t="s">
        <v>41</v>
      </c>
      <c r="G1167" s="17">
        <v>3</v>
      </c>
      <c r="H1167" s="19">
        <v>223.79</v>
      </c>
      <c r="I1167" t="s">
        <v>4166</v>
      </c>
      <c r="J1167" s="24" t="s">
        <v>18</v>
      </c>
      <c r="K1167" s="24" t="s">
        <v>89</v>
      </c>
      <c r="L1167" t="s">
        <v>4167</v>
      </c>
      <c r="M1167" s="17">
        <v>3</v>
      </c>
      <c r="N1167" t="s">
        <v>4295</v>
      </c>
      <c r="O1167" s="24" t="s">
        <v>76</v>
      </c>
      <c r="P1167" s="19">
        <v>671.37</v>
      </c>
      <c r="Q1167" s="26" t="str">
        <f>IF(OR(P1167&lt;'Descriptive Statistics'!$H$17,P1167&gt;'Descriptive Statistics'!$H$18),"Potential Outlier","Within Range")</f>
        <v>Within Range</v>
      </c>
      <c r="R1167" s="26" t="str">
        <f>IF(OR(G1167&lt;'Descriptive Statistics'!$I$17,G1167&gt;'Descriptive Statistics'!$I$18),"Potential Outlier","Within Range")</f>
        <v>Within Range</v>
      </c>
      <c r="S1167" s="26" t="str">
        <f>IF(OR(H1167&lt;'Descriptive Statistics'!$J$17,H1167&gt;'Descriptive Statistics'!$J$18),"Potential Outlier","Within Range")</f>
        <v>Within Range</v>
      </c>
    </row>
    <row r="1168" hidden="1" spans="1:19">
      <c r="A1168" t="s">
        <v>4168</v>
      </c>
      <c r="B1168" s="23">
        <v>45138</v>
      </c>
      <c r="C1168" s="23" t="str">
        <f t="shared" si="36"/>
        <v>Jul</v>
      </c>
      <c r="D1168" s="23" t="str">
        <f t="shared" si="37"/>
        <v>2023</v>
      </c>
      <c r="E1168" t="s">
        <v>4169</v>
      </c>
      <c r="F1168" s="24" t="s">
        <v>41</v>
      </c>
      <c r="G1168" s="17">
        <v>3</v>
      </c>
      <c r="H1168" s="19">
        <v>324.47</v>
      </c>
      <c r="I1168" t="s">
        <v>363</v>
      </c>
      <c r="J1168" s="24" t="s">
        <v>65</v>
      </c>
      <c r="K1168" s="24" t="s">
        <v>50</v>
      </c>
      <c r="L1168" t="s">
        <v>4170</v>
      </c>
      <c r="M1168" s="17">
        <v>4</v>
      </c>
      <c r="N1168" t="s">
        <v>81</v>
      </c>
      <c r="O1168" s="24" t="s">
        <v>38</v>
      </c>
      <c r="P1168" s="19">
        <v>973.41</v>
      </c>
      <c r="Q1168" s="26" t="str">
        <f>IF(OR(P1168&lt;'Descriptive Statistics'!$H$17,P1168&gt;'Descriptive Statistics'!$H$18),"Potential Outlier","Within Range")</f>
        <v>Within Range</v>
      </c>
      <c r="R1168" s="26" t="str">
        <f>IF(OR(G1168&lt;'Descriptive Statistics'!$I$17,G1168&gt;'Descriptive Statistics'!$I$18),"Potential Outlier","Within Range")</f>
        <v>Within Range</v>
      </c>
      <c r="S1168" s="26" t="str">
        <f>IF(OR(H1168&lt;'Descriptive Statistics'!$J$17,H1168&gt;'Descriptive Statistics'!$J$18),"Potential Outlier","Within Range")</f>
        <v>Within Range</v>
      </c>
    </row>
    <row r="1169" hidden="1" spans="1:19">
      <c r="A1169" t="s">
        <v>4171</v>
      </c>
      <c r="B1169" s="23">
        <v>45216</v>
      </c>
      <c r="C1169" s="23" t="str">
        <f t="shared" si="36"/>
        <v>Oct</v>
      </c>
      <c r="D1169" s="23" t="str">
        <f t="shared" si="37"/>
        <v>2023</v>
      </c>
      <c r="E1169" t="s">
        <v>4172</v>
      </c>
      <c r="F1169" s="24" t="s">
        <v>48</v>
      </c>
      <c r="G1169" s="17">
        <v>2</v>
      </c>
      <c r="H1169" s="19">
        <v>92.87</v>
      </c>
      <c r="I1169" t="s">
        <v>1101</v>
      </c>
      <c r="J1169" s="24" t="s">
        <v>34</v>
      </c>
      <c r="K1169" s="24" t="s">
        <v>89</v>
      </c>
      <c r="L1169" t="s">
        <v>4173</v>
      </c>
      <c r="M1169" s="17">
        <v>5</v>
      </c>
      <c r="N1169" t="s">
        <v>37</v>
      </c>
      <c r="O1169" s="24" t="s">
        <v>45</v>
      </c>
      <c r="P1169" s="19">
        <v>185.74</v>
      </c>
      <c r="Q1169" s="26" t="str">
        <f>IF(OR(P1169&lt;'Descriptive Statistics'!$H$17,P1169&gt;'Descriptive Statistics'!$H$18),"Potential Outlier","Within Range")</f>
        <v>Within Range</v>
      </c>
      <c r="R1169" s="26" t="str">
        <f>IF(OR(G1169&lt;'Descriptive Statistics'!$I$17,G1169&gt;'Descriptive Statistics'!$I$18),"Potential Outlier","Within Range")</f>
        <v>Within Range</v>
      </c>
      <c r="S1169" s="26" t="str">
        <f>IF(OR(H1169&lt;'Descriptive Statistics'!$J$17,H1169&gt;'Descriptive Statistics'!$J$18),"Potential Outlier","Within Range")</f>
        <v>Within Range</v>
      </c>
    </row>
    <row r="1170" hidden="1" spans="1:19">
      <c r="A1170" t="s">
        <v>4174</v>
      </c>
      <c r="B1170" s="23">
        <v>45024</v>
      </c>
      <c r="C1170" s="23" t="str">
        <f t="shared" si="36"/>
        <v>Apr</v>
      </c>
      <c r="D1170" s="23" t="str">
        <f t="shared" si="37"/>
        <v>2023</v>
      </c>
      <c r="E1170" t="s">
        <v>4175</v>
      </c>
      <c r="F1170" s="24" t="s">
        <v>58</v>
      </c>
      <c r="G1170" s="17">
        <v>2</v>
      </c>
      <c r="H1170" s="19">
        <v>331.42</v>
      </c>
      <c r="I1170" t="s">
        <v>4176</v>
      </c>
      <c r="J1170" s="24" t="s">
        <v>34</v>
      </c>
      <c r="K1170" s="24" t="s">
        <v>50</v>
      </c>
      <c r="L1170" t="s">
        <v>4177</v>
      </c>
      <c r="M1170" s="17">
        <v>6</v>
      </c>
      <c r="N1170" t="s">
        <v>81</v>
      </c>
      <c r="O1170" s="24" t="s">
        <v>76</v>
      </c>
      <c r="P1170" s="19">
        <v>662.84</v>
      </c>
      <c r="Q1170" s="26" t="str">
        <f>IF(OR(P1170&lt;'Descriptive Statistics'!$H$17,P1170&gt;'Descriptive Statistics'!$H$18),"Potential Outlier","Within Range")</f>
        <v>Within Range</v>
      </c>
      <c r="R1170" s="26" t="str">
        <f>IF(OR(G1170&lt;'Descriptive Statistics'!$I$17,G1170&gt;'Descriptive Statistics'!$I$18),"Potential Outlier","Within Range")</f>
        <v>Within Range</v>
      </c>
      <c r="S1170" s="26" t="str">
        <f>IF(OR(H1170&lt;'Descriptive Statistics'!$J$17,H1170&gt;'Descriptive Statistics'!$J$18),"Potential Outlier","Within Range")</f>
        <v>Within Range</v>
      </c>
    </row>
    <row r="1171" hidden="1" spans="1:19">
      <c r="A1171" t="s">
        <v>4178</v>
      </c>
      <c r="B1171" s="23">
        <v>45649</v>
      </c>
      <c r="C1171" s="23" t="str">
        <f t="shared" si="36"/>
        <v>Dec</v>
      </c>
      <c r="D1171" s="23" t="str">
        <f t="shared" si="37"/>
        <v>2024</v>
      </c>
      <c r="E1171" t="s">
        <v>4179</v>
      </c>
      <c r="F1171" s="24" t="s">
        <v>41</v>
      </c>
      <c r="G1171" s="17">
        <v>1</v>
      </c>
      <c r="H1171" s="19">
        <v>525.43</v>
      </c>
      <c r="I1171" t="s">
        <v>4180</v>
      </c>
      <c r="J1171" s="24" t="s">
        <v>65</v>
      </c>
      <c r="K1171" s="24" t="s">
        <v>35</v>
      </c>
      <c r="L1171" t="s">
        <v>4181</v>
      </c>
      <c r="M1171" s="17">
        <v>2</v>
      </c>
      <c r="N1171" t="s">
        <v>21</v>
      </c>
      <c r="O1171" s="24" t="s">
        <v>22</v>
      </c>
      <c r="P1171" s="19">
        <v>525.43</v>
      </c>
      <c r="Q1171" s="26" t="str">
        <f>IF(OR(P1171&lt;'Descriptive Statistics'!$H$17,P1171&gt;'Descriptive Statistics'!$H$18),"Potential Outlier","Within Range")</f>
        <v>Within Range</v>
      </c>
      <c r="R1171" s="26" t="str">
        <f>IF(OR(G1171&lt;'Descriptive Statistics'!$I$17,G1171&gt;'Descriptive Statistics'!$I$18),"Potential Outlier","Within Range")</f>
        <v>Within Range</v>
      </c>
      <c r="S1171" s="26" t="str">
        <f>IF(OR(H1171&lt;'Descriptive Statistics'!$J$17,H1171&gt;'Descriptive Statistics'!$J$18),"Potential Outlier","Within Range")</f>
        <v>Within Range</v>
      </c>
    </row>
    <row r="1172" hidden="1" spans="1:19">
      <c r="A1172" t="s">
        <v>4182</v>
      </c>
      <c r="B1172" s="23">
        <v>45141</v>
      </c>
      <c r="C1172" s="23" t="str">
        <f t="shared" si="36"/>
        <v>Aug</v>
      </c>
      <c r="D1172" s="23" t="str">
        <f t="shared" si="37"/>
        <v>2023</v>
      </c>
      <c r="E1172" t="s">
        <v>4183</v>
      </c>
      <c r="F1172" s="24" t="s">
        <v>48</v>
      </c>
      <c r="G1172" s="17">
        <v>2</v>
      </c>
      <c r="H1172" s="19">
        <v>697.19</v>
      </c>
      <c r="I1172" t="s">
        <v>925</v>
      </c>
      <c r="J1172" s="24" t="s">
        <v>65</v>
      </c>
      <c r="K1172" s="24" t="s">
        <v>43</v>
      </c>
      <c r="L1172" t="s">
        <v>4184</v>
      </c>
      <c r="M1172" s="17">
        <v>7</v>
      </c>
      <c r="N1172" t="s">
        <v>37</v>
      </c>
      <c r="O1172" s="24" t="s">
        <v>38</v>
      </c>
      <c r="P1172" s="19">
        <v>1394.38</v>
      </c>
      <c r="Q1172" s="26" t="str">
        <f>IF(OR(P1172&lt;'Descriptive Statistics'!$H$17,P1172&gt;'Descriptive Statistics'!$H$18),"Potential Outlier","Within Range")</f>
        <v>Within Range</v>
      </c>
      <c r="R1172" s="26" t="str">
        <f>IF(OR(G1172&lt;'Descriptive Statistics'!$I$17,G1172&gt;'Descriptive Statistics'!$I$18),"Potential Outlier","Within Range")</f>
        <v>Within Range</v>
      </c>
      <c r="S1172" s="26" t="str">
        <f>IF(OR(H1172&lt;'Descriptive Statistics'!$J$17,H1172&gt;'Descriptive Statistics'!$J$18),"Potential Outlier","Within Range")</f>
        <v>Within Range</v>
      </c>
    </row>
    <row r="1173" hidden="1" spans="1:19">
      <c r="A1173" t="s">
        <v>4185</v>
      </c>
      <c r="B1173" s="23">
        <v>45166</v>
      </c>
      <c r="C1173" s="23" t="str">
        <f t="shared" si="36"/>
        <v>Aug</v>
      </c>
      <c r="D1173" s="23" t="str">
        <f t="shared" si="37"/>
        <v>2023</v>
      </c>
      <c r="E1173" t="s">
        <v>4186</v>
      </c>
      <c r="F1173" s="24" t="s">
        <v>25</v>
      </c>
      <c r="G1173" s="17">
        <v>4</v>
      </c>
      <c r="H1173" s="19">
        <v>518.4</v>
      </c>
      <c r="I1173" t="s">
        <v>4187</v>
      </c>
      <c r="J1173" s="24" t="s">
        <v>34</v>
      </c>
      <c r="K1173" s="24" t="s">
        <v>50</v>
      </c>
      <c r="L1173" t="s">
        <v>4188</v>
      </c>
      <c r="M1173" s="17">
        <v>7</v>
      </c>
      <c r="N1173" t="s">
        <v>21</v>
      </c>
      <c r="O1173" s="24" t="s">
        <v>45</v>
      </c>
      <c r="P1173" s="19">
        <v>2073.6</v>
      </c>
      <c r="Q1173" s="26" t="str">
        <f>IF(OR(P1173&lt;'Descriptive Statistics'!$H$17,P1173&gt;'Descriptive Statistics'!$H$18),"Potential Outlier","Within Range")</f>
        <v>Within Range</v>
      </c>
      <c r="R1173" s="26" t="str">
        <f>IF(OR(G1173&lt;'Descriptive Statistics'!$I$17,G1173&gt;'Descriptive Statistics'!$I$18),"Potential Outlier","Within Range")</f>
        <v>Within Range</v>
      </c>
      <c r="S1173" s="26" t="str">
        <f>IF(OR(H1173&lt;'Descriptive Statistics'!$J$17,H1173&gt;'Descriptive Statistics'!$J$18),"Potential Outlier","Within Range")</f>
        <v>Within Range</v>
      </c>
    </row>
    <row r="1174" hidden="1" spans="1:19">
      <c r="A1174" t="s">
        <v>4189</v>
      </c>
      <c r="B1174" s="23">
        <v>45692</v>
      </c>
      <c r="C1174" s="23" t="str">
        <f t="shared" si="36"/>
        <v>Feb</v>
      </c>
      <c r="D1174" s="23" t="str">
        <f t="shared" si="37"/>
        <v>2025</v>
      </c>
      <c r="E1174" t="s">
        <v>4190</v>
      </c>
      <c r="F1174" s="24" t="s">
        <v>73</v>
      </c>
      <c r="G1174" s="17">
        <v>3</v>
      </c>
      <c r="H1174" s="19">
        <v>131.96</v>
      </c>
      <c r="I1174" t="s">
        <v>1930</v>
      </c>
      <c r="J1174" s="24" t="s">
        <v>34</v>
      </c>
      <c r="K1174" s="24" t="s">
        <v>89</v>
      </c>
      <c r="L1174" t="s">
        <v>4191</v>
      </c>
      <c r="M1174" s="17">
        <v>8</v>
      </c>
      <c r="N1174" t="s">
        <v>4295</v>
      </c>
      <c r="O1174" s="24" t="s">
        <v>22</v>
      </c>
      <c r="P1174" s="19">
        <v>395.88</v>
      </c>
      <c r="Q1174" s="26" t="str">
        <f>IF(OR(P1174&lt;'Descriptive Statistics'!$H$17,P1174&gt;'Descriptive Statistics'!$H$18),"Potential Outlier","Within Range")</f>
        <v>Within Range</v>
      </c>
      <c r="R1174" s="26" t="str">
        <f>IF(OR(G1174&lt;'Descriptive Statistics'!$I$17,G1174&gt;'Descriptive Statistics'!$I$18),"Potential Outlier","Within Range")</f>
        <v>Within Range</v>
      </c>
      <c r="S1174" s="26" t="str">
        <f>IF(OR(H1174&lt;'Descriptive Statistics'!$J$17,H1174&gt;'Descriptive Statistics'!$J$18),"Potential Outlier","Within Range")</f>
        <v>Within Range</v>
      </c>
    </row>
    <row r="1175" hidden="1" spans="1:19">
      <c r="A1175" t="s">
        <v>4192</v>
      </c>
      <c r="B1175" s="23">
        <v>45569</v>
      </c>
      <c r="C1175" s="23" t="str">
        <f t="shared" si="36"/>
        <v>Oct</v>
      </c>
      <c r="D1175" s="23" t="str">
        <f t="shared" si="37"/>
        <v>2024</v>
      </c>
      <c r="E1175" t="s">
        <v>4193</v>
      </c>
      <c r="F1175" s="24" t="s">
        <v>16</v>
      </c>
      <c r="G1175" s="17">
        <v>1</v>
      </c>
      <c r="H1175" s="19">
        <v>208.36</v>
      </c>
      <c r="I1175" t="s">
        <v>2676</v>
      </c>
      <c r="J1175" s="24" t="s">
        <v>27</v>
      </c>
      <c r="K1175" s="24" t="s">
        <v>19</v>
      </c>
      <c r="L1175" t="s">
        <v>4194</v>
      </c>
      <c r="M1175" s="17">
        <v>4</v>
      </c>
      <c r="N1175" t="s">
        <v>37</v>
      </c>
      <c r="O1175" s="24" t="s">
        <v>38</v>
      </c>
      <c r="P1175" s="19">
        <v>208.36</v>
      </c>
      <c r="Q1175" s="26" t="str">
        <f>IF(OR(P1175&lt;'Descriptive Statistics'!$H$17,P1175&gt;'Descriptive Statistics'!$H$18),"Potential Outlier","Within Range")</f>
        <v>Within Range</v>
      </c>
      <c r="R1175" s="26" t="str">
        <f>IF(OR(G1175&lt;'Descriptive Statistics'!$I$17,G1175&gt;'Descriptive Statistics'!$I$18),"Potential Outlier","Within Range")</f>
        <v>Within Range</v>
      </c>
      <c r="S1175" s="26" t="str">
        <f>IF(OR(H1175&lt;'Descriptive Statistics'!$J$17,H1175&gt;'Descriptive Statistics'!$J$18),"Potential Outlier","Within Range")</f>
        <v>Within Range</v>
      </c>
    </row>
    <row r="1176" hidden="1" spans="1:19">
      <c r="A1176" t="s">
        <v>4195</v>
      </c>
      <c r="B1176" s="23">
        <v>45257</v>
      </c>
      <c r="C1176" s="23" t="str">
        <f t="shared" si="36"/>
        <v>Nov</v>
      </c>
      <c r="D1176" s="23" t="str">
        <f t="shared" si="37"/>
        <v>2023</v>
      </c>
      <c r="E1176" t="s">
        <v>4196</v>
      </c>
      <c r="F1176" s="24" t="s">
        <v>48</v>
      </c>
      <c r="G1176" s="17">
        <v>3</v>
      </c>
      <c r="H1176" s="19">
        <v>222.34</v>
      </c>
      <c r="I1176" t="s">
        <v>4197</v>
      </c>
      <c r="J1176" s="24" t="s">
        <v>34</v>
      </c>
      <c r="K1176" s="24" t="s">
        <v>43</v>
      </c>
      <c r="L1176" t="s">
        <v>4198</v>
      </c>
      <c r="M1176" s="17">
        <v>5</v>
      </c>
      <c r="N1176" t="s">
        <v>81</v>
      </c>
      <c r="O1176" s="24" t="s">
        <v>38</v>
      </c>
      <c r="P1176" s="19">
        <v>667.02</v>
      </c>
      <c r="Q1176" s="26" t="str">
        <f>IF(OR(P1176&lt;'Descriptive Statistics'!$H$17,P1176&gt;'Descriptive Statistics'!$H$18),"Potential Outlier","Within Range")</f>
        <v>Within Range</v>
      </c>
      <c r="R1176" s="26" t="str">
        <f>IF(OR(G1176&lt;'Descriptive Statistics'!$I$17,G1176&gt;'Descriptive Statistics'!$I$18),"Potential Outlier","Within Range")</f>
        <v>Within Range</v>
      </c>
      <c r="S1176" s="26" t="str">
        <f>IF(OR(H1176&lt;'Descriptive Statistics'!$J$17,H1176&gt;'Descriptive Statistics'!$J$18),"Potential Outlier","Within Range")</f>
        <v>Within Range</v>
      </c>
    </row>
    <row r="1177" hidden="1" spans="1:19">
      <c r="A1177" t="s">
        <v>4199</v>
      </c>
      <c r="B1177" s="23">
        <v>45545</v>
      </c>
      <c r="C1177" s="23" t="str">
        <f t="shared" si="36"/>
        <v>Sep</v>
      </c>
      <c r="D1177" s="23" t="str">
        <f t="shared" si="37"/>
        <v>2024</v>
      </c>
      <c r="E1177" t="s">
        <v>4200</v>
      </c>
      <c r="F1177" s="24" t="s">
        <v>48</v>
      </c>
      <c r="G1177" s="17">
        <v>3</v>
      </c>
      <c r="H1177" s="19">
        <v>91.74</v>
      </c>
      <c r="I1177" t="s">
        <v>1206</v>
      </c>
      <c r="J1177" s="24" t="s">
        <v>18</v>
      </c>
      <c r="K1177" s="24" t="s">
        <v>43</v>
      </c>
      <c r="L1177" t="s">
        <v>4201</v>
      </c>
      <c r="M1177" s="17">
        <v>8</v>
      </c>
      <c r="N1177" t="s">
        <v>37</v>
      </c>
      <c r="O1177" s="24" t="s">
        <v>29</v>
      </c>
      <c r="P1177" s="19">
        <v>275.22</v>
      </c>
      <c r="Q1177" s="26" t="str">
        <f>IF(OR(P1177&lt;'Descriptive Statistics'!$H$17,P1177&gt;'Descriptive Statistics'!$H$18),"Potential Outlier","Within Range")</f>
        <v>Within Range</v>
      </c>
      <c r="R1177" s="26" t="str">
        <f>IF(OR(G1177&lt;'Descriptive Statistics'!$I$17,G1177&gt;'Descriptive Statistics'!$I$18),"Potential Outlier","Within Range")</f>
        <v>Within Range</v>
      </c>
      <c r="S1177" s="26" t="str">
        <f>IF(OR(H1177&lt;'Descriptive Statistics'!$J$17,H1177&gt;'Descriptive Statistics'!$J$18),"Potential Outlier","Within Range")</f>
        <v>Within Range</v>
      </c>
    </row>
    <row r="1178" hidden="1" spans="1:19">
      <c r="A1178" t="s">
        <v>4202</v>
      </c>
      <c r="B1178" s="23">
        <v>45151</v>
      </c>
      <c r="C1178" s="23" t="str">
        <f t="shared" si="36"/>
        <v>Aug</v>
      </c>
      <c r="D1178" s="23" t="str">
        <f t="shared" si="37"/>
        <v>2023</v>
      </c>
      <c r="E1178" t="s">
        <v>4203</v>
      </c>
      <c r="F1178" s="24" t="s">
        <v>32</v>
      </c>
      <c r="G1178" s="17">
        <v>2</v>
      </c>
      <c r="H1178" s="19">
        <v>213.83</v>
      </c>
      <c r="I1178" t="s">
        <v>4204</v>
      </c>
      <c r="J1178" s="24" t="s">
        <v>18</v>
      </c>
      <c r="K1178" s="24" t="s">
        <v>35</v>
      </c>
      <c r="L1178" t="s">
        <v>4205</v>
      </c>
      <c r="M1178" s="17">
        <v>2</v>
      </c>
      <c r="N1178" t="s">
        <v>81</v>
      </c>
      <c r="O1178" s="24" t="s">
        <v>38</v>
      </c>
      <c r="P1178" s="19">
        <v>427.66</v>
      </c>
      <c r="Q1178" s="26" t="str">
        <f>IF(OR(P1178&lt;'Descriptive Statistics'!$H$17,P1178&gt;'Descriptive Statistics'!$H$18),"Potential Outlier","Within Range")</f>
        <v>Within Range</v>
      </c>
      <c r="R1178" s="26" t="str">
        <f>IF(OR(G1178&lt;'Descriptive Statistics'!$I$17,G1178&gt;'Descriptive Statistics'!$I$18),"Potential Outlier","Within Range")</f>
        <v>Within Range</v>
      </c>
      <c r="S1178" s="26" t="str">
        <f>IF(OR(H1178&lt;'Descriptive Statistics'!$J$17,H1178&gt;'Descriptive Statistics'!$J$18),"Potential Outlier","Within Range")</f>
        <v>Within Range</v>
      </c>
    </row>
    <row r="1179" hidden="1" spans="1:19">
      <c r="A1179" t="s">
        <v>4206</v>
      </c>
      <c r="B1179" s="23">
        <v>45043</v>
      </c>
      <c r="C1179" s="23" t="str">
        <f t="shared" si="36"/>
        <v>Apr</v>
      </c>
      <c r="D1179" s="23" t="str">
        <f t="shared" si="37"/>
        <v>2023</v>
      </c>
      <c r="E1179" t="s">
        <v>4207</v>
      </c>
      <c r="F1179" s="24" t="s">
        <v>48</v>
      </c>
      <c r="G1179" s="17">
        <v>1</v>
      </c>
      <c r="H1179" s="19">
        <v>127.55</v>
      </c>
      <c r="I1179" t="s">
        <v>1670</v>
      </c>
      <c r="J1179" s="24" t="s">
        <v>65</v>
      </c>
      <c r="K1179" s="24" t="s">
        <v>19</v>
      </c>
      <c r="L1179" t="s">
        <v>4208</v>
      </c>
      <c r="M1179" s="17">
        <v>3</v>
      </c>
      <c r="N1179" t="s">
        <v>21</v>
      </c>
      <c r="O1179" s="24" t="s">
        <v>29</v>
      </c>
      <c r="P1179" s="19">
        <v>127.55</v>
      </c>
      <c r="Q1179" s="26" t="str">
        <f>IF(OR(P1179&lt;'Descriptive Statistics'!$H$17,P1179&gt;'Descriptive Statistics'!$H$18),"Potential Outlier","Within Range")</f>
        <v>Within Range</v>
      </c>
      <c r="R1179" s="26" t="str">
        <f>IF(OR(G1179&lt;'Descriptive Statistics'!$I$17,G1179&gt;'Descriptive Statistics'!$I$18),"Potential Outlier","Within Range")</f>
        <v>Within Range</v>
      </c>
      <c r="S1179" s="26" t="str">
        <f>IF(OR(H1179&lt;'Descriptive Statistics'!$J$17,H1179&gt;'Descriptive Statistics'!$J$18),"Potential Outlier","Within Range")</f>
        <v>Within Range</v>
      </c>
    </row>
    <row r="1180" hidden="1" spans="1:19">
      <c r="A1180" t="s">
        <v>4209</v>
      </c>
      <c r="B1180" s="23">
        <v>45543</v>
      </c>
      <c r="C1180" s="23" t="str">
        <f t="shared" si="36"/>
        <v>Sep</v>
      </c>
      <c r="D1180" s="23" t="str">
        <f t="shared" si="37"/>
        <v>2024</v>
      </c>
      <c r="E1180" t="s">
        <v>4210</v>
      </c>
      <c r="F1180" s="24" t="s">
        <v>16</v>
      </c>
      <c r="G1180" s="17">
        <v>1</v>
      </c>
      <c r="H1180" s="19">
        <v>70.24</v>
      </c>
      <c r="I1180" t="s">
        <v>964</v>
      </c>
      <c r="J1180" s="24" t="s">
        <v>34</v>
      </c>
      <c r="K1180" s="24" t="s">
        <v>35</v>
      </c>
      <c r="L1180" t="s">
        <v>4211</v>
      </c>
      <c r="M1180" s="17">
        <v>4</v>
      </c>
      <c r="N1180" t="s">
        <v>37</v>
      </c>
      <c r="O1180" s="24" t="s">
        <v>76</v>
      </c>
      <c r="P1180" s="19">
        <v>70.24</v>
      </c>
      <c r="Q1180" s="26" t="str">
        <f>IF(OR(P1180&lt;'Descriptive Statistics'!$H$17,P1180&gt;'Descriptive Statistics'!$H$18),"Potential Outlier","Within Range")</f>
        <v>Within Range</v>
      </c>
      <c r="R1180" s="26" t="str">
        <f>IF(OR(G1180&lt;'Descriptive Statistics'!$I$17,G1180&gt;'Descriptive Statistics'!$I$18),"Potential Outlier","Within Range")</f>
        <v>Within Range</v>
      </c>
      <c r="S1180" s="26" t="str">
        <f>IF(OR(H1180&lt;'Descriptive Statistics'!$J$17,H1180&gt;'Descriptive Statistics'!$J$18),"Potential Outlier","Within Range")</f>
        <v>Within Range</v>
      </c>
    </row>
    <row r="1181" hidden="1" spans="1:19">
      <c r="A1181" t="s">
        <v>4212</v>
      </c>
      <c r="B1181" s="23">
        <v>44934</v>
      </c>
      <c r="C1181" s="23" t="str">
        <f t="shared" si="36"/>
        <v>Jan</v>
      </c>
      <c r="D1181" s="23" t="str">
        <f t="shared" si="37"/>
        <v>2023</v>
      </c>
      <c r="E1181" t="s">
        <v>4213</v>
      </c>
      <c r="F1181" s="24" t="s">
        <v>58</v>
      </c>
      <c r="G1181" s="17">
        <v>5</v>
      </c>
      <c r="H1181" s="19">
        <v>518.55</v>
      </c>
      <c r="I1181" t="s">
        <v>1408</v>
      </c>
      <c r="J1181" s="24" t="s">
        <v>34</v>
      </c>
      <c r="K1181" s="24" t="s">
        <v>35</v>
      </c>
      <c r="L1181" t="s">
        <v>4214</v>
      </c>
      <c r="M1181" s="17">
        <v>6</v>
      </c>
      <c r="N1181" t="s">
        <v>81</v>
      </c>
      <c r="O1181" s="24" t="s">
        <v>22</v>
      </c>
      <c r="P1181" s="19">
        <v>2592.75</v>
      </c>
      <c r="Q1181" s="26" t="str">
        <f>IF(OR(P1181&lt;'Descriptive Statistics'!$H$17,P1181&gt;'Descriptive Statistics'!$H$18),"Potential Outlier","Within Range")</f>
        <v>Within Range</v>
      </c>
      <c r="R1181" s="26" t="str">
        <f>IF(OR(G1181&lt;'Descriptive Statistics'!$I$17,G1181&gt;'Descriptive Statistics'!$I$18),"Potential Outlier","Within Range")</f>
        <v>Within Range</v>
      </c>
      <c r="S1181" s="26" t="str">
        <f>IF(OR(H1181&lt;'Descriptive Statistics'!$J$17,H1181&gt;'Descriptive Statistics'!$J$18),"Potential Outlier","Within Range")</f>
        <v>Within Range</v>
      </c>
    </row>
    <row r="1182" hidden="1" spans="1:19">
      <c r="A1182" t="s">
        <v>4215</v>
      </c>
      <c r="B1182" s="23">
        <v>45230</v>
      </c>
      <c r="C1182" s="23" t="str">
        <f t="shared" si="36"/>
        <v>Oct</v>
      </c>
      <c r="D1182" s="23" t="str">
        <f t="shared" si="37"/>
        <v>2023</v>
      </c>
      <c r="E1182" t="s">
        <v>4216</v>
      </c>
      <c r="F1182" s="24" t="s">
        <v>41</v>
      </c>
      <c r="G1182" s="17">
        <v>4</v>
      </c>
      <c r="H1182" s="19">
        <v>298.36</v>
      </c>
      <c r="I1182" t="s">
        <v>2029</v>
      </c>
      <c r="J1182" s="24" t="s">
        <v>18</v>
      </c>
      <c r="K1182" s="24" t="s">
        <v>89</v>
      </c>
      <c r="L1182" t="s">
        <v>4217</v>
      </c>
      <c r="M1182" s="17">
        <v>8</v>
      </c>
      <c r="N1182" t="s">
        <v>37</v>
      </c>
      <c r="O1182" s="24" t="s">
        <v>76</v>
      </c>
      <c r="P1182" s="19">
        <v>1193.44</v>
      </c>
      <c r="Q1182" s="26" t="str">
        <f>IF(OR(P1182&lt;'Descriptive Statistics'!$H$17,P1182&gt;'Descriptive Statistics'!$H$18),"Potential Outlier","Within Range")</f>
        <v>Within Range</v>
      </c>
      <c r="R1182" s="26" t="str">
        <f>IF(OR(G1182&lt;'Descriptive Statistics'!$I$17,G1182&gt;'Descriptive Statistics'!$I$18),"Potential Outlier","Within Range")</f>
        <v>Within Range</v>
      </c>
      <c r="S1182" s="26" t="str">
        <f>IF(OR(H1182&lt;'Descriptive Statistics'!$J$17,H1182&gt;'Descriptive Statistics'!$J$18),"Potential Outlier","Within Range")</f>
        <v>Within Range</v>
      </c>
    </row>
    <row r="1183" hidden="1" spans="1:19">
      <c r="A1183" t="s">
        <v>4218</v>
      </c>
      <c r="B1183" s="23">
        <v>45134</v>
      </c>
      <c r="C1183" s="23" t="str">
        <f t="shared" si="36"/>
        <v>Jul</v>
      </c>
      <c r="D1183" s="23" t="str">
        <f t="shared" si="37"/>
        <v>2023</v>
      </c>
      <c r="E1183" t="s">
        <v>4219</v>
      </c>
      <c r="F1183" s="24" t="s">
        <v>73</v>
      </c>
      <c r="G1183" s="17">
        <v>3</v>
      </c>
      <c r="H1183" s="19">
        <v>158.74</v>
      </c>
      <c r="I1183" t="s">
        <v>1348</v>
      </c>
      <c r="J1183" s="24" t="s">
        <v>27</v>
      </c>
      <c r="K1183" s="24" t="s">
        <v>89</v>
      </c>
      <c r="L1183" t="s">
        <v>4220</v>
      </c>
      <c r="M1183" s="17">
        <v>7</v>
      </c>
      <c r="N1183" t="s">
        <v>37</v>
      </c>
      <c r="O1183" s="24" t="s">
        <v>22</v>
      </c>
      <c r="P1183" s="19">
        <v>476.22</v>
      </c>
      <c r="Q1183" s="26" t="str">
        <f>IF(OR(P1183&lt;'Descriptive Statistics'!$H$17,P1183&gt;'Descriptive Statistics'!$H$18),"Potential Outlier","Within Range")</f>
        <v>Within Range</v>
      </c>
      <c r="R1183" s="26" t="str">
        <f>IF(OR(G1183&lt;'Descriptive Statistics'!$I$17,G1183&gt;'Descriptive Statistics'!$I$18),"Potential Outlier","Within Range")</f>
        <v>Within Range</v>
      </c>
      <c r="S1183" s="26" t="str">
        <f>IF(OR(H1183&lt;'Descriptive Statistics'!$J$17,H1183&gt;'Descriptive Statistics'!$J$18),"Potential Outlier","Within Range")</f>
        <v>Within Range</v>
      </c>
    </row>
    <row r="1184" hidden="1" spans="1:19">
      <c r="A1184" t="s">
        <v>4221</v>
      </c>
      <c r="B1184" s="23">
        <v>45822</v>
      </c>
      <c r="C1184" s="23" t="str">
        <f t="shared" si="36"/>
        <v>Jun</v>
      </c>
      <c r="D1184" s="23" t="str">
        <f t="shared" si="37"/>
        <v>2025</v>
      </c>
      <c r="E1184" t="s">
        <v>4222</v>
      </c>
      <c r="F1184" s="24" t="s">
        <v>41</v>
      </c>
      <c r="G1184" s="17">
        <v>2</v>
      </c>
      <c r="H1184" s="19">
        <v>420.29</v>
      </c>
      <c r="I1184" t="s">
        <v>2257</v>
      </c>
      <c r="J1184" s="24" t="s">
        <v>60</v>
      </c>
      <c r="K1184" s="24" t="s">
        <v>43</v>
      </c>
      <c r="L1184" t="s">
        <v>4223</v>
      </c>
      <c r="M1184" s="17">
        <v>3</v>
      </c>
      <c r="N1184" t="s">
        <v>21</v>
      </c>
      <c r="O1184" s="24" t="s">
        <v>76</v>
      </c>
      <c r="P1184" s="19">
        <v>840.58</v>
      </c>
      <c r="Q1184" s="26" t="str">
        <f>IF(OR(P1184&lt;'Descriptive Statistics'!$H$17,P1184&gt;'Descriptive Statistics'!$H$18),"Potential Outlier","Within Range")</f>
        <v>Within Range</v>
      </c>
      <c r="R1184" s="26" t="str">
        <f>IF(OR(G1184&lt;'Descriptive Statistics'!$I$17,G1184&gt;'Descriptive Statistics'!$I$18),"Potential Outlier","Within Range")</f>
        <v>Within Range</v>
      </c>
      <c r="S1184" s="26" t="str">
        <f>IF(OR(H1184&lt;'Descriptive Statistics'!$J$17,H1184&gt;'Descriptive Statistics'!$J$18),"Potential Outlier","Within Range")</f>
        <v>Within Range</v>
      </c>
    </row>
    <row r="1185" hidden="1" spans="1:19">
      <c r="A1185" t="s">
        <v>4224</v>
      </c>
      <c r="B1185" s="23">
        <v>45021</v>
      </c>
      <c r="C1185" s="23" t="str">
        <f t="shared" si="36"/>
        <v>Apr</v>
      </c>
      <c r="D1185" s="23" t="str">
        <f t="shared" si="37"/>
        <v>2023</v>
      </c>
      <c r="E1185" t="s">
        <v>4225</v>
      </c>
      <c r="F1185" s="24" t="s">
        <v>73</v>
      </c>
      <c r="G1185" s="17">
        <v>1</v>
      </c>
      <c r="H1185" s="19">
        <v>281.52</v>
      </c>
      <c r="I1185" t="s">
        <v>1047</v>
      </c>
      <c r="J1185" s="24" t="s">
        <v>60</v>
      </c>
      <c r="K1185" s="24" t="s">
        <v>19</v>
      </c>
      <c r="L1185" t="s">
        <v>4226</v>
      </c>
      <c r="M1185" s="17">
        <v>6</v>
      </c>
      <c r="N1185" t="s">
        <v>81</v>
      </c>
      <c r="O1185" s="24" t="s">
        <v>29</v>
      </c>
      <c r="P1185" s="19">
        <v>281.52</v>
      </c>
      <c r="Q1185" s="26" t="str">
        <f>IF(OR(P1185&lt;'Descriptive Statistics'!$H$17,P1185&gt;'Descriptive Statistics'!$H$18),"Potential Outlier","Within Range")</f>
        <v>Within Range</v>
      </c>
      <c r="R1185" s="26" t="str">
        <f>IF(OR(G1185&lt;'Descriptive Statistics'!$I$17,G1185&gt;'Descriptive Statistics'!$I$18),"Potential Outlier","Within Range")</f>
        <v>Within Range</v>
      </c>
      <c r="S1185" s="26" t="str">
        <f>IF(OR(H1185&lt;'Descriptive Statistics'!$J$17,H1185&gt;'Descriptive Statistics'!$J$18),"Potential Outlier","Within Range")</f>
        <v>Within Range</v>
      </c>
    </row>
    <row r="1186" hidden="1" spans="1:19">
      <c r="A1186" t="s">
        <v>4227</v>
      </c>
      <c r="B1186" s="23">
        <v>45196</v>
      </c>
      <c r="C1186" s="23" t="str">
        <f t="shared" si="36"/>
        <v>Sep</v>
      </c>
      <c r="D1186" s="23" t="str">
        <f t="shared" si="37"/>
        <v>2023</v>
      </c>
      <c r="E1186" t="s">
        <v>4228</v>
      </c>
      <c r="F1186" s="24" t="s">
        <v>58</v>
      </c>
      <c r="G1186" s="17">
        <v>1</v>
      </c>
      <c r="H1186" s="19">
        <v>204.08</v>
      </c>
      <c r="I1186" t="s">
        <v>3007</v>
      </c>
      <c r="J1186" s="24" t="s">
        <v>60</v>
      </c>
      <c r="K1186" s="24" t="s">
        <v>43</v>
      </c>
      <c r="L1186" t="s">
        <v>4229</v>
      </c>
      <c r="M1186" s="17">
        <v>4</v>
      </c>
      <c r="N1186" t="s">
        <v>4295</v>
      </c>
      <c r="O1186" s="24" t="s">
        <v>76</v>
      </c>
      <c r="P1186" s="19">
        <v>204.08</v>
      </c>
      <c r="Q1186" s="26" t="str">
        <f>IF(OR(P1186&lt;'Descriptive Statistics'!$H$17,P1186&gt;'Descriptive Statistics'!$H$18),"Potential Outlier","Within Range")</f>
        <v>Within Range</v>
      </c>
      <c r="R1186" s="26" t="str">
        <f>IF(OR(G1186&lt;'Descriptive Statistics'!$I$17,G1186&gt;'Descriptive Statistics'!$I$18),"Potential Outlier","Within Range")</f>
        <v>Within Range</v>
      </c>
      <c r="S1186" s="26" t="str">
        <f>IF(OR(H1186&lt;'Descriptive Statistics'!$J$17,H1186&gt;'Descriptive Statistics'!$J$18),"Potential Outlier","Within Range")</f>
        <v>Within Range</v>
      </c>
    </row>
    <row r="1187" hidden="1" spans="1:19">
      <c r="A1187" t="s">
        <v>4230</v>
      </c>
      <c r="B1187" s="23">
        <v>45481</v>
      </c>
      <c r="C1187" s="23" t="str">
        <f t="shared" si="36"/>
        <v>Jul</v>
      </c>
      <c r="D1187" s="23" t="str">
        <f t="shared" si="37"/>
        <v>2024</v>
      </c>
      <c r="E1187" t="s">
        <v>4231</v>
      </c>
      <c r="F1187" s="24" t="s">
        <v>41</v>
      </c>
      <c r="G1187" s="17">
        <v>1</v>
      </c>
      <c r="H1187" s="19">
        <v>343.31</v>
      </c>
      <c r="I1187" t="s">
        <v>4232</v>
      </c>
      <c r="J1187" s="24" t="s">
        <v>60</v>
      </c>
      <c r="K1187" s="24" t="s">
        <v>43</v>
      </c>
      <c r="L1187" t="s">
        <v>4233</v>
      </c>
      <c r="M1187" s="17">
        <v>6</v>
      </c>
      <c r="N1187" t="s">
        <v>21</v>
      </c>
      <c r="O1187" s="24" t="s">
        <v>76</v>
      </c>
      <c r="P1187" s="19">
        <v>343.31</v>
      </c>
      <c r="Q1187" s="26" t="str">
        <f>IF(OR(P1187&lt;'Descriptive Statistics'!$H$17,P1187&gt;'Descriptive Statistics'!$H$18),"Potential Outlier","Within Range")</f>
        <v>Within Range</v>
      </c>
      <c r="R1187" s="26" t="str">
        <f>IF(OR(G1187&lt;'Descriptive Statistics'!$I$17,G1187&gt;'Descriptive Statistics'!$I$18),"Potential Outlier","Within Range")</f>
        <v>Within Range</v>
      </c>
      <c r="S1187" s="26" t="str">
        <f>IF(OR(H1187&lt;'Descriptive Statistics'!$J$17,H1187&gt;'Descriptive Statistics'!$J$18),"Potential Outlier","Within Range")</f>
        <v>Within Range</v>
      </c>
    </row>
    <row r="1188" hidden="1" spans="1:19">
      <c r="A1188" t="s">
        <v>4234</v>
      </c>
      <c r="B1188" s="23">
        <v>45248</v>
      </c>
      <c r="C1188" s="23" t="str">
        <f t="shared" si="36"/>
        <v>Nov</v>
      </c>
      <c r="D1188" s="23" t="str">
        <f t="shared" si="37"/>
        <v>2023</v>
      </c>
      <c r="E1188" t="s">
        <v>4235</v>
      </c>
      <c r="F1188" s="24" t="s">
        <v>16</v>
      </c>
      <c r="G1188" s="17">
        <v>1</v>
      </c>
      <c r="H1188" s="19">
        <v>163.32</v>
      </c>
      <c r="I1188" t="s">
        <v>4236</v>
      </c>
      <c r="J1188" s="24" t="s">
        <v>65</v>
      </c>
      <c r="K1188" s="24" t="s">
        <v>19</v>
      </c>
      <c r="L1188" t="s">
        <v>4237</v>
      </c>
      <c r="M1188" s="17">
        <v>6</v>
      </c>
      <c r="N1188" t="s">
        <v>81</v>
      </c>
      <c r="O1188" s="24" t="s">
        <v>45</v>
      </c>
      <c r="P1188" s="19">
        <v>163.32</v>
      </c>
      <c r="Q1188" s="26" t="str">
        <f>IF(OR(P1188&lt;'Descriptive Statistics'!$H$17,P1188&gt;'Descriptive Statistics'!$H$18),"Potential Outlier","Within Range")</f>
        <v>Within Range</v>
      </c>
      <c r="R1188" s="26" t="str">
        <f>IF(OR(G1188&lt;'Descriptive Statistics'!$I$17,G1188&gt;'Descriptive Statistics'!$I$18),"Potential Outlier","Within Range")</f>
        <v>Within Range</v>
      </c>
      <c r="S1188" s="26" t="str">
        <f>IF(OR(H1188&lt;'Descriptive Statistics'!$J$17,H1188&gt;'Descriptive Statistics'!$J$18),"Potential Outlier","Within Range")</f>
        <v>Within Range</v>
      </c>
    </row>
    <row r="1189" hidden="1" spans="1:19">
      <c r="A1189" t="s">
        <v>4238</v>
      </c>
      <c r="B1189" s="23">
        <v>45364</v>
      </c>
      <c r="C1189" s="23" t="str">
        <f t="shared" si="36"/>
        <v>Mar</v>
      </c>
      <c r="D1189" s="23" t="str">
        <f t="shared" si="37"/>
        <v>2024</v>
      </c>
      <c r="E1189" t="s">
        <v>4239</v>
      </c>
      <c r="F1189" s="24" t="s">
        <v>73</v>
      </c>
      <c r="G1189" s="17">
        <v>2</v>
      </c>
      <c r="H1189" s="19">
        <v>184.6</v>
      </c>
      <c r="I1189" t="s">
        <v>952</v>
      </c>
      <c r="J1189" s="24" t="s">
        <v>60</v>
      </c>
      <c r="K1189" s="24" t="s">
        <v>50</v>
      </c>
      <c r="L1189" t="s">
        <v>4240</v>
      </c>
      <c r="M1189" s="17">
        <v>7</v>
      </c>
      <c r="N1189" t="s">
        <v>81</v>
      </c>
      <c r="O1189" s="24" t="s">
        <v>38</v>
      </c>
      <c r="P1189" s="19">
        <v>369.2</v>
      </c>
      <c r="Q1189" s="26" t="str">
        <f>IF(OR(P1189&lt;'Descriptive Statistics'!$H$17,P1189&gt;'Descriptive Statistics'!$H$18),"Potential Outlier","Within Range")</f>
        <v>Within Range</v>
      </c>
      <c r="R1189" s="26" t="str">
        <f>IF(OR(G1189&lt;'Descriptive Statistics'!$I$17,G1189&gt;'Descriptive Statistics'!$I$18),"Potential Outlier","Within Range")</f>
        <v>Within Range</v>
      </c>
      <c r="S1189" s="26" t="str">
        <f>IF(OR(H1189&lt;'Descriptive Statistics'!$J$17,H1189&gt;'Descriptive Statistics'!$J$18),"Potential Outlier","Within Range")</f>
        <v>Within Range</v>
      </c>
    </row>
    <row r="1190" hidden="1" spans="1:19">
      <c r="A1190" t="s">
        <v>4241</v>
      </c>
      <c r="B1190" s="23">
        <v>45206</v>
      </c>
      <c r="C1190" s="23" t="str">
        <f t="shared" si="36"/>
        <v>Oct</v>
      </c>
      <c r="D1190" s="23" t="str">
        <f t="shared" si="37"/>
        <v>2023</v>
      </c>
      <c r="E1190" t="s">
        <v>4242</v>
      </c>
      <c r="F1190" s="24" t="s">
        <v>48</v>
      </c>
      <c r="G1190" s="17">
        <v>2</v>
      </c>
      <c r="H1190" s="19">
        <v>371.29</v>
      </c>
      <c r="I1190" t="s">
        <v>4243</v>
      </c>
      <c r="J1190" s="24" t="s">
        <v>60</v>
      </c>
      <c r="K1190" s="24" t="s">
        <v>19</v>
      </c>
      <c r="L1190" t="s">
        <v>4244</v>
      </c>
      <c r="M1190" s="17">
        <v>5</v>
      </c>
      <c r="N1190" t="s">
        <v>81</v>
      </c>
      <c r="O1190" s="24" t="s">
        <v>45</v>
      </c>
      <c r="P1190" s="19">
        <v>742.58</v>
      </c>
      <c r="Q1190" s="26" t="str">
        <f>IF(OR(P1190&lt;'Descriptive Statistics'!$H$17,P1190&gt;'Descriptive Statistics'!$H$18),"Potential Outlier","Within Range")</f>
        <v>Within Range</v>
      </c>
      <c r="R1190" s="26" t="str">
        <f>IF(OR(G1190&lt;'Descriptive Statistics'!$I$17,G1190&gt;'Descriptive Statistics'!$I$18),"Potential Outlier","Within Range")</f>
        <v>Within Range</v>
      </c>
      <c r="S1190" s="26" t="str">
        <f>IF(OR(H1190&lt;'Descriptive Statistics'!$J$17,H1190&gt;'Descriptive Statistics'!$J$18),"Potential Outlier","Within Range")</f>
        <v>Within Range</v>
      </c>
    </row>
    <row r="1191" hidden="1" spans="1:19">
      <c r="A1191" t="s">
        <v>4245</v>
      </c>
      <c r="B1191" s="23">
        <v>45521</v>
      </c>
      <c r="C1191" s="23" t="str">
        <f t="shared" si="36"/>
        <v>Aug</v>
      </c>
      <c r="D1191" s="23" t="str">
        <f t="shared" si="37"/>
        <v>2024</v>
      </c>
      <c r="E1191" t="s">
        <v>4246</v>
      </c>
      <c r="F1191" s="24" t="s">
        <v>32</v>
      </c>
      <c r="G1191" s="17">
        <v>5</v>
      </c>
      <c r="H1191" s="19">
        <v>389.22</v>
      </c>
      <c r="I1191" t="s">
        <v>4247</v>
      </c>
      <c r="J1191" s="24" t="s">
        <v>65</v>
      </c>
      <c r="K1191" s="24" t="s">
        <v>35</v>
      </c>
      <c r="L1191" t="s">
        <v>4248</v>
      </c>
      <c r="M1191" s="17">
        <v>7</v>
      </c>
      <c r="N1191" t="s">
        <v>4295</v>
      </c>
      <c r="O1191" s="24" t="s">
        <v>29</v>
      </c>
      <c r="P1191" s="19">
        <v>1946.1</v>
      </c>
      <c r="Q1191" s="26" t="str">
        <f>IF(OR(P1191&lt;'Descriptive Statistics'!$H$17,P1191&gt;'Descriptive Statistics'!$H$18),"Potential Outlier","Within Range")</f>
        <v>Within Range</v>
      </c>
      <c r="R1191" s="26" t="str">
        <f>IF(OR(G1191&lt;'Descriptive Statistics'!$I$17,G1191&gt;'Descriptive Statistics'!$I$18),"Potential Outlier","Within Range")</f>
        <v>Within Range</v>
      </c>
      <c r="S1191" s="26" t="str">
        <f>IF(OR(H1191&lt;'Descriptive Statistics'!$J$17,H1191&gt;'Descriptive Statistics'!$J$18),"Potential Outlier","Within Range")</f>
        <v>Within Range</v>
      </c>
    </row>
    <row r="1192" hidden="1" spans="1:19">
      <c r="A1192" t="s">
        <v>4249</v>
      </c>
      <c r="B1192" s="23">
        <v>45816</v>
      </c>
      <c r="C1192" s="23" t="str">
        <f t="shared" si="36"/>
        <v>Jun</v>
      </c>
      <c r="D1192" s="23" t="str">
        <f t="shared" si="37"/>
        <v>2025</v>
      </c>
      <c r="E1192" t="s">
        <v>4250</v>
      </c>
      <c r="F1192" s="24" t="s">
        <v>73</v>
      </c>
      <c r="G1192" s="17">
        <v>3</v>
      </c>
      <c r="H1192" s="19">
        <v>616.39</v>
      </c>
      <c r="I1192" t="s">
        <v>4251</v>
      </c>
      <c r="J1192" s="24" t="s">
        <v>34</v>
      </c>
      <c r="K1192" s="24" t="s">
        <v>19</v>
      </c>
      <c r="L1192" t="s">
        <v>4252</v>
      </c>
      <c r="M1192" s="17">
        <v>6</v>
      </c>
      <c r="N1192" t="s">
        <v>37</v>
      </c>
      <c r="O1192" s="24" t="s">
        <v>22</v>
      </c>
      <c r="P1192" s="19">
        <v>1849.17</v>
      </c>
      <c r="Q1192" s="26" t="str">
        <f>IF(OR(P1192&lt;'Descriptive Statistics'!$H$17,P1192&gt;'Descriptive Statistics'!$H$18),"Potential Outlier","Within Range")</f>
        <v>Within Range</v>
      </c>
      <c r="R1192" s="26" t="str">
        <f>IF(OR(G1192&lt;'Descriptive Statistics'!$I$17,G1192&gt;'Descriptive Statistics'!$I$18),"Potential Outlier","Within Range")</f>
        <v>Within Range</v>
      </c>
      <c r="S1192" s="26" t="str">
        <f>IF(OR(H1192&lt;'Descriptive Statistics'!$J$17,H1192&gt;'Descriptive Statistics'!$J$18),"Potential Outlier","Within Range")</f>
        <v>Within Range</v>
      </c>
    </row>
    <row r="1193" hidden="1" spans="1:19">
      <c r="A1193" t="s">
        <v>4253</v>
      </c>
      <c r="B1193" s="23">
        <v>45698</v>
      </c>
      <c r="C1193" s="23" t="str">
        <f t="shared" si="36"/>
        <v>Feb</v>
      </c>
      <c r="D1193" s="23" t="str">
        <f t="shared" si="37"/>
        <v>2025</v>
      </c>
      <c r="E1193" t="s">
        <v>4254</v>
      </c>
      <c r="F1193" s="24" t="s">
        <v>73</v>
      </c>
      <c r="G1193" s="17">
        <v>4</v>
      </c>
      <c r="H1193" s="19">
        <v>376.43</v>
      </c>
      <c r="I1193" t="s">
        <v>2298</v>
      </c>
      <c r="J1193" s="24" t="s">
        <v>60</v>
      </c>
      <c r="K1193" s="24" t="s">
        <v>89</v>
      </c>
      <c r="L1193" t="s">
        <v>4255</v>
      </c>
      <c r="M1193" s="17">
        <v>5</v>
      </c>
      <c r="N1193" t="s">
        <v>81</v>
      </c>
      <c r="O1193" s="24" t="s">
        <v>22</v>
      </c>
      <c r="P1193" s="19">
        <v>1505.72</v>
      </c>
      <c r="Q1193" s="26" t="str">
        <f>IF(OR(P1193&lt;'Descriptive Statistics'!$H$17,P1193&gt;'Descriptive Statistics'!$H$18),"Potential Outlier","Within Range")</f>
        <v>Within Range</v>
      </c>
      <c r="R1193" s="26" t="str">
        <f>IF(OR(G1193&lt;'Descriptive Statistics'!$I$17,G1193&gt;'Descriptive Statistics'!$I$18),"Potential Outlier","Within Range")</f>
        <v>Within Range</v>
      </c>
      <c r="S1193" s="26" t="str">
        <f>IF(OR(H1193&lt;'Descriptive Statistics'!$J$17,H1193&gt;'Descriptive Statistics'!$J$18),"Potential Outlier","Within Range")</f>
        <v>Within Range</v>
      </c>
    </row>
    <row r="1194" hidden="1" spans="1:19">
      <c r="A1194" t="s">
        <v>4256</v>
      </c>
      <c r="B1194" s="23">
        <v>45350</v>
      </c>
      <c r="C1194" s="23" t="str">
        <f t="shared" si="36"/>
        <v>Feb</v>
      </c>
      <c r="D1194" s="23" t="str">
        <f t="shared" si="37"/>
        <v>2024</v>
      </c>
      <c r="E1194" t="s">
        <v>4257</v>
      </c>
      <c r="F1194" s="24" t="s">
        <v>41</v>
      </c>
      <c r="G1194" s="17">
        <v>3</v>
      </c>
      <c r="H1194" s="19">
        <v>432.85</v>
      </c>
      <c r="I1194" t="s">
        <v>845</v>
      </c>
      <c r="J1194" s="24" t="s">
        <v>27</v>
      </c>
      <c r="K1194" s="24" t="s">
        <v>89</v>
      </c>
      <c r="L1194" t="s">
        <v>4258</v>
      </c>
      <c r="M1194" s="17">
        <v>4</v>
      </c>
      <c r="N1194" t="s">
        <v>4295</v>
      </c>
      <c r="O1194" s="24" t="s">
        <v>22</v>
      </c>
      <c r="P1194" s="19">
        <v>1298.55</v>
      </c>
      <c r="Q1194" s="26" t="str">
        <f>IF(OR(P1194&lt;'Descriptive Statistics'!$H$17,P1194&gt;'Descriptive Statistics'!$H$18),"Potential Outlier","Within Range")</f>
        <v>Within Range</v>
      </c>
      <c r="R1194" s="26" t="str">
        <f>IF(OR(G1194&lt;'Descriptive Statistics'!$I$17,G1194&gt;'Descriptive Statistics'!$I$18),"Potential Outlier","Within Range")</f>
        <v>Within Range</v>
      </c>
      <c r="S1194" s="26" t="str">
        <f>IF(OR(H1194&lt;'Descriptive Statistics'!$J$17,H1194&gt;'Descriptive Statistics'!$J$18),"Potential Outlier","Within Range")</f>
        <v>Within Range</v>
      </c>
    </row>
    <row r="1195" hidden="1" spans="1:19">
      <c r="A1195" t="s">
        <v>4259</v>
      </c>
      <c r="B1195" s="23">
        <v>45824</v>
      </c>
      <c r="C1195" s="23" t="str">
        <f t="shared" si="36"/>
        <v>Jun</v>
      </c>
      <c r="D1195" s="23" t="str">
        <f t="shared" si="37"/>
        <v>2025</v>
      </c>
      <c r="E1195" t="s">
        <v>4260</v>
      </c>
      <c r="F1195" s="24" t="s">
        <v>32</v>
      </c>
      <c r="G1195" s="17">
        <v>1</v>
      </c>
      <c r="H1195" s="19">
        <v>687.89</v>
      </c>
      <c r="I1195" t="s">
        <v>343</v>
      </c>
      <c r="J1195" s="24" t="s">
        <v>65</v>
      </c>
      <c r="K1195" s="24" t="s">
        <v>43</v>
      </c>
      <c r="L1195" t="s">
        <v>4261</v>
      </c>
      <c r="M1195" s="17">
        <v>1</v>
      </c>
      <c r="N1195" t="s">
        <v>37</v>
      </c>
      <c r="O1195" s="24" t="s">
        <v>38</v>
      </c>
      <c r="P1195" s="19">
        <v>687.89</v>
      </c>
      <c r="Q1195" s="26" t="str">
        <f>IF(OR(P1195&lt;'Descriptive Statistics'!$H$17,P1195&gt;'Descriptive Statistics'!$H$18),"Potential Outlier","Within Range")</f>
        <v>Within Range</v>
      </c>
      <c r="R1195" s="26" t="str">
        <f>IF(OR(G1195&lt;'Descriptive Statistics'!$I$17,G1195&gt;'Descriptive Statistics'!$I$18),"Potential Outlier","Within Range")</f>
        <v>Within Range</v>
      </c>
      <c r="S1195" s="26" t="str">
        <f>IF(OR(H1195&lt;'Descriptive Statistics'!$J$17,H1195&gt;'Descriptive Statistics'!$J$18),"Potential Outlier","Within Range")</f>
        <v>Within Range</v>
      </c>
    </row>
    <row r="1196" hidden="1" spans="1:19">
      <c r="A1196" t="s">
        <v>4262</v>
      </c>
      <c r="B1196" s="23">
        <v>45249</v>
      </c>
      <c r="C1196" s="23" t="str">
        <f t="shared" si="36"/>
        <v>Nov</v>
      </c>
      <c r="D1196" s="23" t="str">
        <f t="shared" si="37"/>
        <v>2023</v>
      </c>
      <c r="E1196" t="s">
        <v>4263</v>
      </c>
      <c r="F1196" s="24" t="s">
        <v>48</v>
      </c>
      <c r="G1196" s="17">
        <v>3</v>
      </c>
      <c r="H1196" s="19">
        <v>189.44</v>
      </c>
      <c r="I1196" t="s">
        <v>783</v>
      </c>
      <c r="J1196" s="24" t="s">
        <v>65</v>
      </c>
      <c r="K1196" s="24" t="s">
        <v>89</v>
      </c>
      <c r="L1196" t="s">
        <v>4264</v>
      </c>
      <c r="M1196" s="17">
        <v>4</v>
      </c>
      <c r="N1196" t="s">
        <v>37</v>
      </c>
      <c r="O1196" s="24" t="s">
        <v>38</v>
      </c>
      <c r="P1196" s="19">
        <v>568.32</v>
      </c>
      <c r="Q1196" s="26" t="str">
        <f>IF(OR(P1196&lt;'Descriptive Statistics'!$H$17,P1196&gt;'Descriptive Statistics'!$H$18),"Potential Outlier","Within Range")</f>
        <v>Within Range</v>
      </c>
      <c r="R1196" s="26" t="str">
        <f>IF(OR(G1196&lt;'Descriptive Statistics'!$I$17,G1196&gt;'Descriptive Statistics'!$I$18),"Potential Outlier","Within Range")</f>
        <v>Within Range</v>
      </c>
      <c r="S1196" s="26" t="str">
        <f>IF(OR(H1196&lt;'Descriptive Statistics'!$J$17,H1196&gt;'Descriptive Statistics'!$J$18),"Potential Outlier","Within Range")</f>
        <v>Within Range</v>
      </c>
    </row>
    <row r="1197" hidden="1" spans="1:19">
      <c r="A1197" t="s">
        <v>4265</v>
      </c>
      <c r="B1197" s="23">
        <v>45463</v>
      </c>
      <c r="C1197" s="23" t="str">
        <f t="shared" si="36"/>
        <v>Jun</v>
      </c>
      <c r="D1197" s="23" t="str">
        <f t="shared" si="37"/>
        <v>2024</v>
      </c>
      <c r="E1197" t="s">
        <v>4266</v>
      </c>
      <c r="F1197" s="24" t="s">
        <v>73</v>
      </c>
      <c r="G1197" s="17">
        <v>1</v>
      </c>
      <c r="H1197" s="19">
        <v>107.04</v>
      </c>
      <c r="I1197" t="s">
        <v>4267</v>
      </c>
      <c r="J1197" s="24" t="s">
        <v>34</v>
      </c>
      <c r="K1197" s="24" t="s">
        <v>35</v>
      </c>
      <c r="L1197" t="s">
        <v>4268</v>
      </c>
      <c r="M1197" s="17">
        <v>6</v>
      </c>
      <c r="N1197" t="s">
        <v>37</v>
      </c>
      <c r="O1197" s="24" t="s">
        <v>76</v>
      </c>
      <c r="P1197" s="19">
        <v>107.04</v>
      </c>
      <c r="Q1197" s="26" t="str">
        <f>IF(OR(P1197&lt;'Descriptive Statistics'!$H$17,P1197&gt;'Descriptive Statistics'!$H$18),"Potential Outlier","Within Range")</f>
        <v>Within Range</v>
      </c>
      <c r="R1197" s="26" t="str">
        <f>IF(OR(G1197&lt;'Descriptive Statistics'!$I$17,G1197&gt;'Descriptive Statistics'!$I$18),"Potential Outlier","Within Range")</f>
        <v>Within Range</v>
      </c>
      <c r="S1197" s="26" t="str">
        <f>IF(OR(H1197&lt;'Descriptive Statistics'!$J$17,H1197&gt;'Descriptive Statistics'!$J$18),"Potential Outlier","Within Range")</f>
        <v>Within Range</v>
      </c>
    </row>
    <row r="1198" hidden="1" spans="1:19">
      <c r="A1198" t="s">
        <v>4269</v>
      </c>
      <c r="B1198" s="23">
        <v>45355</v>
      </c>
      <c r="C1198" s="23" t="str">
        <f t="shared" si="36"/>
        <v>Mar</v>
      </c>
      <c r="D1198" s="23" t="str">
        <f t="shared" si="37"/>
        <v>2024</v>
      </c>
      <c r="E1198" t="s">
        <v>4270</v>
      </c>
      <c r="F1198" s="24" t="s">
        <v>16</v>
      </c>
      <c r="G1198" s="17">
        <v>2</v>
      </c>
      <c r="H1198" s="19">
        <v>662.53</v>
      </c>
      <c r="I1198" t="s">
        <v>1549</v>
      </c>
      <c r="J1198" s="24" t="s">
        <v>27</v>
      </c>
      <c r="K1198" s="24" t="s">
        <v>35</v>
      </c>
      <c r="L1198" t="s">
        <v>4271</v>
      </c>
      <c r="M1198" s="17">
        <v>5</v>
      </c>
      <c r="N1198" t="s">
        <v>4295</v>
      </c>
      <c r="O1198" s="24" t="s">
        <v>45</v>
      </c>
      <c r="P1198" s="19">
        <v>1325.06</v>
      </c>
      <c r="Q1198" s="26" t="str">
        <f>IF(OR(P1198&lt;'Descriptive Statistics'!$H$17,P1198&gt;'Descriptive Statistics'!$H$18),"Potential Outlier","Within Range")</f>
        <v>Within Range</v>
      </c>
      <c r="R1198" s="26" t="str">
        <f>IF(OR(G1198&lt;'Descriptive Statistics'!$I$17,G1198&gt;'Descriptive Statistics'!$I$18),"Potential Outlier","Within Range")</f>
        <v>Within Range</v>
      </c>
      <c r="S1198" s="26" t="str">
        <f>IF(OR(H1198&lt;'Descriptive Statistics'!$J$17,H1198&gt;'Descriptive Statistics'!$J$18),"Potential Outlier","Within Range")</f>
        <v>Within Range</v>
      </c>
    </row>
    <row r="1199" hidden="1" spans="1:19">
      <c r="A1199" t="s">
        <v>4272</v>
      </c>
      <c r="B1199" s="23">
        <v>45120</v>
      </c>
      <c r="C1199" s="23" t="str">
        <f t="shared" si="36"/>
        <v>Jul</v>
      </c>
      <c r="D1199" s="23" t="str">
        <f t="shared" si="37"/>
        <v>2023</v>
      </c>
      <c r="E1199" t="s">
        <v>4273</v>
      </c>
      <c r="F1199" s="24" t="s">
        <v>32</v>
      </c>
      <c r="G1199" s="17">
        <v>2</v>
      </c>
      <c r="H1199" s="19">
        <v>436.84</v>
      </c>
      <c r="I1199" t="s">
        <v>42</v>
      </c>
      <c r="J1199" s="24" t="s">
        <v>27</v>
      </c>
      <c r="K1199" s="24" t="s">
        <v>50</v>
      </c>
      <c r="L1199" t="s">
        <v>4274</v>
      </c>
      <c r="M1199" s="17">
        <v>2</v>
      </c>
      <c r="N1199" t="s">
        <v>37</v>
      </c>
      <c r="O1199" s="24" t="s">
        <v>22</v>
      </c>
      <c r="P1199" s="19">
        <v>873.68</v>
      </c>
      <c r="Q1199" s="26" t="str">
        <f>IF(OR(P1199&lt;'Descriptive Statistics'!$H$17,P1199&gt;'Descriptive Statistics'!$H$18),"Potential Outlier","Within Range")</f>
        <v>Within Range</v>
      </c>
      <c r="R1199" s="26" t="str">
        <f>IF(OR(G1199&lt;'Descriptive Statistics'!$I$17,G1199&gt;'Descriptive Statistics'!$I$18),"Potential Outlier","Within Range")</f>
        <v>Within Range</v>
      </c>
      <c r="S1199" s="26" t="str">
        <f>IF(OR(H1199&lt;'Descriptive Statistics'!$J$17,H1199&gt;'Descriptive Statistics'!$J$18),"Potential Outlier","Within Range")</f>
        <v>Within Range</v>
      </c>
    </row>
    <row r="1200" hidden="1" spans="1:19">
      <c r="A1200" t="s">
        <v>4275</v>
      </c>
      <c r="B1200" s="23">
        <v>45526</v>
      </c>
      <c r="C1200" s="23" t="str">
        <f t="shared" si="36"/>
        <v>Aug</v>
      </c>
      <c r="D1200" s="23" t="str">
        <f t="shared" si="37"/>
        <v>2024</v>
      </c>
      <c r="E1200" t="s">
        <v>4276</v>
      </c>
      <c r="F1200" s="24" t="s">
        <v>41</v>
      </c>
      <c r="G1200" s="17">
        <v>4</v>
      </c>
      <c r="H1200" s="19">
        <v>262.52</v>
      </c>
      <c r="I1200" t="s">
        <v>4277</v>
      </c>
      <c r="J1200" s="24" t="s">
        <v>18</v>
      </c>
      <c r="K1200" s="24" t="s">
        <v>35</v>
      </c>
      <c r="L1200" t="s">
        <v>4278</v>
      </c>
      <c r="M1200" s="17">
        <v>4</v>
      </c>
      <c r="N1200" t="s">
        <v>81</v>
      </c>
      <c r="O1200" s="24" t="s">
        <v>22</v>
      </c>
      <c r="P1200" s="19">
        <v>1050.08</v>
      </c>
      <c r="Q1200" s="26" t="str">
        <f>IF(OR(P1200&lt;'Descriptive Statistics'!$H$17,P1200&gt;'Descriptive Statistics'!$H$18),"Potential Outlier","Within Range")</f>
        <v>Within Range</v>
      </c>
      <c r="R1200" s="26" t="str">
        <f>IF(OR(G1200&lt;'Descriptive Statistics'!$I$17,G1200&gt;'Descriptive Statistics'!$I$18),"Potential Outlier","Within Range")</f>
        <v>Within Range</v>
      </c>
      <c r="S1200" s="26" t="str">
        <f>IF(OR(H1200&lt;'Descriptive Statistics'!$J$17,H1200&gt;'Descriptive Statistics'!$J$18),"Potential Outlier","Within Range")</f>
        <v>Within Range</v>
      </c>
    </row>
    <row r="1201" hidden="1" spans="1:19">
      <c r="A1201" t="s">
        <v>4279</v>
      </c>
      <c r="B1201" s="23">
        <v>45088</v>
      </c>
      <c r="C1201" s="23" t="str">
        <f t="shared" si="36"/>
        <v>Jun</v>
      </c>
      <c r="D1201" s="23" t="str">
        <f t="shared" si="37"/>
        <v>2023</v>
      </c>
      <c r="E1201" t="s">
        <v>4280</v>
      </c>
      <c r="F1201" s="24" t="s">
        <v>32</v>
      </c>
      <c r="G1201" s="17">
        <v>4</v>
      </c>
      <c r="H1201" s="19">
        <v>560.58</v>
      </c>
      <c r="I1201" t="s">
        <v>4281</v>
      </c>
      <c r="J1201" s="24" t="s">
        <v>60</v>
      </c>
      <c r="K1201" s="24" t="s">
        <v>43</v>
      </c>
      <c r="L1201" t="s">
        <v>4282</v>
      </c>
      <c r="M1201" s="17">
        <v>6</v>
      </c>
      <c r="N1201" t="s">
        <v>21</v>
      </c>
      <c r="O1201" s="24" t="s">
        <v>29</v>
      </c>
      <c r="P1201" s="19">
        <v>2242.32</v>
      </c>
      <c r="Q1201" s="26" t="str">
        <f>IF(OR(P1201&lt;'Descriptive Statistics'!$H$17,P1201&gt;'Descriptive Statistics'!$H$18),"Potential Outlier","Within Range")</f>
        <v>Within Range</v>
      </c>
      <c r="R1201" s="26" t="str">
        <f>IF(OR(G1201&lt;'Descriptive Statistics'!$I$17,G1201&gt;'Descriptive Statistics'!$I$18),"Potential Outlier","Within Range")</f>
        <v>Within Range</v>
      </c>
      <c r="S1201" s="26" t="str">
        <f>IF(OR(H1201&lt;'Descriptive Statistics'!$J$17,H1201&gt;'Descriptive Statistics'!$J$18),"Potential Outlier","Within Range")</f>
        <v>Within Range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8"/>
  <sheetViews>
    <sheetView topLeftCell="A2" workbookViewId="0">
      <selection activeCell="E28" sqref="E28"/>
    </sheetView>
  </sheetViews>
  <sheetFormatPr defaultColWidth="8.72727272727273" defaultRowHeight="14.5"/>
  <cols>
    <col min="1" max="1" width="19.8181818181818" customWidth="1"/>
    <col min="2" max="2" width="15.7272727272727" customWidth="1"/>
    <col min="3" max="3" width="14.4545454545455"/>
    <col min="4" max="4" width="19.3636363636364" customWidth="1"/>
    <col min="5" max="5" width="18.3636363636364" customWidth="1"/>
    <col min="6" max="6" width="12.8181818181818"/>
    <col min="7" max="7" width="18.4545454545455" customWidth="1"/>
    <col min="8" max="8" width="17.1818181818182" customWidth="1"/>
    <col min="9" max="9" width="12.8181818181818"/>
    <col min="10" max="10" width="19.2727272727273" customWidth="1"/>
    <col min="11" max="11" width="18.7272727272727" customWidth="1"/>
    <col min="12" max="12" width="11.7272727272727"/>
  </cols>
  <sheetData>
    <row r="2" spans="1:11">
      <c r="A2" t="s">
        <v>4299</v>
      </c>
      <c r="B2" t="s">
        <v>4300</v>
      </c>
      <c r="D2" t="s">
        <v>4301</v>
      </c>
      <c r="E2" t="s">
        <v>4300</v>
      </c>
      <c r="G2" t="s">
        <v>4302</v>
      </c>
      <c r="H2" t="s">
        <v>4300</v>
      </c>
      <c r="J2" t="s">
        <v>4303</v>
      </c>
      <c r="K2" t="s">
        <v>4300</v>
      </c>
    </row>
    <row r="3" spans="1:11">
      <c r="A3" t="s">
        <v>4304</v>
      </c>
      <c r="B3">
        <f>COUNTA('Cleaned Sheet'!A2:A1201)</f>
        <v>1200</v>
      </c>
      <c r="D3" t="s">
        <v>4305</v>
      </c>
      <c r="E3" s="10">
        <f>AVERAGE('Cleaned Sheet'!Q2:Q1201)</f>
        <v>1053.9683</v>
      </c>
      <c r="G3" t="s">
        <v>4306</v>
      </c>
      <c r="H3" s="17">
        <f>SUM('Cleaned Sheet'!H2:H1201)</f>
        <v>3535</v>
      </c>
      <c r="J3" t="s">
        <v>4307</v>
      </c>
      <c r="K3" s="17">
        <f>SUM('Cleaned Sheet'!N2:N1201)</f>
        <v>6582</v>
      </c>
    </row>
    <row r="4" spans="1:11">
      <c r="A4" t="s">
        <v>4308</v>
      </c>
      <c r="B4" cm="1">
        <f t="array" ref="B4">COUNTA(_xlfn.UNIQUE('Cleaned Sheet'!F2:F1201))</f>
        <v>1189</v>
      </c>
      <c r="D4" t="s">
        <v>4309</v>
      </c>
      <c r="E4" s="10">
        <f>MEDIAN('Cleaned Sheet'!Q2:Q1201)</f>
        <v>823.615</v>
      </c>
      <c r="G4" t="s">
        <v>4310</v>
      </c>
      <c r="H4" s="18">
        <f>AVERAGE('Cleaned Sheet'!H2:H1201)</f>
        <v>2.94583333333333</v>
      </c>
      <c r="J4" t="s">
        <v>4310</v>
      </c>
      <c r="K4">
        <f>AVERAGE('Cleaned Sheet'!N2:N1201)</f>
        <v>5.485</v>
      </c>
    </row>
    <row r="5" spans="1:11">
      <c r="A5" t="s">
        <v>4311</v>
      </c>
      <c r="B5" s="19">
        <f>SUM('Cleaned Sheet'!Q2:Q1201)</f>
        <v>1264761.96</v>
      </c>
      <c r="D5" t="s">
        <v>4312</v>
      </c>
      <c r="E5" s="10">
        <f>MAX('Cleaned Sheet'!Q2:Q1201)</f>
        <v>3456.4</v>
      </c>
      <c r="G5" t="s">
        <v>4313</v>
      </c>
      <c r="H5">
        <f>MEDIAN('Cleaned Sheet'!H2:H1201)</f>
        <v>3</v>
      </c>
      <c r="J5" t="s">
        <v>4313</v>
      </c>
      <c r="K5">
        <f>MEDIAN('Cleaned Sheet'!N2:N1201)</f>
        <v>5</v>
      </c>
    </row>
    <row r="6" spans="4:11">
      <c r="D6" t="s">
        <v>4314</v>
      </c>
      <c r="E6" s="10">
        <f>MIN('Cleaned Sheet'!Q2:Q1201)</f>
        <v>11.39</v>
      </c>
      <c r="G6" t="s">
        <v>4315</v>
      </c>
      <c r="H6">
        <f>MIN('Cleaned Sheet'!H2:H1201)</f>
        <v>1</v>
      </c>
      <c r="J6" t="s">
        <v>4315</v>
      </c>
      <c r="K6">
        <f>MIN('Cleaned Sheet'!N2:N1201)</f>
        <v>1</v>
      </c>
    </row>
    <row r="7" spans="1:11">
      <c r="A7" t="s">
        <v>4316</v>
      </c>
      <c r="B7" t="s">
        <v>4300</v>
      </c>
      <c r="D7" t="s">
        <v>4317</v>
      </c>
      <c r="E7">
        <f>_xlfn.STDEV.S('Cleaned Sheet'!Q2:Q1201)</f>
        <v>819.856558364645</v>
      </c>
      <c r="G7" t="s">
        <v>4318</v>
      </c>
      <c r="H7">
        <f>MAX('Cleaned Sheet'!H2:H1201)</f>
        <v>5</v>
      </c>
      <c r="J7" t="s">
        <v>4318</v>
      </c>
      <c r="K7">
        <f>MAX('Cleaned Sheet'!N2:N1201)</f>
        <v>10</v>
      </c>
    </row>
    <row r="8" spans="1:11">
      <c r="A8" t="s">
        <v>19</v>
      </c>
      <c r="B8" s="10">
        <f>SUMIF('Cleaned Sheet'!L2:L1201,"Shipped",'Cleaned Sheet'!Q2:Q1201)</f>
        <v>246159.58</v>
      </c>
      <c r="G8" t="s">
        <v>4319</v>
      </c>
      <c r="H8" cm="1">
        <f t="array" ref="H8">MODE('Cleaned Sheet'!H2:H1201)</f>
        <v>1</v>
      </c>
      <c r="J8" t="s">
        <v>4319</v>
      </c>
      <c r="K8" cm="1">
        <f t="array" ref="K8">MODE('Cleaned Sheet'!N2:N1201)</f>
        <v>5</v>
      </c>
    </row>
    <row r="9" spans="1:11">
      <c r="A9" t="s">
        <v>50</v>
      </c>
      <c r="B9" s="10">
        <f>SUMIF('Cleaned Sheet'!L2:L1201,"Delivered",'Cleaned Sheet'!Q2:Q1201)</f>
        <v>242600.32</v>
      </c>
      <c r="G9" t="s">
        <v>4317</v>
      </c>
      <c r="H9">
        <f>_xlfn.STDEV.S('Cleaned Sheet'!H2:H1201)</f>
        <v>1.40755709879832</v>
      </c>
      <c r="J9" t="s">
        <v>4317</v>
      </c>
      <c r="K9">
        <f>_xlfn.STDEV.S('Cleaned Sheet'!N2:N1201)</f>
        <v>2.28198332010286</v>
      </c>
    </row>
    <row r="10" spans="1:5">
      <c r="A10" t="s">
        <v>43</v>
      </c>
      <c r="B10" s="10">
        <f>SUMIF('Cleaned Sheet'!L2:L1201,"Returned",'Cleaned Sheet'!Q2:Q1201)</f>
        <v>243277.7</v>
      </c>
      <c r="D10" t="s">
        <v>4286</v>
      </c>
      <c r="E10" t="s">
        <v>4300</v>
      </c>
    </row>
    <row r="11" spans="1:5">
      <c r="A11" t="s">
        <v>4320</v>
      </c>
      <c r="B11" s="10">
        <f>SUM(B8,B9)</f>
        <v>488759.9</v>
      </c>
      <c r="D11" t="s">
        <v>4307</v>
      </c>
      <c r="E11" s="19">
        <f>SUM('Cleaned Sheet'!I2:I1201)</f>
        <v>427695.3</v>
      </c>
    </row>
    <row r="12" spans="1:10">
      <c r="A12" t="s">
        <v>4321</v>
      </c>
      <c r="B12" s="10">
        <f>B11/(COUNTIF('Cleaned Sheet'!L2:L1201,"Shipped")+COUNTIF('Cleaned Sheet'!L2:L1201,"Delivered"))</f>
        <v>1048.84098712446</v>
      </c>
      <c r="D12" t="s">
        <v>4310</v>
      </c>
      <c r="E12" s="10">
        <f>AVERAGE('Cleaned Sheet'!I1:I1201)</f>
        <v>356.41275</v>
      </c>
      <c r="G12" t="s">
        <v>4322</v>
      </c>
      <c r="H12" t="s">
        <v>4294</v>
      </c>
      <c r="I12" t="s">
        <v>4</v>
      </c>
      <c r="J12" t="s">
        <v>4286</v>
      </c>
    </row>
    <row r="13" spans="1:10">
      <c r="A13" t="s">
        <v>4323</v>
      </c>
      <c r="B13" s="11">
        <f>COUNTIF('Cleaned Sheet'!L2:L1201,"Returned")/COUNTA('Cleaned Sheet'!L2:L1201)</f>
        <v>0.205833333333333</v>
      </c>
      <c r="D13" t="s">
        <v>4313</v>
      </c>
      <c r="E13" s="10">
        <f>MEDIAN('Cleaned Sheet'!I2:I1201)</f>
        <v>364.21</v>
      </c>
      <c r="G13" t="s">
        <v>4324</v>
      </c>
      <c r="H13" t="s">
        <v>4294</v>
      </c>
      <c r="I13" t="s">
        <v>4</v>
      </c>
      <c r="J13" t="s">
        <v>4286</v>
      </c>
    </row>
    <row r="14" spans="1:10">
      <c r="A14" t="s">
        <v>4325</v>
      </c>
      <c r="B14" s="11">
        <f>COUNTIF('Cleaned Sheet'!L2:L1201,"Cancelled")/COUNTA('Cleaned Sheet'!L2:L1201)</f>
        <v>0.208333333333333</v>
      </c>
      <c r="D14" t="s">
        <v>4318</v>
      </c>
      <c r="E14" s="10">
        <f>MAX('Cleaned Sheet'!I2:I1201)</f>
        <v>699.93</v>
      </c>
      <c r="G14" t="s">
        <v>4326</v>
      </c>
      <c r="H14">
        <f>QUARTILE('Cleaned Sheet'!Q2:Q1201,1)</f>
        <v>410.52</v>
      </c>
      <c r="I14">
        <f>QUARTILE('Cleaned Sheet'!H2:H1201,1)</f>
        <v>2</v>
      </c>
      <c r="J14">
        <f>QUARTILE('Cleaned Sheet'!I2:I1201,1)</f>
        <v>186.0625</v>
      </c>
    </row>
    <row r="15" spans="4:10">
      <c r="D15" t="s">
        <v>4315</v>
      </c>
      <c r="E15" s="10">
        <f>MIN('Cleaned Sheet'!I2:I1201)</f>
        <v>11.39</v>
      </c>
      <c r="G15" t="s">
        <v>4327</v>
      </c>
      <c r="H15">
        <f>QUARTILE('Cleaned Sheet'!Q2:Q1201,3)</f>
        <v>1578.475</v>
      </c>
      <c r="I15">
        <f>QUARTILE('Cleaned Sheet'!H2:H1201,3)</f>
        <v>4</v>
      </c>
      <c r="J15">
        <f>QUARTILE('Cleaned Sheet'!I2:I1201,3)</f>
        <v>521.57</v>
      </c>
    </row>
    <row r="16" spans="4:10">
      <c r="D16" t="s">
        <v>4328</v>
      </c>
      <c r="E16">
        <f>_xlfn.STDEV.S('Cleaned Sheet'!I2:I1201)</f>
        <v>197.177146414912</v>
      </c>
      <c r="G16" t="s">
        <v>4329</v>
      </c>
      <c r="H16">
        <f>H15-H14</f>
        <v>1167.955</v>
      </c>
      <c r="I16">
        <f>I15-I14</f>
        <v>2</v>
      </c>
      <c r="J16">
        <f>J15-J14</f>
        <v>335.5075</v>
      </c>
    </row>
    <row r="17" spans="7:10">
      <c r="G17" t="s">
        <v>4330</v>
      </c>
      <c r="H17">
        <f>H14-(1.5*H16)</f>
        <v>-1341.4125</v>
      </c>
      <c r="I17">
        <f>I14-(1.5*I16)</f>
        <v>-1</v>
      </c>
      <c r="J17">
        <f>J14-(1.5*J16)</f>
        <v>-317.19875</v>
      </c>
    </row>
    <row r="18" spans="1:10">
      <c r="A18" t="s">
        <v>4285</v>
      </c>
      <c r="B18" t="s">
        <v>4331</v>
      </c>
      <c r="C18" t="s">
        <v>4332</v>
      </c>
      <c r="D18" t="s">
        <v>4333</v>
      </c>
      <c r="G18" t="s">
        <v>4334</v>
      </c>
      <c r="H18">
        <f>H15+(1.5*H16)</f>
        <v>3330.4075</v>
      </c>
      <c r="I18">
        <f>I15+(1.5*I16)</f>
        <v>7</v>
      </c>
      <c r="J18">
        <f>J15+(1.5*J16)</f>
        <v>1024.83125</v>
      </c>
    </row>
    <row r="19" spans="1:4">
      <c r="A19" t="s">
        <v>4335</v>
      </c>
      <c r="B19" s="20">
        <f>SUMIFS('Cleaned Sheet'!Q:Q,'Cleaned Sheet'!D:D,"2023",'Cleaned Sheet'!E:E,"Q1")</f>
        <v>145412.78</v>
      </c>
      <c r="C19">
        <f>COUNTIFS('Cleaned Sheet'!$D$2:$D$1201,"2023",'Cleaned Sheet'!$E$2:$E$1201,"Q1")</f>
        <v>127</v>
      </c>
      <c r="D19" s="20">
        <f>B19/C19</f>
        <v>1144.98251968504</v>
      </c>
    </row>
    <row r="20" spans="1:4">
      <c r="A20" t="s">
        <v>4336</v>
      </c>
      <c r="B20" s="20">
        <f>SUMIFS('Cleaned Sheet'!Q:Q,'Cleaned Sheet'!D:D,"2023",'Cleaned Sheet'!E:E,"Q2")</f>
        <v>141088.74</v>
      </c>
      <c r="C20">
        <f>COUNTIFS('Cleaned Sheet'!$D$2:$D$1201,"2023",'Cleaned Sheet'!$E$2:$E$1201,"Q2")</f>
        <v>125</v>
      </c>
      <c r="D20" s="20">
        <f>B20/C20</f>
        <v>1128.70992</v>
      </c>
    </row>
    <row r="21" spans="1:4">
      <c r="A21" t="s">
        <v>4337</v>
      </c>
      <c r="B21" s="20">
        <f>SUMIFS('Cleaned Sheet'!Q:Q,'Cleaned Sheet'!D:D,"2023",'Cleaned Sheet'!E:E,"Q3")</f>
        <v>126699.47</v>
      </c>
      <c r="C21">
        <f>COUNTIFS('Cleaned Sheet'!$D$2:$D$1201,"2023",'Cleaned Sheet'!$E$2:$E$1201,"Q3")</f>
        <v>124</v>
      </c>
      <c r="D21" s="20">
        <f>B21/C21</f>
        <v>1021.76991935484</v>
      </c>
    </row>
    <row r="22" spans="1:11">
      <c r="A22" t="s">
        <v>4338</v>
      </c>
      <c r="B22" s="20">
        <f>SUMIFS('Cleaned Sheet'!Q:Q,'Cleaned Sheet'!D:D,"2023",'Cleaned Sheet'!E:E,"Q4")</f>
        <v>139442.25</v>
      </c>
      <c r="C22">
        <f>COUNTIFS('Cleaned Sheet'!$D$2:$D$1201,"2023",'Cleaned Sheet'!$E$2:$E$1201,"Q4")</f>
        <v>134</v>
      </c>
      <c r="D22" s="20">
        <f>B22/C22</f>
        <v>1040.61380597015</v>
      </c>
      <c r="K22" s="21"/>
    </row>
    <row r="23" spans="1:4">
      <c r="A23" t="s">
        <v>4339</v>
      </c>
      <c r="B23" s="20">
        <f>SUMIFS('Cleaned Sheet'!Q:Q,'Cleaned Sheet'!D:D,"2024",'Cleaned Sheet'!E:E,"Q1")</f>
        <v>111468.55</v>
      </c>
      <c r="C23">
        <f>COUNTIFS('Cleaned Sheet'!$D$2:$D$1201,"2024",'Cleaned Sheet'!$E$2:$E$1201,"Q1")</f>
        <v>100</v>
      </c>
      <c r="D23" s="20">
        <f>B23/C23</f>
        <v>1114.6855</v>
      </c>
    </row>
    <row r="24" spans="1:11">
      <c r="A24" t="s">
        <v>4340</v>
      </c>
      <c r="B24" s="20">
        <f>SUMIFS('Cleaned Sheet'!Q:Q,'Cleaned Sheet'!D:D,"2024",'Cleaned Sheet'!E:E,"Q2")</f>
        <v>145590.79</v>
      </c>
      <c r="C24">
        <f>COUNTIFS('Cleaned Sheet'!$D$2:$D$1201,"2024",'Cleaned Sheet'!$E$2:$E$1201,"Q2")</f>
        <v>137</v>
      </c>
      <c r="D24" s="20">
        <f>B24/C24</f>
        <v>1062.70649635037</v>
      </c>
      <c r="K24" s="21"/>
    </row>
    <row r="25" spans="1:4">
      <c r="A25" t="s">
        <v>4341</v>
      </c>
      <c r="B25" s="20">
        <f>SUMIFS('Cleaned Sheet'!Q:Q,'Cleaned Sheet'!D:D,"2024",'Cleaned Sheet'!E:E,"Q3")</f>
        <v>114750.03</v>
      </c>
      <c r="C25">
        <f>COUNTIFS('Cleaned Sheet'!$D$2:$D$1201,"2024",'Cleaned Sheet'!$E$2:$E$1201,"Q3")</f>
        <v>115</v>
      </c>
      <c r="D25" s="20">
        <f>B25/C25</f>
        <v>997.826347826087</v>
      </c>
    </row>
    <row r="26" spans="1:4">
      <c r="A26" t="s">
        <v>4342</v>
      </c>
      <c r="B26" s="20">
        <f>SUMIFS('Cleaned Sheet'!Q:Q,'Cleaned Sheet'!D:D,"2024",'Cleaned Sheet'!E:E,"Q4")</f>
        <v>108426.5</v>
      </c>
      <c r="C26">
        <f>COUNTIFS('Cleaned Sheet'!$D$2:$D$1201,"2024",'Cleaned Sheet'!$E$2:$E$1201,"Q4")</f>
        <v>107</v>
      </c>
      <c r="D26" s="20">
        <f>B26/C26</f>
        <v>1013.33177570093</v>
      </c>
    </row>
    <row r="27" spans="1:4">
      <c r="A27" t="s">
        <v>4343</v>
      </c>
      <c r="B27" s="20">
        <f>SUMIFS('Cleaned Sheet'!Q:Q,'Cleaned Sheet'!D:D,"2025",'Cleaned Sheet'!E:E,"Q1")</f>
        <v>103617.61</v>
      </c>
      <c r="C27">
        <f>COUNTIFS('Cleaned Sheet'!$D$2:$D$1201,"2025",'Cleaned Sheet'!$E$2:$E$1201,"Q1")</f>
        <v>113</v>
      </c>
      <c r="D27" s="20">
        <f>B27/C27</f>
        <v>916.97</v>
      </c>
    </row>
    <row r="28" spans="1:4">
      <c r="A28" t="s">
        <v>4344</v>
      </c>
      <c r="B28" s="20">
        <f>SUMIFS('Cleaned Sheet'!Q:Q,'Cleaned Sheet'!D:D,"2025",'Cleaned Sheet'!E:E,"Q2")</f>
        <v>128265.24</v>
      </c>
      <c r="C28">
        <f>COUNTIFS('Cleaned Sheet'!$D$2:$D$1201,"2025",'Cleaned Sheet'!$E$2:$E$1201,"Q2")</f>
        <v>118</v>
      </c>
      <c r="D28" s="20">
        <f>B28/C28</f>
        <v>1086.99355932203</v>
      </c>
    </row>
  </sheetData>
  <pageMargins left="0.75" right="0.75" top="1" bottom="1" header="0.5" footer="0.5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218"/>
  <sheetViews>
    <sheetView topLeftCell="A10" workbookViewId="0">
      <selection activeCell="B22" sqref="B22:B29"/>
    </sheetView>
  </sheetViews>
  <sheetFormatPr defaultColWidth="8.72727272727273" defaultRowHeight="14.5"/>
  <cols>
    <col min="1" max="1" width="11.6363636363636"/>
    <col min="2" max="7" width="17.2727272727273"/>
    <col min="8" max="8" width="23.5454545454545"/>
    <col min="9" max="9" width="19"/>
    <col min="10" max="10" width="25.7272727272727"/>
    <col min="11" max="11" width="15.1818181818182"/>
    <col min="12" max="12" width="11.6363636363636"/>
    <col min="13" max="13" width="19.6363636363636"/>
    <col min="14" max="14" width="9.27272727272727" customWidth="1"/>
    <col min="15" max="15" width="11.3636363636364" customWidth="1"/>
    <col min="16" max="16" width="9.27272727272727"/>
    <col min="17" max="17" width="16.8181818181818"/>
    <col min="18" max="686" width="11"/>
    <col min="687" max="687" width="11.5454545454545"/>
  </cols>
  <sheetData>
    <row r="3" ht="29" spans="1:15">
      <c r="A3" t="s">
        <v>3</v>
      </c>
      <c r="B3" t="s">
        <v>4345</v>
      </c>
      <c r="C3" t="s">
        <v>4346</v>
      </c>
      <c r="D3" s="10" t="s">
        <v>4347</v>
      </c>
      <c r="E3" t="s">
        <v>4348</v>
      </c>
      <c r="F3" t="s">
        <v>4349</v>
      </c>
      <c r="G3" t="s">
        <v>4350</v>
      </c>
      <c r="I3" t="s">
        <v>4288</v>
      </c>
      <c r="J3" t="s">
        <v>4351</v>
      </c>
      <c r="L3" s="14" t="s">
        <v>4352</v>
      </c>
      <c r="M3" s="14" t="s">
        <v>4353</v>
      </c>
      <c r="N3" s="14" t="s">
        <v>4354</v>
      </c>
      <c r="O3" s="14" t="s">
        <v>4355</v>
      </c>
    </row>
    <row r="4" spans="1:15">
      <c r="A4" t="s">
        <v>32</v>
      </c>
      <c r="B4" s="11">
        <v>0.149166666666667</v>
      </c>
      <c r="C4">
        <v>179</v>
      </c>
      <c r="D4" s="10">
        <v>65814.56</v>
      </c>
      <c r="E4" s="11">
        <v>0.153881887409097</v>
      </c>
      <c r="F4" s="10">
        <v>186568.95</v>
      </c>
      <c r="G4" s="11">
        <v>0.147513094084519</v>
      </c>
      <c r="I4" t="s">
        <v>27</v>
      </c>
      <c r="J4">
        <v>258</v>
      </c>
      <c r="L4" s="15">
        <v>0</v>
      </c>
      <c r="M4" s="15">
        <v>500</v>
      </c>
      <c r="N4" s="16" t="str">
        <f t="shared" ref="N4:N11" si="0">L4&amp;"-"&amp;M4</f>
        <v>0-500</v>
      </c>
      <c r="O4" s="16">
        <f>COUNTIFS('Cleaned Sheet'!$Q$2:$Q$1201,"&gt;="&amp;L4,'Cleaned Sheet'!$Q$2:$Q$1201,"&lt;"&amp;M4)</f>
        <v>383</v>
      </c>
    </row>
    <row r="5" spans="1:15">
      <c r="A5" t="s">
        <v>48</v>
      </c>
      <c r="B5" s="11">
        <v>0.150833333333333</v>
      </c>
      <c r="C5">
        <v>181</v>
      </c>
      <c r="D5" s="10">
        <v>63660.4000000001</v>
      </c>
      <c r="E5" s="11">
        <v>0.148845217611697</v>
      </c>
      <c r="F5" s="10">
        <v>195612.61</v>
      </c>
      <c r="G5" s="11">
        <v>0.15466357795897</v>
      </c>
      <c r="I5" t="s">
        <v>65</v>
      </c>
      <c r="J5">
        <v>246</v>
      </c>
      <c r="L5" s="15">
        <v>500</v>
      </c>
      <c r="M5" s="15">
        <v>1000</v>
      </c>
      <c r="N5" s="16" t="str">
        <f t="shared" si="0"/>
        <v>500-1000</v>
      </c>
      <c r="O5" s="16">
        <f>COUNTIFS('Cleaned Sheet'!$Q$2:$Q$1201,"&gt;="&amp;L5,'Cleaned Sheet'!$Q$2:$Q$1201,"&lt;"&amp;M5)</f>
        <v>305</v>
      </c>
    </row>
    <row r="6" spans="1:15">
      <c r="A6" t="s">
        <v>25</v>
      </c>
      <c r="B6" s="11">
        <v>0.13</v>
      </c>
      <c r="C6">
        <v>156</v>
      </c>
      <c r="D6" s="10">
        <v>58533.94</v>
      </c>
      <c r="E6" s="11">
        <v>0.136858974134156</v>
      </c>
      <c r="F6" s="10">
        <v>151722.39</v>
      </c>
      <c r="G6" s="11">
        <v>0.119961221793862</v>
      </c>
      <c r="I6" t="s">
        <v>34</v>
      </c>
      <c r="J6">
        <v>234</v>
      </c>
      <c r="L6" s="15">
        <v>1000</v>
      </c>
      <c r="M6" s="15">
        <v>1500</v>
      </c>
      <c r="N6" s="16" t="str">
        <f t="shared" si="0"/>
        <v>1000-1500</v>
      </c>
      <c r="O6" s="16">
        <f>COUNTIFS('Cleaned Sheet'!$Q$2:$Q$1201,"&gt;="&amp;L6,'Cleaned Sheet'!$Q$2:$Q$1201,"&lt;"&amp;M6)</f>
        <v>190</v>
      </c>
    </row>
    <row r="7" spans="1:15">
      <c r="A7" t="s">
        <v>16</v>
      </c>
      <c r="B7" s="11">
        <v>0.135833333333333</v>
      </c>
      <c r="C7">
        <v>163</v>
      </c>
      <c r="D7" s="10">
        <v>58462.17</v>
      </c>
      <c r="E7" s="11">
        <v>0.13669116775424</v>
      </c>
      <c r="F7" s="10">
        <v>175651.41</v>
      </c>
      <c r="G7" s="11">
        <v>0.138881003347065</v>
      </c>
      <c r="I7" t="s">
        <v>18</v>
      </c>
      <c r="J7">
        <v>232</v>
      </c>
      <c r="L7" s="15">
        <v>1500</v>
      </c>
      <c r="M7" s="15">
        <v>2000</v>
      </c>
      <c r="N7" s="16" t="str">
        <f t="shared" si="0"/>
        <v>1500-2000</v>
      </c>
      <c r="O7" s="16">
        <f>COUNTIFS('Cleaned Sheet'!$Q$2:$Q$1201,"&gt;="&amp;L7,'Cleaned Sheet'!$Q$2:$Q$1201,"&lt;"&amp;M7)</f>
        <v>142</v>
      </c>
    </row>
    <row r="8" spans="1:15">
      <c r="A8" t="s">
        <v>58</v>
      </c>
      <c r="B8" s="11">
        <v>0.144166666666667</v>
      </c>
      <c r="C8">
        <v>173</v>
      </c>
      <c r="D8" s="10">
        <v>61883.32</v>
      </c>
      <c r="E8" s="11">
        <v>0.144690203516382</v>
      </c>
      <c r="F8" s="10">
        <v>192126.56</v>
      </c>
      <c r="G8" s="11">
        <v>0.151907288546218</v>
      </c>
      <c r="I8" t="s">
        <v>60</v>
      </c>
      <c r="J8">
        <v>230</v>
      </c>
      <c r="L8" s="15">
        <v>2000</v>
      </c>
      <c r="M8" s="15">
        <v>2500</v>
      </c>
      <c r="N8" s="16" t="str">
        <f t="shared" si="0"/>
        <v>2000-2500</v>
      </c>
      <c r="O8" s="16">
        <f>COUNTIFS('Cleaned Sheet'!$Q$2:$Q$1201,"&gt;="&amp;L8,'Cleaned Sheet'!$Q$2:$Q$1201,"&lt;"&amp;M8)</f>
        <v>86</v>
      </c>
    </row>
    <row r="9" spans="1:15">
      <c r="A9" t="s">
        <v>73</v>
      </c>
      <c r="B9" s="11">
        <v>0.141666666666667</v>
      </c>
      <c r="C9">
        <v>170</v>
      </c>
      <c r="D9" s="10">
        <v>56033.38</v>
      </c>
      <c r="E9" s="11">
        <v>0.131012381945745</v>
      </c>
      <c r="F9" s="10">
        <v>167459.93</v>
      </c>
      <c r="G9" s="11">
        <v>0.132404306340776</v>
      </c>
      <c r="I9" t="s">
        <v>4356</v>
      </c>
      <c r="J9">
        <v>1200</v>
      </c>
      <c r="L9" s="15">
        <v>2500</v>
      </c>
      <c r="M9" s="15">
        <v>3000</v>
      </c>
      <c r="N9" s="16" t="str">
        <f t="shared" si="0"/>
        <v>2500-3000</v>
      </c>
      <c r="O9" s="16">
        <f>COUNTIFS('Cleaned Sheet'!$Q$2:$Q$1201,"&gt;="&amp;L9,'Cleaned Sheet'!$Q$2:$Q$1201,"&lt;"&amp;M9)</f>
        <v>60</v>
      </c>
    </row>
    <row r="10" spans="1:15">
      <c r="A10" t="s">
        <v>41</v>
      </c>
      <c r="B10" s="11">
        <v>0.148333333333333</v>
      </c>
      <c r="C10">
        <v>178</v>
      </c>
      <c r="D10" s="10">
        <v>63307.53</v>
      </c>
      <c r="E10" s="11">
        <v>0.148020167628683</v>
      </c>
      <c r="F10" s="10">
        <v>195620.11</v>
      </c>
      <c r="G10" s="11">
        <v>0.154669507928591</v>
      </c>
      <c r="L10" s="15">
        <v>3000</v>
      </c>
      <c r="M10" s="15">
        <v>3500</v>
      </c>
      <c r="N10" s="16" t="str">
        <f t="shared" si="0"/>
        <v>3000-3500</v>
      </c>
      <c r="O10" s="16">
        <f>COUNTIFS('Cleaned Sheet'!$Q$2:$Q$1201,"&gt;="&amp;L10,'Cleaned Sheet'!$Q$2:$Q$1201,"&lt;"&amp;M10)</f>
        <v>34</v>
      </c>
    </row>
    <row r="11" spans="1:15">
      <c r="A11" t="s">
        <v>4356</v>
      </c>
      <c r="B11" s="11">
        <v>1</v>
      </c>
      <c r="C11">
        <v>1200</v>
      </c>
      <c r="D11" s="10">
        <v>427695.3</v>
      </c>
      <c r="E11" s="11">
        <v>1</v>
      </c>
      <c r="F11" s="10">
        <v>1264761.96</v>
      </c>
      <c r="G11" s="11">
        <v>1</v>
      </c>
      <c r="L11" s="15">
        <v>3500</v>
      </c>
      <c r="M11" s="15">
        <v>4000</v>
      </c>
      <c r="N11" s="16" t="str">
        <f t="shared" si="0"/>
        <v>3500-4000</v>
      </c>
      <c r="O11" s="16">
        <f>COUNTIFS('Cleaned Sheet'!$Q$2:$Q$1201,"&gt;="&amp;L11,'Cleaned Sheet'!$Q$2:$Q$1201,"&lt;"&amp;M11)</f>
        <v>0</v>
      </c>
    </row>
    <row r="13" spans="1:13">
      <c r="A13" t="s">
        <v>4289</v>
      </c>
      <c r="B13" t="s">
        <v>4357</v>
      </c>
      <c r="D13" t="s">
        <v>4292</v>
      </c>
      <c r="E13" t="s">
        <v>4358</v>
      </c>
      <c r="G13" t="s">
        <v>4293</v>
      </c>
      <c r="H13" t="s">
        <v>4359</v>
      </c>
      <c r="L13" t="s">
        <v>4354</v>
      </c>
      <c r="M13" t="s">
        <v>4360</v>
      </c>
    </row>
    <row r="14" spans="1:13">
      <c r="A14" t="s">
        <v>35</v>
      </c>
      <c r="B14">
        <v>250</v>
      </c>
      <c r="D14" t="s">
        <v>37</v>
      </c>
      <c r="E14">
        <v>313</v>
      </c>
      <c r="G14" t="s">
        <v>22</v>
      </c>
      <c r="H14">
        <v>259</v>
      </c>
      <c r="L14" t="s">
        <v>4361</v>
      </c>
      <c r="M14">
        <v>383</v>
      </c>
    </row>
    <row r="15" spans="1:13">
      <c r="A15" t="s">
        <v>43</v>
      </c>
      <c r="B15">
        <v>247</v>
      </c>
      <c r="D15" t="s">
        <v>4295</v>
      </c>
      <c r="E15">
        <v>309</v>
      </c>
      <c r="G15" t="s">
        <v>38</v>
      </c>
      <c r="H15">
        <v>250</v>
      </c>
      <c r="L15" t="s">
        <v>4362</v>
      </c>
      <c r="M15">
        <v>305</v>
      </c>
    </row>
    <row r="16" spans="1:13">
      <c r="A16" t="s">
        <v>89</v>
      </c>
      <c r="B16">
        <v>237</v>
      </c>
      <c r="D16" t="s">
        <v>81</v>
      </c>
      <c r="E16">
        <v>292</v>
      </c>
      <c r="G16" t="s">
        <v>76</v>
      </c>
      <c r="H16">
        <v>241</v>
      </c>
      <c r="L16" t="s">
        <v>4363</v>
      </c>
      <c r="M16">
        <v>190</v>
      </c>
    </row>
    <row r="17" spans="1:13">
      <c r="A17" t="s">
        <v>19</v>
      </c>
      <c r="B17">
        <v>235</v>
      </c>
      <c r="D17" t="s">
        <v>21</v>
      </c>
      <c r="E17">
        <v>286</v>
      </c>
      <c r="G17" t="s">
        <v>45</v>
      </c>
      <c r="H17">
        <v>228</v>
      </c>
      <c r="L17" t="s">
        <v>4364</v>
      </c>
      <c r="M17">
        <v>142</v>
      </c>
    </row>
    <row r="18" spans="1:13">
      <c r="A18" t="s">
        <v>50</v>
      </c>
      <c r="B18">
        <v>231</v>
      </c>
      <c r="D18" t="s">
        <v>4356</v>
      </c>
      <c r="E18">
        <v>1200</v>
      </c>
      <c r="G18" t="s">
        <v>29</v>
      </c>
      <c r="H18">
        <v>222</v>
      </c>
      <c r="L18" t="s">
        <v>4365</v>
      </c>
      <c r="M18">
        <v>86</v>
      </c>
    </row>
    <row r="19" spans="1:13">
      <c r="A19" t="s">
        <v>4356</v>
      </c>
      <c r="B19">
        <v>1200</v>
      </c>
      <c r="G19" t="s">
        <v>4356</v>
      </c>
      <c r="H19">
        <v>1200</v>
      </c>
      <c r="L19" t="s">
        <v>4366</v>
      </c>
      <c r="M19">
        <v>60</v>
      </c>
    </row>
    <row r="20" spans="8:13">
      <c r="H20" s="10"/>
      <c r="L20" t="s">
        <v>4367</v>
      </c>
      <c r="M20">
        <v>34</v>
      </c>
    </row>
    <row r="21" spans="1:13">
      <c r="A21" t="s">
        <v>3</v>
      </c>
      <c r="B21" t="s">
        <v>4331</v>
      </c>
      <c r="D21" t="s">
        <v>3</v>
      </c>
      <c r="E21" t="s">
        <v>4346</v>
      </c>
      <c r="G21" t="s">
        <v>4284</v>
      </c>
      <c r="H21" t="s">
        <v>4283</v>
      </c>
      <c r="I21" t="s">
        <v>4346</v>
      </c>
      <c r="L21" t="s">
        <v>4368</v>
      </c>
      <c r="M21">
        <v>0</v>
      </c>
    </row>
    <row r="22" spans="1:13">
      <c r="A22" t="s">
        <v>41</v>
      </c>
      <c r="B22" s="12">
        <v>195620.11</v>
      </c>
      <c r="D22" t="s">
        <v>48</v>
      </c>
      <c r="E22">
        <v>181</v>
      </c>
      <c r="G22" t="s">
        <v>4369</v>
      </c>
      <c r="I22">
        <v>510</v>
      </c>
      <c r="L22" t="s">
        <v>4356</v>
      </c>
      <c r="M22">
        <v>1200</v>
      </c>
    </row>
    <row r="23" spans="1:9">
      <c r="A23" t="s">
        <v>48</v>
      </c>
      <c r="B23" s="12">
        <v>195612.61</v>
      </c>
      <c r="D23" t="s">
        <v>32</v>
      </c>
      <c r="E23">
        <v>179</v>
      </c>
      <c r="H23" t="s">
        <v>4370</v>
      </c>
      <c r="I23">
        <v>47</v>
      </c>
    </row>
    <row r="24" spans="1:9">
      <c r="A24" t="s">
        <v>58</v>
      </c>
      <c r="B24" s="12">
        <v>192126.56</v>
      </c>
      <c r="D24" t="s">
        <v>41</v>
      </c>
      <c r="E24">
        <v>178</v>
      </c>
      <c r="H24" t="s">
        <v>4371</v>
      </c>
      <c r="I24">
        <v>37</v>
      </c>
    </row>
    <row r="25" spans="1:9">
      <c r="A25" t="s">
        <v>32</v>
      </c>
      <c r="B25" s="12">
        <v>186568.95</v>
      </c>
      <c r="D25" t="s">
        <v>58</v>
      </c>
      <c r="E25">
        <v>173</v>
      </c>
      <c r="H25" t="s">
        <v>4372</v>
      </c>
      <c r="I25">
        <v>43</v>
      </c>
    </row>
    <row r="26" spans="1:9">
      <c r="A26" t="s">
        <v>16</v>
      </c>
      <c r="B26" s="12">
        <v>175651.41</v>
      </c>
      <c r="D26" t="s">
        <v>73</v>
      </c>
      <c r="E26">
        <v>170</v>
      </c>
      <c r="H26" t="s">
        <v>4373</v>
      </c>
      <c r="I26">
        <v>31</v>
      </c>
    </row>
    <row r="27" spans="1:9">
      <c r="A27" t="s">
        <v>73</v>
      </c>
      <c r="B27" s="12">
        <v>167459.93</v>
      </c>
      <c r="D27" t="s">
        <v>16</v>
      </c>
      <c r="E27">
        <v>163</v>
      </c>
      <c r="H27" t="s">
        <v>4374</v>
      </c>
      <c r="I27">
        <v>49</v>
      </c>
    </row>
    <row r="28" spans="1:9">
      <c r="A28" t="s">
        <v>25</v>
      </c>
      <c r="B28" s="12">
        <v>151722.39</v>
      </c>
      <c r="D28" t="s">
        <v>25</v>
      </c>
      <c r="E28">
        <v>156</v>
      </c>
      <c r="H28" t="s">
        <v>4375</v>
      </c>
      <c r="I28">
        <v>45</v>
      </c>
    </row>
    <row r="29" spans="1:9">
      <c r="A29" t="s">
        <v>4356</v>
      </c>
      <c r="B29" s="12">
        <v>1264761.96</v>
      </c>
      <c r="D29" t="s">
        <v>4356</v>
      </c>
      <c r="E29">
        <v>1200</v>
      </c>
      <c r="H29" t="s">
        <v>4376</v>
      </c>
      <c r="I29">
        <v>44</v>
      </c>
    </row>
    <row r="30" spans="8:9">
      <c r="H30" t="s">
        <v>4377</v>
      </c>
      <c r="I30">
        <v>51</v>
      </c>
    </row>
    <row r="31" spans="1:9">
      <c r="A31" t="s">
        <v>4284</v>
      </c>
      <c r="B31" t="s">
        <v>4285</v>
      </c>
      <c r="C31" t="s">
        <v>4349</v>
      </c>
      <c r="H31" t="s">
        <v>4378</v>
      </c>
      <c r="I31">
        <v>29</v>
      </c>
    </row>
    <row r="32" spans="1:9">
      <c r="A32" t="s">
        <v>4369</v>
      </c>
      <c r="C32" s="13">
        <v>552643.24</v>
      </c>
      <c r="H32" t="s">
        <v>4379</v>
      </c>
      <c r="I32">
        <v>47</v>
      </c>
    </row>
    <row r="33" spans="2:9">
      <c r="B33" t="s">
        <v>4380</v>
      </c>
      <c r="C33" s="13">
        <v>145412.78</v>
      </c>
      <c r="H33" t="s">
        <v>4381</v>
      </c>
      <c r="I33">
        <v>41</v>
      </c>
    </row>
    <row r="34" spans="2:9">
      <c r="B34" t="s">
        <v>4382</v>
      </c>
      <c r="C34" s="13">
        <v>141088.74</v>
      </c>
      <c r="H34" t="s">
        <v>4383</v>
      </c>
      <c r="I34">
        <v>46</v>
      </c>
    </row>
    <row r="35" spans="2:9">
      <c r="B35" t="s">
        <v>4384</v>
      </c>
      <c r="C35" s="13">
        <v>126699.47</v>
      </c>
      <c r="G35" t="s">
        <v>4385</v>
      </c>
      <c r="I35">
        <v>459</v>
      </c>
    </row>
    <row r="36" spans="2:9">
      <c r="B36" t="s">
        <v>4386</v>
      </c>
      <c r="C36" s="13">
        <v>139442.25</v>
      </c>
      <c r="H36" t="s">
        <v>4370</v>
      </c>
      <c r="I36">
        <v>32</v>
      </c>
    </row>
    <row r="37" spans="1:9">
      <c r="A37" t="s">
        <v>4385</v>
      </c>
      <c r="C37" s="13">
        <v>480235.87</v>
      </c>
      <c r="H37" t="s">
        <v>4371</v>
      </c>
      <c r="I37">
        <v>32</v>
      </c>
    </row>
    <row r="38" spans="2:9">
      <c r="B38" t="s">
        <v>4380</v>
      </c>
      <c r="C38" s="13">
        <v>111468.55</v>
      </c>
      <c r="H38" t="s">
        <v>4372</v>
      </c>
      <c r="I38">
        <v>36</v>
      </c>
    </row>
    <row r="39" spans="2:9">
      <c r="B39" t="s">
        <v>4382</v>
      </c>
      <c r="C39" s="13">
        <v>145590.79</v>
      </c>
      <c r="H39" t="s">
        <v>4373</v>
      </c>
      <c r="I39">
        <v>50</v>
      </c>
    </row>
    <row r="40" spans="2:9">
      <c r="B40" t="s">
        <v>4384</v>
      </c>
      <c r="C40" s="13">
        <v>114750.03</v>
      </c>
      <c r="H40" t="s">
        <v>4374</v>
      </c>
      <c r="I40">
        <v>34</v>
      </c>
    </row>
    <row r="41" spans="2:9">
      <c r="B41" t="s">
        <v>4386</v>
      </c>
      <c r="C41" s="13">
        <v>108426.5</v>
      </c>
      <c r="H41" t="s">
        <v>4375</v>
      </c>
      <c r="I41">
        <v>53</v>
      </c>
    </row>
    <row r="42" spans="1:9">
      <c r="A42" t="s">
        <v>4387</v>
      </c>
      <c r="C42" s="13">
        <v>231882.85</v>
      </c>
      <c r="H42" t="s">
        <v>4376</v>
      </c>
      <c r="I42">
        <v>43</v>
      </c>
    </row>
    <row r="43" spans="2:9">
      <c r="B43" t="s">
        <v>4380</v>
      </c>
      <c r="C43" s="13">
        <v>103617.61</v>
      </c>
      <c r="H43" t="s">
        <v>4377</v>
      </c>
      <c r="I43">
        <v>28</v>
      </c>
    </row>
    <row r="44" spans="2:9">
      <c r="B44" t="s">
        <v>4382</v>
      </c>
      <c r="C44" s="13">
        <v>128265.24</v>
      </c>
      <c r="H44" t="s">
        <v>4378</v>
      </c>
      <c r="I44">
        <v>44</v>
      </c>
    </row>
    <row r="45" spans="1:9">
      <c r="A45" t="s">
        <v>4356</v>
      </c>
      <c r="C45" s="13">
        <v>1264761.96</v>
      </c>
      <c r="H45" t="s">
        <v>4379</v>
      </c>
      <c r="I45">
        <v>31</v>
      </c>
    </row>
    <row r="46" spans="8:9">
      <c r="H46" t="s">
        <v>4381</v>
      </c>
      <c r="I46">
        <v>35</v>
      </c>
    </row>
    <row r="47" spans="8:9">
      <c r="H47" t="s">
        <v>4383</v>
      </c>
      <c r="I47">
        <v>41</v>
      </c>
    </row>
    <row r="48" spans="7:9">
      <c r="G48" t="s">
        <v>4387</v>
      </c>
      <c r="I48">
        <v>231</v>
      </c>
    </row>
    <row r="49" spans="8:9">
      <c r="H49" t="s">
        <v>4370</v>
      </c>
      <c r="I49">
        <v>27</v>
      </c>
    </row>
    <row r="50" spans="8:9">
      <c r="H50" t="s">
        <v>4371</v>
      </c>
      <c r="I50">
        <v>37</v>
      </c>
    </row>
    <row r="51" spans="8:9">
      <c r="H51" t="s">
        <v>4372</v>
      </c>
      <c r="I51">
        <v>49</v>
      </c>
    </row>
    <row r="52" spans="8:9">
      <c r="H52" t="s">
        <v>4373</v>
      </c>
      <c r="I52">
        <v>32</v>
      </c>
    </row>
    <row r="53" spans="8:9">
      <c r="H53" t="s">
        <v>4374</v>
      </c>
      <c r="I53">
        <v>37</v>
      </c>
    </row>
    <row r="54" spans="8:9">
      <c r="H54" t="s">
        <v>4375</v>
      </c>
      <c r="I54">
        <v>49</v>
      </c>
    </row>
    <row r="55" spans="7:9">
      <c r="G55" t="s">
        <v>4356</v>
      </c>
      <c r="I55">
        <v>1200</v>
      </c>
    </row>
    <row r="56" spans="8:8">
      <c r="H56" s="10"/>
    </row>
    <row r="57" spans="8:8">
      <c r="H57" s="10"/>
    </row>
    <row r="58" spans="8:8">
      <c r="H58" s="10"/>
    </row>
    <row r="59" spans="8:8">
      <c r="H59" s="10"/>
    </row>
    <row r="60" spans="8:8">
      <c r="H60" s="10"/>
    </row>
    <row r="61" spans="8:8">
      <c r="H61" s="10"/>
    </row>
    <row r="62" spans="8:8">
      <c r="H62" s="10"/>
    </row>
    <row r="63" spans="8:8">
      <c r="H63" s="10"/>
    </row>
    <row r="64" spans="8:8">
      <c r="H64" s="10"/>
    </row>
    <row r="65" spans="8:8">
      <c r="H65" s="10"/>
    </row>
    <row r="66" spans="8:8">
      <c r="H66" s="10"/>
    </row>
    <row r="67" spans="8:8">
      <c r="H67" s="10"/>
    </row>
    <row r="68" spans="8:8">
      <c r="H68" s="10"/>
    </row>
    <row r="69" spans="8:8">
      <c r="H69" s="10"/>
    </row>
    <row r="70" spans="8:8">
      <c r="H70" s="10"/>
    </row>
    <row r="71" spans="8:8">
      <c r="H71" s="10"/>
    </row>
    <row r="72" spans="8:8">
      <c r="H72" s="10"/>
    </row>
    <row r="73" spans="8:8">
      <c r="H73" s="10"/>
    </row>
    <row r="74" spans="8:8">
      <c r="H74" s="10"/>
    </row>
    <row r="75" spans="8:8">
      <c r="H75" s="10"/>
    </row>
    <row r="76" spans="8:8">
      <c r="H76" s="10"/>
    </row>
    <row r="77" spans="8:8">
      <c r="H77" s="10"/>
    </row>
    <row r="78" spans="8:8">
      <c r="H78" s="10"/>
    </row>
    <row r="79" spans="8:8">
      <c r="H79" s="10"/>
    </row>
    <row r="80" spans="8:8">
      <c r="H80" s="10"/>
    </row>
    <row r="81" spans="8:8">
      <c r="H81" s="10"/>
    </row>
    <row r="82" spans="8:8">
      <c r="H82" s="10"/>
    </row>
    <row r="83" spans="8:8">
      <c r="H83" s="10"/>
    </row>
    <row r="84" spans="8:8">
      <c r="H84" s="10"/>
    </row>
    <row r="85" spans="8:8">
      <c r="H85" s="10"/>
    </row>
    <row r="86" spans="8:8">
      <c r="H86" s="10"/>
    </row>
    <row r="87" spans="8:8">
      <c r="H87" s="10"/>
    </row>
    <row r="88" spans="8:8">
      <c r="H88" s="10"/>
    </row>
    <row r="89" spans="8:8">
      <c r="H89" s="10"/>
    </row>
    <row r="90" spans="8:8">
      <c r="H90" s="10"/>
    </row>
    <row r="91" spans="8:8">
      <c r="H91" s="10"/>
    </row>
    <row r="92" spans="8:8">
      <c r="H92" s="10"/>
    </row>
    <row r="93" spans="8:8">
      <c r="H93" s="10"/>
    </row>
    <row r="94" spans="8:8">
      <c r="H94" s="10"/>
    </row>
    <row r="95" spans="8:8">
      <c r="H95" s="10"/>
    </row>
    <row r="96" spans="8:8">
      <c r="H96" s="10"/>
    </row>
    <row r="97" spans="8:8">
      <c r="H97" s="10"/>
    </row>
    <row r="98" spans="8:8">
      <c r="H98" s="10"/>
    </row>
    <row r="99" spans="8:8">
      <c r="H99" s="10"/>
    </row>
    <row r="100" spans="8:8">
      <c r="H100" s="10"/>
    </row>
    <row r="101" spans="8:8">
      <c r="H101" s="10"/>
    </row>
    <row r="102" spans="8:8">
      <c r="H102" s="10"/>
    </row>
    <row r="103" spans="8:8">
      <c r="H103" s="10"/>
    </row>
    <row r="104" spans="8:8">
      <c r="H104" s="10"/>
    </row>
    <row r="105" spans="8:8">
      <c r="H105" s="10"/>
    </row>
    <row r="106" spans="8:8">
      <c r="H106" s="10"/>
    </row>
    <row r="107" spans="8:8">
      <c r="H107" s="10"/>
    </row>
    <row r="108" spans="8:8">
      <c r="H108" s="10"/>
    </row>
    <row r="109" spans="8:8">
      <c r="H109" s="10"/>
    </row>
    <row r="110" spans="8:8">
      <c r="H110" s="10"/>
    </row>
    <row r="111" spans="8:8">
      <c r="H111" s="10"/>
    </row>
    <row r="112" spans="8:8">
      <c r="H112" s="10"/>
    </row>
    <row r="113" spans="8:8">
      <c r="H113" s="10"/>
    </row>
    <row r="114" spans="8:8">
      <c r="H114" s="10"/>
    </row>
    <row r="115" spans="8:8">
      <c r="H115" s="10"/>
    </row>
    <row r="116" spans="8:8">
      <c r="H116" s="10"/>
    </row>
    <row r="117" spans="8:8">
      <c r="H117" s="10"/>
    </row>
    <row r="118" spans="8:8">
      <c r="H118" s="10"/>
    </row>
    <row r="119" spans="8:8">
      <c r="H119" s="10"/>
    </row>
    <row r="120" spans="8:8">
      <c r="H120" s="10"/>
    </row>
    <row r="121" spans="8:8">
      <c r="H121" s="10"/>
    </row>
    <row r="122" spans="8:8">
      <c r="H122" s="10"/>
    </row>
    <row r="123" spans="8:8">
      <c r="H123" s="10"/>
    </row>
    <row r="124" spans="8:8">
      <c r="H124" s="10"/>
    </row>
    <row r="125" spans="8:8">
      <c r="H125" s="10"/>
    </row>
    <row r="126" spans="8:8">
      <c r="H126" s="10"/>
    </row>
    <row r="127" spans="8:8">
      <c r="H127" s="10"/>
    </row>
    <row r="128" spans="8:8">
      <c r="H128" s="10"/>
    </row>
    <row r="129" spans="8:8">
      <c r="H129" s="10"/>
    </row>
    <row r="130" spans="8:8">
      <c r="H130" s="10"/>
    </row>
    <row r="131" spans="8:8">
      <c r="H131" s="10"/>
    </row>
    <row r="132" spans="8:8">
      <c r="H132" s="10"/>
    </row>
    <row r="133" spans="8:8">
      <c r="H133" s="10"/>
    </row>
    <row r="134" spans="8:8">
      <c r="H134" s="10"/>
    </row>
    <row r="135" spans="8:8">
      <c r="H135" s="10"/>
    </row>
    <row r="136" spans="8:8">
      <c r="H136" s="10"/>
    </row>
    <row r="137" spans="8:8">
      <c r="H137" s="10"/>
    </row>
    <row r="138" spans="8:8">
      <c r="H138" s="10"/>
    </row>
    <row r="139" spans="8:8">
      <c r="H139" s="10"/>
    </row>
    <row r="140" spans="8:8">
      <c r="H140" s="10"/>
    </row>
    <row r="141" spans="8:8">
      <c r="H141" s="10"/>
    </row>
    <row r="142" spans="8:8">
      <c r="H142" s="10"/>
    </row>
    <row r="143" spans="8:8">
      <c r="H143" s="10"/>
    </row>
    <row r="144" spans="8:8">
      <c r="H144" s="10"/>
    </row>
    <row r="145" spans="8:8">
      <c r="H145" s="10"/>
    </row>
    <row r="146" spans="8:8">
      <c r="H146" s="10"/>
    </row>
    <row r="147" spans="8:8">
      <c r="H147" s="10"/>
    </row>
    <row r="148" spans="8:8">
      <c r="H148" s="10"/>
    </row>
    <row r="149" spans="8:8">
      <c r="H149" s="10"/>
    </row>
    <row r="150" spans="8:8">
      <c r="H150" s="10"/>
    </row>
    <row r="151" spans="8:8">
      <c r="H151" s="10"/>
    </row>
    <row r="152" spans="8:8">
      <c r="H152" s="10"/>
    </row>
    <row r="153" spans="8:8">
      <c r="H153" s="10"/>
    </row>
    <row r="154" spans="8:8">
      <c r="H154" s="10"/>
    </row>
    <row r="155" spans="8:8">
      <c r="H155" s="10"/>
    </row>
    <row r="156" spans="8:8">
      <c r="H156" s="10"/>
    </row>
    <row r="157" spans="8:8">
      <c r="H157" s="10"/>
    </row>
    <row r="158" spans="8:8">
      <c r="H158" s="10"/>
    </row>
    <row r="159" spans="8:8">
      <c r="H159" s="10"/>
    </row>
    <row r="160" spans="8:8">
      <c r="H160" s="10"/>
    </row>
    <row r="161" spans="8:8">
      <c r="H161" s="10"/>
    </row>
    <row r="162" spans="8:8">
      <c r="H162" s="10"/>
    </row>
    <row r="163" spans="8:8">
      <c r="H163" s="10"/>
    </row>
    <row r="164" spans="8:8">
      <c r="H164" s="10"/>
    </row>
    <row r="165" spans="8:8">
      <c r="H165" s="10"/>
    </row>
    <row r="166" spans="8:8">
      <c r="H166" s="10"/>
    </row>
    <row r="167" spans="8:8">
      <c r="H167" s="10"/>
    </row>
    <row r="168" spans="8:8">
      <c r="H168" s="10"/>
    </row>
    <row r="169" spans="8:8">
      <c r="H169" s="10"/>
    </row>
    <row r="170" spans="8:8">
      <c r="H170" s="10"/>
    </row>
    <row r="171" spans="8:8">
      <c r="H171" s="10"/>
    </row>
    <row r="172" spans="8:8">
      <c r="H172" s="10"/>
    </row>
    <row r="173" spans="8:8">
      <c r="H173" s="10"/>
    </row>
    <row r="174" spans="8:8">
      <c r="H174" s="10"/>
    </row>
    <row r="175" spans="8:8">
      <c r="H175" s="10"/>
    </row>
    <row r="176" spans="8:8">
      <c r="H176" s="10"/>
    </row>
    <row r="177" spans="8:8">
      <c r="H177" s="10"/>
    </row>
    <row r="178" spans="8:8">
      <c r="H178" s="10"/>
    </row>
    <row r="179" spans="8:8">
      <c r="H179" s="10"/>
    </row>
    <row r="180" spans="8:8">
      <c r="H180" s="10"/>
    </row>
    <row r="181" spans="8:8">
      <c r="H181" s="10"/>
    </row>
    <row r="182" spans="8:8">
      <c r="H182" s="10"/>
    </row>
    <row r="183" spans="8:8">
      <c r="H183" s="10"/>
    </row>
    <row r="184" spans="8:8">
      <c r="H184" s="10"/>
    </row>
    <row r="185" spans="8:8">
      <c r="H185" s="10"/>
    </row>
    <row r="186" spans="8:8">
      <c r="H186" s="10"/>
    </row>
    <row r="187" spans="8:8">
      <c r="H187" s="10"/>
    </row>
    <row r="188" spans="8:8">
      <c r="H188" s="10"/>
    </row>
    <row r="189" spans="8:8">
      <c r="H189" s="10"/>
    </row>
    <row r="190" spans="8:8">
      <c r="H190" s="10"/>
    </row>
    <row r="191" spans="8:8">
      <c r="H191" s="10"/>
    </row>
    <row r="192" spans="8:8">
      <c r="H192" s="10"/>
    </row>
    <row r="193" spans="8:8">
      <c r="H193" s="10"/>
    </row>
    <row r="194" spans="8:8">
      <c r="H194" s="10"/>
    </row>
    <row r="195" spans="8:8">
      <c r="H195" s="10"/>
    </row>
    <row r="196" spans="8:8">
      <c r="H196" s="10"/>
    </row>
    <row r="197" spans="8:8">
      <c r="H197" s="10"/>
    </row>
    <row r="198" spans="8:8">
      <c r="H198" s="10"/>
    </row>
    <row r="199" spans="8:8">
      <c r="H199" s="10"/>
    </row>
    <row r="200" spans="8:8">
      <c r="H200" s="10"/>
    </row>
    <row r="201" spans="8:8">
      <c r="H201" s="10"/>
    </row>
    <row r="202" spans="8:8">
      <c r="H202" s="10"/>
    </row>
    <row r="203" spans="8:8">
      <c r="H203" s="10"/>
    </row>
    <row r="204" spans="8:8">
      <c r="H204" s="10"/>
    </row>
    <row r="205" spans="8:8">
      <c r="H205" s="10"/>
    </row>
    <row r="206" spans="8:8">
      <c r="H206" s="10"/>
    </row>
    <row r="207" spans="8:8">
      <c r="H207" s="10"/>
    </row>
    <row r="208" spans="8:8">
      <c r="H208" s="10"/>
    </row>
    <row r="209" spans="8:8">
      <c r="H209" s="10"/>
    </row>
    <row r="210" spans="8:8">
      <c r="H210" s="10"/>
    </row>
    <row r="211" spans="8:8">
      <c r="H211" s="10"/>
    </row>
    <row r="212" spans="8:8">
      <c r="H212" s="10"/>
    </row>
    <row r="213" spans="8:8">
      <c r="H213" s="10"/>
    </row>
    <row r="214" spans="8:8">
      <c r="H214" s="10"/>
    </row>
    <row r="215" spans="8:8">
      <c r="H215" s="10"/>
    </row>
    <row r="216" spans="8:8">
      <c r="H216" s="10"/>
    </row>
    <row r="217" spans="8:8">
      <c r="H217" s="10"/>
    </row>
    <row r="218" spans="8:8">
      <c r="H218" s="10"/>
    </row>
    <row r="219" spans="8:8">
      <c r="H219" s="10"/>
    </row>
    <row r="220" spans="8:8">
      <c r="H220" s="10"/>
    </row>
    <row r="221" spans="8:8">
      <c r="H221" s="10"/>
    </row>
    <row r="222" spans="8:8">
      <c r="H222" s="10"/>
    </row>
    <row r="223" spans="8:8">
      <c r="H223" s="10"/>
    </row>
    <row r="224" spans="8:8">
      <c r="H224" s="10"/>
    </row>
    <row r="225" spans="8:8">
      <c r="H225" s="10"/>
    </row>
    <row r="226" spans="8:8">
      <c r="H226" s="10"/>
    </row>
    <row r="227" spans="8:8">
      <c r="H227" s="10"/>
    </row>
    <row r="228" spans="8:8">
      <c r="H228" s="10"/>
    </row>
    <row r="229" spans="8:8">
      <c r="H229" s="10"/>
    </row>
    <row r="230" spans="8:8">
      <c r="H230" s="10"/>
    </row>
    <row r="231" spans="8:8">
      <c r="H231" s="10"/>
    </row>
    <row r="232" spans="8:8">
      <c r="H232" s="10"/>
    </row>
    <row r="233" spans="8:8">
      <c r="H233" s="10"/>
    </row>
    <row r="234" spans="8:8">
      <c r="H234" s="10"/>
    </row>
    <row r="235" spans="8:8">
      <c r="H235" s="10"/>
    </row>
    <row r="236" spans="8:8">
      <c r="H236" s="10"/>
    </row>
    <row r="237" spans="8:8">
      <c r="H237" s="10"/>
    </row>
    <row r="238" spans="8:8">
      <c r="H238" s="10"/>
    </row>
    <row r="239" spans="8:8">
      <c r="H239" s="10"/>
    </row>
    <row r="240" spans="8:8">
      <c r="H240" s="10"/>
    </row>
    <row r="241" spans="8:8">
      <c r="H241" s="10"/>
    </row>
    <row r="242" spans="8:8">
      <c r="H242" s="10"/>
    </row>
    <row r="243" spans="8:8">
      <c r="H243" s="10"/>
    </row>
    <row r="244" spans="8:8">
      <c r="H244" s="10"/>
    </row>
    <row r="245" spans="8:8">
      <c r="H245" s="10"/>
    </row>
    <row r="246" spans="8:8">
      <c r="H246" s="10"/>
    </row>
    <row r="247" spans="8:8">
      <c r="H247" s="10"/>
    </row>
    <row r="248" spans="8:8">
      <c r="H248" s="10"/>
    </row>
    <row r="249" spans="8:8">
      <c r="H249" s="10"/>
    </row>
    <row r="250" spans="8:8">
      <c r="H250" s="10"/>
    </row>
    <row r="251" spans="8:8">
      <c r="H251" s="10"/>
    </row>
    <row r="252" spans="8:8">
      <c r="H252" s="10"/>
    </row>
    <row r="253" spans="8:8">
      <c r="H253" s="10"/>
    </row>
    <row r="254" spans="8:8">
      <c r="H254" s="10"/>
    </row>
    <row r="255" spans="8:8">
      <c r="H255" s="10"/>
    </row>
    <row r="256" spans="8:8">
      <c r="H256" s="10"/>
    </row>
    <row r="257" spans="8:8">
      <c r="H257" s="10"/>
    </row>
    <row r="258" spans="8:8">
      <c r="H258" s="10"/>
    </row>
    <row r="259" spans="8:8">
      <c r="H259" s="10"/>
    </row>
    <row r="260" spans="8:8">
      <c r="H260" s="10"/>
    </row>
    <row r="261" spans="8:8">
      <c r="H261" s="10"/>
    </row>
    <row r="262" spans="8:8">
      <c r="H262" s="10"/>
    </row>
    <row r="263" spans="8:8">
      <c r="H263" s="10"/>
    </row>
    <row r="264" spans="8:8">
      <c r="H264" s="10"/>
    </row>
    <row r="265" spans="8:8">
      <c r="H265" s="10"/>
    </row>
    <row r="266" spans="8:8">
      <c r="H266" s="10"/>
    </row>
    <row r="267" spans="8:8">
      <c r="H267" s="10"/>
    </row>
    <row r="268" spans="8:8">
      <c r="H268" s="10"/>
    </row>
    <row r="269" spans="8:8">
      <c r="H269" s="10"/>
    </row>
    <row r="270" spans="8:8">
      <c r="H270" s="10"/>
    </row>
    <row r="271" spans="8:8">
      <c r="H271" s="10"/>
    </row>
    <row r="272" spans="8:8">
      <c r="H272" s="10"/>
    </row>
    <row r="273" spans="8:8">
      <c r="H273" s="10"/>
    </row>
    <row r="274" spans="8:8">
      <c r="H274" s="10"/>
    </row>
    <row r="275" spans="8:8">
      <c r="H275" s="10"/>
    </row>
    <row r="276" spans="8:8">
      <c r="H276" s="10"/>
    </row>
    <row r="277" spans="8:8">
      <c r="H277" s="10"/>
    </row>
    <row r="278" spans="8:8">
      <c r="H278" s="10"/>
    </row>
    <row r="279" spans="8:8">
      <c r="H279" s="10"/>
    </row>
    <row r="280" spans="8:8">
      <c r="H280" s="10"/>
    </row>
    <row r="281" spans="8:8">
      <c r="H281" s="10"/>
    </row>
    <row r="282" spans="8:8">
      <c r="H282" s="10"/>
    </row>
    <row r="283" spans="8:8">
      <c r="H283" s="10"/>
    </row>
    <row r="284" spans="8:8">
      <c r="H284" s="10"/>
    </row>
    <row r="285" spans="8:8">
      <c r="H285" s="10"/>
    </row>
    <row r="286" spans="8:8">
      <c r="H286" s="10"/>
    </row>
    <row r="287" spans="8:8">
      <c r="H287" s="10"/>
    </row>
    <row r="288" spans="8:8">
      <c r="H288" s="10"/>
    </row>
    <row r="289" spans="8:8">
      <c r="H289" s="10"/>
    </row>
    <row r="290" spans="8:8">
      <c r="H290" s="10"/>
    </row>
    <row r="291" spans="8:8">
      <c r="H291" s="10"/>
    </row>
    <row r="292" spans="8:8">
      <c r="H292" s="10"/>
    </row>
    <row r="293" spans="8:8">
      <c r="H293" s="10"/>
    </row>
    <row r="294" spans="8:8">
      <c r="H294" s="10"/>
    </row>
    <row r="295" spans="8:8">
      <c r="H295" s="10"/>
    </row>
    <row r="296" spans="8:8">
      <c r="H296" s="10"/>
    </row>
    <row r="297" spans="8:8">
      <c r="H297" s="10"/>
    </row>
    <row r="298" spans="8:8">
      <c r="H298" s="10"/>
    </row>
    <row r="299" spans="8:8">
      <c r="H299" s="10"/>
    </row>
    <row r="300" spans="8:8">
      <c r="H300" s="10"/>
    </row>
    <row r="301" spans="8:8">
      <c r="H301" s="10"/>
    </row>
    <row r="302" spans="8:8">
      <c r="H302" s="10"/>
    </row>
    <row r="303" spans="8:8">
      <c r="H303" s="10"/>
    </row>
    <row r="304" spans="8:8">
      <c r="H304" s="10"/>
    </row>
    <row r="305" spans="8:8">
      <c r="H305" s="10"/>
    </row>
    <row r="306" spans="8:8">
      <c r="H306" s="10"/>
    </row>
    <row r="307" spans="8:8">
      <c r="H307" s="10"/>
    </row>
    <row r="308" spans="8:8">
      <c r="H308" s="10"/>
    </row>
    <row r="309" spans="8:8">
      <c r="H309" s="10"/>
    </row>
    <row r="310" spans="8:8">
      <c r="H310" s="10"/>
    </row>
    <row r="311" spans="8:8">
      <c r="H311" s="10"/>
    </row>
    <row r="312" spans="8:8">
      <c r="H312" s="10"/>
    </row>
    <row r="313" spans="8:8">
      <c r="H313" s="10"/>
    </row>
    <row r="314" spans="8:8">
      <c r="H314" s="10"/>
    </row>
    <row r="315" spans="8:8">
      <c r="H315" s="10"/>
    </row>
    <row r="316" spans="8:8">
      <c r="H316" s="10"/>
    </row>
    <row r="317" spans="8:8">
      <c r="H317" s="10"/>
    </row>
    <row r="318" spans="8:8">
      <c r="H318" s="10"/>
    </row>
    <row r="319" spans="8:8">
      <c r="H319" s="10"/>
    </row>
    <row r="320" spans="8:8">
      <c r="H320" s="10"/>
    </row>
    <row r="321" spans="8:8">
      <c r="H321" s="10"/>
    </row>
    <row r="322" spans="8:8">
      <c r="H322" s="10"/>
    </row>
    <row r="323" spans="8:8">
      <c r="H323" s="10"/>
    </row>
    <row r="324" spans="8:8">
      <c r="H324" s="10"/>
    </row>
    <row r="325" spans="8:8">
      <c r="H325" s="10"/>
    </row>
    <row r="326" spans="8:8">
      <c r="H326" s="10"/>
    </row>
    <row r="327" spans="8:8">
      <c r="H327" s="10"/>
    </row>
    <row r="328" spans="8:8">
      <c r="H328" s="10"/>
    </row>
    <row r="329" spans="8:8">
      <c r="H329" s="10"/>
    </row>
    <row r="330" spans="8:8">
      <c r="H330" s="10"/>
    </row>
    <row r="331" spans="8:8">
      <c r="H331" s="10"/>
    </row>
    <row r="332" spans="8:8">
      <c r="H332" s="10"/>
    </row>
    <row r="333" spans="8:8">
      <c r="H333" s="10"/>
    </row>
    <row r="334" spans="8:8">
      <c r="H334" s="10"/>
    </row>
    <row r="335" spans="8:8">
      <c r="H335" s="10"/>
    </row>
    <row r="336" spans="8:8">
      <c r="H336" s="10"/>
    </row>
    <row r="337" spans="8:8">
      <c r="H337" s="10"/>
    </row>
    <row r="338" spans="8:8">
      <c r="H338" s="10"/>
    </row>
    <row r="339" spans="8:8">
      <c r="H339" s="10"/>
    </row>
    <row r="340" spans="8:8">
      <c r="H340" s="10"/>
    </row>
    <row r="341" spans="8:8">
      <c r="H341" s="10"/>
    </row>
    <row r="342" spans="8:8">
      <c r="H342" s="10"/>
    </row>
    <row r="343" spans="8:8">
      <c r="H343" s="10"/>
    </row>
    <row r="344" spans="8:8">
      <c r="H344" s="10"/>
    </row>
    <row r="345" spans="8:8">
      <c r="H345" s="10"/>
    </row>
    <row r="346" spans="8:8">
      <c r="H346" s="10"/>
    </row>
    <row r="347" spans="8:8">
      <c r="H347" s="10"/>
    </row>
    <row r="348" spans="8:8">
      <c r="H348" s="10"/>
    </row>
    <row r="349" spans="8:8">
      <c r="H349" s="10"/>
    </row>
    <row r="350" spans="8:8">
      <c r="H350" s="10"/>
    </row>
    <row r="351" spans="8:8">
      <c r="H351" s="10"/>
    </row>
    <row r="352" spans="8:8">
      <c r="H352" s="10"/>
    </row>
    <row r="353" spans="8:8">
      <c r="H353" s="10"/>
    </row>
    <row r="354" spans="8:8">
      <c r="H354" s="10"/>
    </row>
    <row r="355" spans="8:8">
      <c r="H355" s="10"/>
    </row>
    <row r="356" spans="8:8">
      <c r="H356" s="10"/>
    </row>
    <row r="357" spans="8:8">
      <c r="H357" s="10"/>
    </row>
    <row r="358" spans="8:8">
      <c r="H358" s="10"/>
    </row>
    <row r="359" spans="8:8">
      <c r="H359" s="10"/>
    </row>
    <row r="360" spans="8:8">
      <c r="H360" s="10"/>
    </row>
    <row r="361" spans="8:8">
      <c r="H361" s="10"/>
    </row>
    <row r="362" spans="8:8">
      <c r="H362" s="10"/>
    </row>
    <row r="363" spans="8:8">
      <c r="H363" s="10"/>
    </row>
    <row r="364" spans="8:8">
      <c r="H364" s="10"/>
    </row>
    <row r="365" spans="8:8">
      <c r="H365" s="10"/>
    </row>
    <row r="366" spans="8:8">
      <c r="H366" s="10"/>
    </row>
    <row r="367" spans="8:8">
      <c r="H367" s="10"/>
    </row>
    <row r="368" spans="8:8">
      <c r="H368" s="10"/>
    </row>
    <row r="369" spans="8:8">
      <c r="H369" s="10"/>
    </row>
    <row r="370" spans="8:8">
      <c r="H370" s="10"/>
    </row>
    <row r="371" spans="8:8">
      <c r="H371" s="10"/>
    </row>
    <row r="372" spans="8:8">
      <c r="H372" s="10"/>
    </row>
    <row r="373" spans="8:8">
      <c r="H373" s="10"/>
    </row>
    <row r="374" spans="8:8">
      <c r="H374" s="10"/>
    </row>
    <row r="375" spans="8:8">
      <c r="H375" s="10"/>
    </row>
    <row r="376" spans="8:8">
      <c r="H376" s="10"/>
    </row>
    <row r="377" spans="8:8">
      <c r="H377" s="10"/>
    </row>
    <row r="378" spans="8:8">
      <c r="H378" s="10"/>
    </row>
    <row r="379" spans="8:8">
      <c r="H379" s="10"/>
    </row>
    <row r="380" spans="8:8">
      <c r="H380" s="10"/>
    </row>
    <row r="381" spans="8:8">
      <c r="H381" s="10"/>
    </row>
    <row r="382" spans="8:8">
      <c r="H382" s="10"/>
    </row>
    <row r="383" spans="8:8">
      <c r="H383" s="10"/>
    </row>
    <row r="384" spans="8:8">
      <c r="H384" s="10"/>
    </row>
    <row r="385" spans="8:8">
      <c r="H385" s="10"/>
    </row>
    <row r="386" spans="8:8">
      <c r="H386" s="10"/>
    </row>
    <row r="387" spans="8:8">
      <c r="H387" s="10"/>
    </row>
    <row r="388" spans="8:8">
      <c r="H388" s="10"/>
    </row>
    <row r="389" spans="8:8">
      <c r="H389" s="10"/>
    </row>
    <row r="390" spans="8:8">
      <c r="H390" s="10"/>
    </row>
    <row r="391" spans="8:8">
      <c r="H391" s="10"/>
    </row>
    <row r="392" spans="8:8">
      <c r="H392" s="10"/>
    </row>
    <row r="393" spans="8:8">
      <c r="H393" s="10"/>
    </row>
    <row r="394" spans="8:8">
      <c r="H394" s="10"/>
    </row>
    <row r="395" spans="8:8">
      <c r="H395" s="10"/>
    </row>
    <row r="396" spans="8:8">
      <c r="H396" s="10"/>
    </row>
    <row r="397" spans="8:8">
      <c r="H397" s="10"/>
    </row>
    <row r="398" spans="8:8">
      <c r="H398" s="10"/>
    </row>
    <row r="399" spans="8:8">
      <c r="H399" s="10"/>
    </row>
    <row r="400" spans="8:8">
      <c r="H400" s="10"/>
    </row>
    <row r="401" spans="8:8">
      <c r="H401" s="10"/>
    </row>
    <row r="402" spans="8:8">
      <c r="H402" s="10"/>
    </row>
    <row r="403" spans="8:8">
      <c r="H403" s="10"/>
    </row>
    <row r="404" spans="8:8">
      <c r="H404" s="10"/>
    </row>
    <row r="405" spans="8:8">
      <c r="H405" s="10"/>
    </row>
    <row r="406" spans="8:8">
      <c r="H406" s="10"/>
    </row>
    <row r="407" spans="8:8">
      <c r="H407" s="10"/>
    </row>
    <row r="408" spans="8:8">
      <c r="H408" s="10"/>
    </row>
    <row r="409" spans="8:8">
      <c r="H409" s="10"/>
    </row>
    <row r="410" spans="8:8">
      <c r="H410" s="10"/>
    </row>
    <row r="411" spans="8:8">
      <c r="H411" s="10"/>
    </row>
    <row r="412" spans="8:8">
      <c r="H412" s="10"/>
    </row>
    <row r="413" spans="8:8">
      <c r="H413" s="10"/>
    </row>
    <row r="414" spans="8:8">
      <c r="H414" s="10"/>
    </row>
    <row r="415" spans="8:8">
      <c r="H415" s="10"/>
    </row>
    <row r="416" spans="8:8">
      <c r="H416" s="10"/>
    </row>
    <row r="417" spans="8:8">
      <c r="H417" s="10"/>
    </row>
    <row r="418" spans="8:8">
      <c r="H418" s="10"/>
    </row>
    <row r="419" spans="8:8">
      <c r="H419" s="10"/>
    </row>
    <row r="420" spans="8:8">
      <c r="H420" s="10"/>
    </row>
    <row r="421" spans="8:8">
      <c r="H421" s="10"/>
    </row>
    <row r="422" spans="8:8">
      <c r="H422" s="10"/>
    </row>
    <row r="423" spans="8:8">
      <c r="H423" s="10"/>
    </row>
    <row r="424" spans="8:8">
      <c r="H424" s="10"/>
    </row>
    <row r="425" spans="8:8">
      <c r="H425" s="10"/>
    </row>
    <row r="426" spans="8:8">
      <c r="H426" s="10"/>
    </row>
    <row r="427" spans="8:8">
      <c r="H427" s="10"/>
    </row>
    <row r="428" spans="8:8">
      <c r="H428" s="10"/>
    </row>
    <row r="429" spans="8:8">
      <c r="H429" s="10"/>
    </row>
    <row r="430" spans="8:8">
      <c r="H430" s="10"/>
    </row>
    <row r="431" spans="8:8">
      <c r="H431" s="10"/>
    </row>
    <row r="432" spans="8:8">
      <c r="H432" s="10"/>
    </row>
    <row r="433" spans="8:8">
      <c r="H433" s="10"/>
    </row>
    <row r="434" spans="8:8">
      <c r="H434" s="10"/>
    </row>
    <row r="435" spans="8:8">
      <c r="H435" s="10"/>
    </row>
    <row r="436" spans="8:8">
      <c r="H436" s="10"/>
    </row>
    <row r="437" spans="8:8">
      <c r="H437" s="10"/>
    </row>
    <row r="438" spans="8:8">
      <c r="H438" s="10"/>
    </row>
    <row r="439" spans="8:8">
      <c r="H439" s="10"/>
    </row>
    <row r="440" spans="8:8">
      <c r="H440" s="10"/>
    </row>
    <row r="441" spans="8:8">
      <c r="H441" s="10"/>
    </row>
    <row r="442" spans="8:8">
      <c r="H442" s="10"/>
    </row>
    <row r="443" spans="8:8">
      <c r="H443" s="10"/>
    </row>
    <row r="444" spans="8:8">
      <c r="H444" s="10"/>
    </row>
    <row r="445" spans="8:8">
      <c r="H445" s="10"/>
    </row>
    <row r="446" spans="8:8">
      <c r="H446" s="10"/>
    </row>
    <row r="447" spans="8:8">
      <c r="H447" s="10"/>
    </row>
    <row r="448" spans="8:8">
      <c r="H448" s="10"/>
    </row>
    <row r="449" spans="8:8">
      <c r="H449" s="10"/>
    </row>
    <row r="450" spans="8:8">
      <c r="H450" s="10"/>
    </row>
    <row r="451" spans="8:8">
      <c r="H451" s="10"/>
    </row>
    <row r="452" spans="8:8">
      <c r="H452" s="10"/>
    </row>
    <row r="453" spans="8:8">
      <c r="H453" s="10"/>
    </row>
    <row r="454" spans="8:8">
      <c r="H454" s="10"/>
    </row>
    <row r="455" spans="8:8">
      <c r="H455" s="10"/>
    </row>
    <row r="456" spans="8:8">
      <c r="H456" s="10"/>
    </row>
    <row r="457" spans="8:8">
      <c r="H457" s="10"/>
    </row>
    <row r="458" spans="8:8">
      <c r="H458" s="10"/>
    </row>
    <row r="459" spans="8:8">
      <c r="H459" s="10"/>
    </row>
    <row r="460" spans="8:8">
      <c r="H460" s="10"/>
    </row>
    <row r="461" spans="8:8">
      <c r="H461" s="10"/>
    </row>
    <row r="462" spans="8:8">
      <c r="H462" s="10"/>
    </row>
    <row r="463" spans="8:8">
      <c r="H463" s="10"/>
    </row>
    <row r="464" spans="8:8">
      <c r="H464" s="10"/>
    </row>
    <row r="465" spans="8:8">
      <c r="H465" s="10"/>
    </row>
    <row r="466" spans="8:8">
      <c r="H466" s="10"/>
    </row>
    <row r="467" spans="8:8">
      <c r="H467" s="10"/>
    </row>
    <row r="468" spans="8:8">
      <c r="H468" s="10"/>
    </row>
    <row r="469" spans="8:8">
      <c r="H469" s="10"/>
    </row>
    <row r="470" spans="8:8">
      <c r="H470" s="10"/>
    </row>
    <row r="471" spans="8:8">
      <c r="H471" s="10"/>
    </row>
    <row r="472" spans="8:8">
      <c r="H472" s="10"/>
    </row>
    <row r="473" spans="8:8">
      <c r="H473" s="10"/>
    </row>
    <row r="474" spans="8:8">
      <c r="H474" s="10"/>
    </row>
    <row r="475" spans="8:8">
      <c r="H475" s="10"/>
    </row>
    <row r="476" spans="8:8">
      <c r="H476" s="10"/>
    </row>
    <row r="477" spans="8:8">
      <c r="H477" s="10"/>
    </row>
    <row r="478" spans="8:8">
      <c r="H478" s="10"/>
    </row>
    <row r="479" spans="8:8">
      <c r="H479" s="10"/>
    </row>
    <row r="480" spans="8:8">
      <c r="H480" s="10"/>
    </row>
    <row r="481" spans="8:8">
      <c r="H481" s="10"/>
    </row>
    <row r="482" spans="8:8">
      <c r="H482" s="10"/>
    </row>
    <row r="483" spans="8:8">
      <c r="H483" s="10"/>
    </row>
    <row r="484" spans="8:8">
      <c r="H484" s="10"/>
    </row>
    <row r="485" spans="8:8">
      <c r="H485" s="10"/>
    </row>
    <row r="486" spans="8:8">
      <c r="H486" s="10"/>
    </row>
    <row r="487" spans="8:8">
      <c r="H487" s="10"/>
    </row>
    <row r="488" spans="8:8">
      <c r="H488" s="10"/>
    </row>
    <row r="489" spans="8:8">
      <c r="H489" s="10"/>
    </row>
    <row r="490" spans="8:8">
      <c r="H490" s="10"/>
    </row>
    <row r="491" spans="8:8">
      <c r="H491" s="10"/>
    </row>
    <row r="492" spans="8:8">
      <c r="H492" s="10"/>
    </row>
    <row r="493" spans="8:8">
      <c r="H493" s="10"/>
    </row>
    <row r="494" spans="8:8">
      <c r="H494" s="10"/>
    </row>
    <row r="495" spans="8:8">
      <c r="H495" s="10"/>
    </row>
    <row r="496" spans="8:8">
      <c r="H496" s="10"/>
    </row>
    <row r="497" spans="8:8">
      <c r="H497" s="10"/>
    </row>
    <row r="498" spans="8:8">
      <c r="H498" s="10"/>
    </row>
    <row r="499" spans="8:8">
      <c r="H499" s="10"/>
    </row>
    <row r="500" spans="8:8">
      <c r="H500" s="10"/>
    </row>
    <row r="501" spans="8:8">
      <c r="H501" s="10"/>
    </row>
    <row r="502" spans="8:8">
      <c r="H502" s="10"/>
    </row>
    <row r="503" spans="8:8">
      <c r="H503" s="10"/>
    </row>
    <row r="504" spans="8:8">
      <c r="H504" s="10"/>
    </row>
    <row r="505" spans="8:8">
      <c r="H505" s="10"/>
    </row>
    <row r="506" spans="8:8">
      <c r="H506" s="10"/>
    </row>
    <row r="507" spans="8:8">
      <c r="H507" s="10"/>
    </row>
    <row r="508" spans="8:8">
      <c r="H508" s="10"/>
    </row>
    <row r="509" spans="8:8">
      <c r="H509" s="10"/>
    </row>
    <row r="510" spans="8:8">
      <c r="H510" s="10"/>
    </row>
    <row r="511" spans="8:8">
      <c r="H511" s="10"/>
    </row>
    <row r="512" spans="8:8">
      <c r="H512" s="10"/>
    </row>
    <row r="513" spans="8:8">
      <c r="H513" s="10"/>
    </row>
    <row r="514" spans="8:8">
      <c r="H514" s="10"/>
    </row>
    <row r="515" spans="8:8">
      <c r="H515" s="10"/>
    </row>
    <row r="516" spans="8:8">
      <c r="H516" s="10"/>
    </row>
    <row r="517" spans="8:8">
      <c r="H517" s="10"/>
    </row>
    <row r="518" spans="8:8">
      <c r="H518" s="10"/>
    </row>
    <row r="519" spans="8:8">
      <c r="H519" s="10"/>
    </row>
    <row r="520" spans="8:8">
      <c r="H520" s="10"/>
    </row>
    <row r="521" spans="8:8">
      <c r="H521" s="10"/>
    </row>
    <row r="522" spans="8:8">
      <c r="H522" s="10"/>
    </row>
    <row r="523" spans="8:8">
      <c r="H523" s="10"/>
    </row>
    <row r="524" spans="8:8">
      <c r="H524" s="10"/>
    </row>
    <row r="525" spans="8:8">
      <c r="H525" s="10"/>
    </row>
    <row r="526" spans="8:8">
      <c r="H526" s="10"/>
    </row>
    <row r="527" spans="8:8">
      <c r="H527" s="10"/>
    </row>
    <row r="528" spans="8:8">
      <c r="H528" s="10"/>
    </row>
    <row r="529" spans="8:8">
      <c r="H529" s="10"/>
    </row>
    <row r="530" spans="8:8">
      <c r="H530" s="10"/>
    </row>
    <row r="531" spans="8:8">
      <c r="H531" s="10"/>
    </row>
    <row r="532" spans="8:8">
      <c r="H532" s="10"/>
    </row>
    <row r="533" spans="8:8">
      <c r="H533" s="10"/>
    </row>
    <row r="534" spans="8:8">
      <c r="H534" s="10"/>
    </row>
    <row r="535" spans="8:8">
      <c r="H535" s="10"/>
    </row>
    <row r="536" spans="8:8">
      <c r="H536" s="10"/>
    </row>
    <row r="537" spans="8:8">
      <c r="H537" s="10"/>
    </row>
    <row r="538" spans="8:8">
      <c r="H538" s="10"/>
    </row>
    <row r="539" spans="8:8">
      <c r="H539" s="10"/>
    </row>
    <row r="540" spans="8:8">
      <c r="H540" s="10"/>
    </row>
    <row r="541" spans="8:8">
      <c r="H541" s="10"/>
    </row>
    <row r="542" spans="8:8">
      <c r="H542" s="10"/>
    </row>
    <row r="543" spans="8:8">
      <c r="H543" s="10"/>
    </row>
    <row r="544" spans="8:8">
      <c r="H544" s="10"/>
    </row>
    <row r="545" spans="8:8">
      <c r="H545" s="10"/>
    </row>
    <row r="546" spans="8:8">
      <c r="H546" s="10"/>
    </row>
    <row r="547" spans="8:8">
      <c r="H547" s="10"/>
    </row>
    <row r="548" spans="8:8">
      <c r="H548" s="10"/>
    </row>
    <row r="549" spans="8:8">
      <c r="H549" s="10"/>
    </row>
    <row r="550" spans="8:8">
      <c r="H550" s="10"/>
    </row>
    <row r="551" spans="8:8">
      <c r="H551" s="10"/>
    </row>
    <row r="552" spans="8:8">
      <c r="H552" s="10"/>
    </row>
    <row r="553" spans="8:8">
      <c r="H553" s="10"/>
    </row>
    <row r="554" spans="8:8">
      <c r="H554" s="10"/>
    </row>
    <row r="555" spans="8:8">
      <c r="H555" s="10"/>
    </row>
    <row r="556" spans="8:8">
      <c r="H556" s="10"/>
    </row>
    <row r="557" spans="8:8">
      <c r="H557" s="10"/>
    </row>
    <row r="558" spans="8:8">
      <c r="H558" s="10"/>
    </row>
    <row r="559" spans="8:8">
      <c r="H559" s="10"/>
    </row>
    <row r="560" spans="8:8">
      <c r="H560" s="10"/>
    </row>
    <row r="561" spans="8:8">
      <c r="H561" s="10"/>
    </row>
    <row r="562" spans="8:8">
      <c r="H562" s="10"/>
    </row>
    <row r="563" spans="8:8">
      <c r="H563" s="10"/>
    </row>
    <row r="564" spans="8:8">
      <c r="H564" s="10"/>
    </row>
    <row r="565" spans="8:8">
      <c r="H565" s="10"/>
    </row>
    <row r="566" spans="8:8">
      <c r="H566" s="10"/>
    </row>
    <row r="567" spans="8:8">
      <c r="H567" s="10"/>
    </row>
    <row r="568" spans="8:8">
      <c r="H568" s="10"/>
    </row>
    <row r="569" spans="8:8">
      <c r="H569" s="10"/>
    </row>
    <row r="570" spans="8:8">
      <c r="H570" s="10"/>
    </row>
    <row r="571" spans="8:8">
      <c r="H571" s="10"/>
    </row>
    <row r="572" spans="8:8">
      <c r="H572" s="10"/>
    </row>
    <row r="573" spans="8:8">
      <c r="H573" s="10"/>
    </row>
    <row r="574" spans="8:8">
      <c r="H574" s="10"/>
    </row>
    <row r="575" spans="8:8">
      <c r="H575" s="10"/>
    </row>
    <row r="576" spans="8:8">
      <c r="H576" s="10"/>
    </row>
    <row r="577" spans="8:8">
      <c r="H577" s="10"/>
    </row>
    <row r="578" spans="8:8">
      <c r="H578" s="10"/>
    </row>
    <row r="579" spans="8:8">
      <c r="H579" s="10"/>
    </row>
    <row r="580" spans="8:8">
      <c r="H580" s="10"/>
    </row>
    <row r="581" spans="8:8">
      <c r="H581" s="10"/>
    </row>
    <row r="582" spans="8:8">
      <c r="H582" s="10"/>
    </row>
    <row r="583" spans="8:8">
      <c r="H583" s="10"/>
    </row>
    <row r="584" spans="8:8">
      <c r="H584" s="10"/>
    </row>
    <row r="585" spans="8:8">
      <c r="H585" s="10"/>
    </row>
    <row r="586" spans="8:8">
      <c r="H586" s="10"/>
    </row>
    <row r="587" spans="8:8">
      <c r="H587" s="10"/>
    </row>
    <row r="588" spans="8:8">
      <c r="H588" s="10"/>
    </row>
    <row r="589" spans="8:8">
      <c r="H589" s="10"/>
    </row>
    <row r="590" spans="8:8">
      <c r="H590" s="10"/>
    </row>
    <row r="591" spans="8:8">
      <c r="H591" s="10"/>
    </row>
    <row r="592" spans="8:8">
      <c r="H592" s="10"/>
    </row>
    <row r="593" spans="8:8">
      <c r="H593" s="10"/>
    </row>
    <row r="594" spans="8:8">
      <c r="H594" s="10"/>
    </row>
    <row r="595" spans="8:8">
      <c r="H595" s="10"/>
    </row>
    <row r="596" spans="8:8">
      <c r="H596" s="10"/>
    </row>
    <row r="597" spans="8:8">
      <c r="H597" s="10"/>
    </row>
    <row r="598" spans="8:8">
      <c r="H598" s="10"/>
    </row>
    <row r="599" spans="8:8">
      <c r="H599" s="10"/>
    </row>
    <row r="600" spans="8:8">
      <c r="H600" s="10"/>
    </row>
    <row r="601" spans="8:8">
      <c r="H601" s="10"/>
    </row>
    <row r="602" spans="8:8">
      <c r="H602" s="10"/>
    </row>
    <row r="603" spans="8:8">
      <c r="H603" s="10"/>
    </row>
    <row r="604" spans="8:8">
      <c r="H604" s="10"/>
    </row>
    <row r="605" spans="8:8">
      <c r="H605" s="10"/>
    </row>
    <row r="606" spans="8:8">
      <c r="H606" s="10"/>
    </row>
    <row r="607" spans="8:8">
      <c r="H607" s="10"/>
    </row>
    <row r="608" spans="8:8">
      <c r="H608" s="10"/>
    </row>
    <row r="609" spans="8:8">
      <c r="H609" s="10"/>
    </row>
    <row r="610" spans="8:8">
      <c r="H610" s="10"/>
    </row>
    <row r="611" spans="8:8">
      <c r="H611" s="10"/>
    </row>
    <row r="612" spans="8:8">
      <c r="H612" s="10"/>
    </row>
    <row r="613" spans="8:8">
      <c r="H613" s="10"/>
    </row>
    <row r="614" spans="8:8">
      <c r="H614" s="10"/>
    </row>
    <row r="615" spans="8:8">
      <c r="H615" s="10"/>
    </row>
    <row r="616" spans="8:8">
      <c r="H616" s="10"/>
    </row>
    <row r="617" spans="8:8">
      <c r="H617" s="10"/>
    </row>
    <row r="618" spans="8:8">
      <c r="H618" s="10"/>
    </row>
    <row r="619" spans="8:8">
      <c r="H619" s="10"/>
    </row>
    <row r="620" spans="8:8">
      <c r="H620" s="10"/>
    </row>
    <row r="621" spans="8:8">
      <c r="H621" s="10"/>
    </row>
    <row r="622" spans="8:8">
      <c r="H622" s="10"/>
    </row>
    <row r="623" spans="8:8">
      <c r="H623" s="10"/>
    </row>
    <row r="624" spans="8:8">
      <c r="H624" s="10"/>
    </row>
    <row r="625" spans="8:8">
      <c r="H625" s="10"/>
    </row>
    <row r="626" spans="8:8">
      <c r="H626" s="10"/>
    </row>
    <row r="627" spans="8:8">
      <c r="H627" s="10"/>
    </row>
    <row r="628" spans="8:8">
      <c r="H628" s="10"/>
    </row>
    <row r="629" spans="8:8">
      <c r="H629" s="10"/>
    </row>
    <row r="630" spans="8:8">
      <c r="H630" s="10"/>
    </row>
    <row r="631" spans="8:8">
      <c r="H631" s="10"/>
    </row>
    <row r="632" spans="8:8">
      <c r="H632" s="10"/>
    </row>
    <row r="633" spans="8:8">
      <c r="H633" s="10"/>
    </row>
    <row r="634" spans="8:8">
      <c r="H634" s="10"/>
    </row>
    <row r="635" spans="8:8">
      <c r="H635" s="10"/>
    </row>
    <row r="636" spans="8:8">
      <c r="H636" s="10"/>
    </row>
    <row r="637" spans="8:8">
      <c r="H637" s="10"/>
    </row>
    <row r="638" spans="8:8">
      <c r="H638" s="10"/>
    </row>
    <row r="639" spans="8:8">
      <c r="H639" s="10"/>
    </row>
    <row r="640" spans="8:8">
      <c r="H640" s="10"/>
    </row>
    <row r="641" spans="8:8">
      <c r="H641" s="10"/>
    </row>
    <row r="642" spans="8:8">
      <c r="H642" s="10"/>
    </row>
    <row r="643" spans="8:8">
      <c r="H643" s="10"/>
    </row>
    <row r="644" spans="8:8">
      <c r="H644" s="10"/>
    </row>
    <row r="645" spans="8:8">
      <c r="H645" s="10"/>
    </row>
    <row r="646" spans="8:8">
      <c r="H646" s="10"/>
    </row>
    <row r="647" spans="8:8">
      <c r="H647" s="10"/>
    </row>
    <row r="648" spans="8:8">
      <c r="H648" s="10"/>
    </row>
    <row r="649" spans="8:8">
      <c r="H649" s="10"/>
    </row>
    <row r="650" spans="8:8">
      <c r="H650" s="10"/>
    </row>
    <row r="651" spans="8:8">
      <c r="H651" s="10"/>
    </row>
    <row r="652" spans="8:8">
      <c r="H652" s="10"/>
    </row>
    <row r="653" spans="8:8">
      <c r="H653" s="10"/>
    </row>
    <row r="654" spans="8:8">
      <c r="H654" s="10"/>
    </row>
    <row r="655" spans="8:8">
      <c r="H655" s="10"/>
    </row>
    <row r="656" spans="8:8">
      <c r="H656" s="10"/>
    </row>
    <row r="657" spans="8:8">
      <c r="H657" s="10"/>
    </row>
    <row r="658" spans="8:8">
      <c r="H658" s="10"/>
    </row>
    <row r="659" spans="8:8">
      <c r="H659" s="10"/>
    </row>
    <row r="660" spans="8:8">
      <c r="H660" s="10"/>
    </row>
    <row r="661" spans="8:8">
      <c r="H661" s="10"/>
    </row>
    <row r="662" spans="8:8">
      <c r="H662" s="10"/>
    </row>
    <row r="663" spans="8:8">
      <c r="H663" s="10"/>
    </row>
    <row r="664" spans="8:8">
      <c r="H664" s="10"/>
    </row>
    <row r="665" spans="8:8">
      <c r="H665" s="10"/>
    </row>
    <row r="666" spans="8:8">
      <c r="H666" s="10"/>
    </row>
    <row r="667" spans="8:8">
      <c r="H667" s="10"/>
    </row>
    <row r="668" spans="8:8">
      <c r="H668" s="10"/>
    </row>
    <row r="669" spans="8:8">
      <c r="H669" s="10"/>
    </row>
    <row r="670" spans="8:8">
      <c r="H670" s="10"/>
    </row>
    <row r="671" spans="8:8">
      <c r="H671" s="10"/>
    </row>
    <row r="672" spans="8:8">
      <c r="H672" s="10"/>
    </row>
    <row r="673" spans="8:8">
      <c r="H673" s="10"/>
    </row>
    <row r="674" spans="8:8">
      <c r="H674" s="10"/>
    </row>
    <row r="675" spans="8:8">
      <c r="H675" s="10"/>
    </row>
    <row r="676" spans="8:8">
      <c r="H676" s="10"/>
    </row>
    <row r="677" spans="8:8">
      <c r="H677" s="10"/>
    </row>
    <row r="678" spans="8:8">
      <c r="H678" s="10"/>
    </row>
    <row r="679" spans="8:8">
      <c r="H679" s="10"/>
    </row>
    <row r="680" spans="8:8">
      <c r="H680" s="10"/>
    </row>
    <row r="681" spans="8:8">
      <c r="H681" s="10"/>
    </row>
    <row r="682" spans="8:8">
      <c r="H682" s="10"/>
    </row>
    <row r="683" spans="8:8">
      <c r="H683" s="10"/>
    </row>
    <row r="684" spans="8:8">
      <c r="H684" s="10"/>
    </row>
    <row r="685" spans="8:8">
      <c r="H685" s="10"/>
    </row>
    <row r="686" spans="8:8">
      <c r="H686" s="10"/>
    </row>
    <row r="687" spans="8:8">
      <c r="H687" s="10"/>
    </row>
    <row r="688" spans="8:8">
      <c r="H688" s="10"/>
    </row>
    <row r="689" spans="8:8">
      <c r="H689" s="10"/>
    </row>
    <row r="690" spans="8:8">
      <c r="H690" s="10"/>
    </row>
    <row r="691" spans="8:8">
      <c r="H691" s="10"/>
    </row>
    <row r="692" spans="8:8">
      <c r="H692" s="10"/>
    </row>
    <row r="693" spans="8:8">
      <c r="H693" s="10"/>
    </row>
    <row r="694" spans="8:8">
      <c r="H694" s="10"/>
    </row>
    <row r="695" spans="8:8">
      <c r="H695" s="10"/>
    </row>
    <row r="696" spans="8:8">
      <c r="H696" s="10"/>
    </row>
    <row r="697" spans="8:8">
      <c r="H697" s="10"/>
    </row>
    <row r="698" spans="8:8">
      <c r="H698" s="10"/>
    </row>
    <row r="699" spans="8:8">
      <c r="H699" s="10"/>
    </row>
    <row r="700" spans="8:8">
      <c r="H700" s="10"/>
    </row>
    <row r="701" spans="8:8">
      <c r="H701" s="10"/>
    </row>
    <row r="702" spans="8:8">
      <c r="H702" s="10"/>
    </row>
    <row r="703" spans="8:8">
      <c r="H703" s="10"/>
    </row>
    <row r="704" spans="8:8">
      <c r="H704" s="10"/>
    </row>
    <row r="705" spans="8:8">
      <c r="H705" s="10"/>
    </row>
    <row r="706" spans="8:8">
      <c r="H706" s="10"/>
    </row>
    <row r="707" spans="8:8">
      <c r="H707" s="10"/>
    </row>
    <row r="708" spans="8:8">
      <c r="H708" s="10"/>
    </row>
    <row r="709" spans="8:8">
      <c r="H709" s="10"/>
    </row>
    <row r="710" spans="8:8">
      <c r="H710" s="10"/>
    </row>
    <row r="711" spans="8:8">
      <c r="H711" s="10"/>
    </row>
    <row r="712" spans="8:8">
      <c r="H712" s="10"/>
    </row>
    <row r="713" spans="8:8">
      <c r="H713" s="10"/>
    </row>
    <row r="714" spans="8:8">
      <c r="H714" s="10"/>
    </row>
    <row r="715" spans="8:8">
      <c r="H715" s="10"/>
    </row>
    <row r="716" spans="8:8">
      <c r="H716" s="10"/>
    </row>
    <row r="717" spans="8:8">
      <c r="H717" s="10"/>
    </row>
    <row r="718" spans="8:8">
      <c r="H718" s="10"/>
    </row>
    <row r="719" spans="8:8">
      <c r="H719" s="10"/>
    </row>
    <row r="720" spans="8:8">
      <c r="H720" s="10"/>
    </row>
    <row r="721" spans="8:8">
      <c r="H721" s="10"/>
    </row>
    <row r="722" spans="8:8">
      <c r="H722" s="10"/>
    </row>
    <row r="723" spans="8:8">
      <c r="H723" s="10"/>
    </row>
    <row r="724" spans="8:8">
      <c r="H724" s="10"/>
    </row>
    <row r="725" spans="8:8">
      <c r="H725" s="10"/>
    </row>
    <row r="726" spans="8:8">
      <c r="H726" s="10"/>
    </row>
    <row r="727" spans="8:8">
      <c r="H727" s="10"/>
    </row>
    <row r="728" spans="8:8">
      <c r="H728" s="10"/>
    </row>
    <row r="729" spans="8:8">
      <c r="H729" s="10"/>
    </row>
    <row r="730" spans="8:8">
      <c r="H730" s="10"/>
    </row>
    <row r="731" spans="8:8">
      <c r="H731" s="10"/>
    </row>
    <row r="732" spans="8:8">
      <c r="H732" s="10"/>
    </row>
    <row r="733" spans="8:8">
      <c r="H733" s="10"/>
    </row>
    <row r="734" spans="8:8">
      <c r="H734" s="10"/>
    </row>
    <row r="735" spans="8:8">
      <c r="H735" s="10"/>
    </row>
    <row r="736" spans="8:8">
      <c r="H736" s="10"/>
    </row>
    <row r="737" spans="8:8">
      <c r="H737" s="10"/>
    </row>
    <row r="738" spans="8:8">
      <c r="H738" s="10"/>
    </row>
    <row r="739" spans="8:8">
      <c r="H739" s="10"/>
    </row>
    <row r="740" spans="8:8">
      <c r="H740" s="10"/>
    </row>
    <row r="741" spans="8:8">
      <c r="H741" s="10"/>
    </row>
    <row r="742" spans="8:8">
      <c r="H742" s="10"/>
    </row>
    <row r="743" spans="8:8">
      <c r="H743" s="10"/>
    </row>
    <row r="744" spans="8:8">
      <c r="H744" s="10"/>
    </row>
    <row r="745" spans="8:8">
      <c r="H745" s="10"/>
    </row>
    <row r="746" spans="8:8">
      <c r="H746" s="10"/>
    </row>
    <row r="747" spans="8:8">
      <c r="H747" s="10"/>
    </row>
    <row r="748" spans="8:8">
      <c r="H748" s="10"/>
    </row>
    <row r="749" spans="8:8">
      <c r="H749" s="10"/>
    </row>
    <row r="750" spans="8:8">
      <c r="H750" s="10"/>
    </row>
    <row r="751" spans="8:8">
      <c r="H751" s="10"/>
    </row>
    <row r="752" spans="8:8">
      <c r="H752" s="10"/>
    </row>
    <row r="753" spans="8:8">
      <c r="H753" s="10"/>
    </row>
    <row r="754" spans="8:8">
      <c r="H754" s="10"/>
    </row>
    <row r="755" spans="8:8">
      <c r="H755" s="10"/>
    </row>
    <row r="756" spans="8:8">
      <c r="H756" s="10"/>
    </row>
    <row r="757" spans="8:8">
      <c r="H757" s="10"/>
    </row>
    <row r="758" spans="8:8">
      <c r="H758" s="10"/>
    </row>
    <row r="759" spans="8:8">
      <c r="H759" s="10"/>
    </row>
    <row r="760" spans="8:8">
      <c r="H760" s="10"/>
    </row>
    <row r="761" spans="8:8">
      <c r="H761" s="10"/>
    </row>
    <row r="762" spans="8:8">
      <c r="H762" s="10"/>
    </row>
    <row r="763" spans="8:8">
      <c r="H763" s="10"/>
    </row>
    <row r="764" spans="8:8">
      <c r="H764" s="10"/>
    </row>
    <row r="765" spans="8:8">
      <c r="H765" s="10"/>
    </row>
    <row r="766" spans="8:8">
      <c r="H766" s="10"/>
    </row>
    <row r="767" spans="8:8">
      <c r="H767" s="10"/>
    </row>
    <row r="768" spans="8:8">
      <c r="H768" s="10"/>
    </row>
    <row r="769" spans="8:8">
      <c r="H769" s="10"/>
    </row>
    <row r="770" spans="8:8">
      <c r="H770" s="10"/>
    </row>
    <row r="771" spans="8:8">
      <c r="H771" s="10"/>
    </row>
    <row r="772" spans="8:8">
      <c r="H772" s="10"/>
    </row>
    <row r="773" spans="8:8">
      <c r="H773" s="10"/>
    </row>
    <row r="774" spans="8:8">
      <c r="H774" s="10"/>
    </row>
    <row r="775" spans="8:8">
      <c r="H775" s="10"/>
    </row>
    <row r="776" spans="8:8">
      <c r="H776" s="10"/>
    </row>
    <row r="777" spans="8:8">
      <c r="H777" s="10"/>
    </row>
    <row r="778" spans="8:8">
      <c r="H778" s="10"/>
    </row>
    <row r="779" spans="8:8">
      <c r="H779" s="10"/>
    </row>
    <row r="780" spans="8:8">
      <c r="H780" s="10"/>
    </row>
    <row r="781" spans="8:8">
      <c r="H781" s="10"/>
    </row>
    <row r="782" spans="8:8">
      <c r="H782" s="10"/>
    </row>
    <row r="783" spans="8:8">
      <c r="H783" s="10"/>
    </row>
    <row r="784" spans="8:8">
      <c r="H784" s="10"/>
    </row>
    <row r="785" spans="8:8">
      <c r="H785" s="10"/>
    </row>
    <row r="786" spans="8:8">
      <c r="H786" s="10"/>
    </row>
    <row r="787" spans="8:8">
      <c r="H787" s="10"/>
    </row>
    <row r="788" spans="8:8">
      <c r="H788" s="10"/>
    </row>
    <row r="789" spans="8:8">
      <c r="H789" s="10"/>
    </row>
    <row r="790" spans="8:8">
      <c r="H790" s="10"/>
    </row>
    <row r="791" spans="8:8">
      <c r="H791" s="10"/>
    </row>
    <row r="792" spans="8:8">
      <c r="H792" s="10"/>
    </row>
    <row r="793" spans="8:8">
      <c r="H793" s="10"/>
    </row>
    <row r="794" spans="8:8">
      <c r="H794" s="10"/>
    </row>
    <row r="795" spans="8:8">
      <c r="H795" s="10"/>
    </row>
    <row r="796" spans="8:8">
      <c r="H796" s="10"/>
    </row>
    <row r="797" spans="8:8">
      <c r="H797" s="10"/>
    </row>
    <row r="798" spans="8:8">
      <c r="H798" s="10"/>
    </row>
    <row r="799" spans="8:8">
      <c r="H799" s="10"/>
    </row>
    <row r="800" spans="8:8">
      <c r="H800" s="10"/>
    </row>
    <row r="801" spans="8:8">
      <c r="H801" s="10"/>
    </row>
    <row r="802" spans="8:8">
      <c r="H802" s="10"/>
    </row>
    <row r="803" spans="8:8">
      <c r="H803" s="10"/>
    </row>
    <row r="804" spans="8:8">
      <c r="H804" s="10"/>
    </row>
    <row r="805" spans="8:8">
      <c r="H805" s="10"/>
    </row>
    <row r="806" spans="8:8">
      <c r="H806" s="10"/>
    </row>
    <row r="807" spans="8:8">
      <c r="H807" s="10"/>
    </row>
    <row r="808" spans="8:8">
      <c r="H808" s="10"/>
    </row>
    <row r="809" spans="8:8">
      <c r="H809" s="10"/>
    </row>
    <row r="810" spans="8:8">
      <c r="H810" s="10"/>
    </row>
    <row r="811" spans="8:8">
      <c r="H811" s="10"/>
    </row>
    <row r="812" spans="8:8">
      <c r="H812" s="10"/>
    </row>
    <row r="813" spans="8:8">
      <c r="H813" s="10"/>
    </row>
    <row r="814" spans="8:8">
      <c r="H814" s="10"/>
    </row>
    <row r="815" spans="8:8">
      <c r="H815" s="10"/>
    </row>
    <row r="816" spans="8:8">
      <c r="H816" s="10"/>
    </row>
    <row r="817" spans="8:8">
      <c r="H817" s="10"/>
    </row>
    <row r="818" spans="8:8">
      <c r="H818" s="10"/>
    </row>
    <row r="819" spans="8:8">
      <c r="H819" s="10"/>
    </row>
    <row r="820" spans="8:8">
      <c r="H820" s="10"/>
    </row>
    <row r="821" spans="8:8">
      <c r="H821" s="10"/>
    </row>
    <row r="822" spans="8:8">
      <c r="H822" s="10"/>
    </row>
    <row r="823" spans="8:8">
      <c r="H823" s="10"/>
    </row>
    <row r="824" spans="8:8">
      <c r="H824" s="10"/>
    </row>
    <row r="825" spans="8:8">
      <c r="H825" s="10"/>
    </row>
    <row r="826" spans="8:8">
      <c r="H826" s="10"/>
    </row>
    <row r="827" spans="8:8">
      <c r="H827" s="10"/>
    </row>
    <row r="828" spans="8:8">
      <c r="H828" s="10"/>
    </row>
    <row r="829" spans="8:8">
      <c r="H829" s="10"/>
    </row>
    <row r="830" spans="8:8">
      <c r="H830" s="10"/>
    </row>
    <row r="831" spans="8:8">
      <c r="H831" s="10"/>
    </row>
    <row r="832" spans="8:8">
      <c r="H832" s="10"/>
    </row>
    <row r="833" spans="8:8">
      <c r="H833" s="10"/>
    </row>
    <row r="834" spans="8:8">
      <c r="H834" s="10"/>
    </row>
    <row r="835" spans="8:8">
      <c r="H835" s="10"/>
    </row>
    <row r="836" spans="8:8">
      <c r="H836" s="10"/>
    </row>
    <row r="837" spans="8:8">
      <c r="H837" s="10"/>
    </row>
    <row r="838" spans="8:8">
      <c r="H838" s="10"/>
    </row>
    <row r="839" spans="8:8">
      <c r="H839" s="10"/>
    </row>
    <row r="840" spans="8:8">
      <c r="H840" s="10"/>
    </row>
    <row r="841" spans="8:8">
      <c r="H841" s="10"/>
    </row>
    <row r="842" spans="8:8">
      <c r="H842" s="10"/>
    </row>
    <row r="843" spans="8:8">
      <c r="H843" s="10"/>
    </row>
    <row r="844" spans="8:8">
      <c r="H844" s="10"/>
    </row>
    <row r="845" spans="8:8">
      <c r="H845" s="10"/>
    </row>
    <row r="846" spans="8:8">
      <c r="H846" s="10"/>
    </row>
    <row r="847" spans="8:8">
      <c r="H847" s="10"/>
    </row>
    <row r="848" spans="8:8">
      <c r="H848" s="10"/>
    </row>
    <row r="849" spans="8:8">
      <c r="H849" s="10"/>
    </row>
    <row r="850" spans="8:8">
      <c r="H850" s="10"/>
    </row>
    <row r="851" spans="8:8">
      <c r="H851" s="10"/>
    </row>
    <row r="852" spans="8:8">
      <c r="H852" s="10"/>
    </row>
    <row r="853" spans="8:8">
      <c r="H853" s="10"/>
    </row>
    <row r="854" spans="8:8">
      <c r="H854" s="10"/>
    </row>
    <row r="855" spans="8:8">
      <c r="H855" s="10"/>
    </row>
    <row r="856" spans="8:8">
      <c r="H856" s="10"/>
    </row>
    <row r="857" spans="8:8">
      <c r="H857" s="10"/>
    </row>
    <row r="858" spans="8:8">
      <c r="H858" s="10"/>
    </row>
    <row r="859" spans="8:8">
      <c r="H859" s="10"/>
    </row>
    <row r="860" spans="8:8">
      <c r="H860" s="10"/>
    </row>
    <row r="861" spans="8:8">
      <c r="H861" s="10"/>
    </row>
    <row r="862" spans="8:8">
      <c r="H862" s="10"/>
    </row>
    <row r="863" spans="8:8">
      <c r="H863" s="10"/>
    </row>
    <row r="864" spans="8:8">
      <c r="H864" s="10"/>
    </row>
    <row r="865" spans="8:8">
      <c r="H865" s="10"/>
    </row>
    <row r="866" spans="8:8">
      <c r="H866" s="10"/>
    </row>
    <row r="867" spans="8:8">
      <c r="H867" s="10"/>
    </row>
    <row r="868" spans="8:8">
      <c r="H868" s="10"/>
    </row>
    <row r="869" spans="8:8">
      <c r="H869" s="10"/>
    </row>
    <row r="870" spans="8:8">
      <c r="H870" s="10"/>
    </row>
    <row r="871" spans="8:8">
      <c r="H871" s="10"/>
    </row>
    <row r="872" spans="8:8">
      <c r="H872" s="10"/>
    </row>
    <row r="873" spans="8:8">
      <c r="H873" s="10"/>
    </row>
    <row r="874" spans="8:8">
      <c r="H874" s="10"/>
    </row>
    <row r="875" spans="8:8">
      <c r="H875" s="10"/>
    </row>
    <row r="876" spans="8:8">
      <c r="H876" s="10"/>
    </row>
    <row r="877" spans="8:8">
      <c r="H877" s="10"/>
    </row>
    <row r="878" spans="8:8">
      <c r="H878" s="10"/>
    </row>
    <row r="879" spans="8:8">
      <c r="H879" s="10"/>
    </row>
    <row r="880" spans="8:8">
      <c r="H880" s="10"/>
    </row>
    <row r="881" spans="8:8">
      <c r="H881" s="10"/>
    </row>
    <row r="882" spans="8:8">
      <c r="H882" s="10"/>
    </row>
    <row r="883" spans="8:8">
      <c r="H883" s="10"/>
    </row>
    <row r="884" spans="8:8">
      <c r="H884" s="10"/>
    </row>
    <row r="885" spans="8:8">
      <c r="H885" s="10"/>
    </row>
    <row r="886" spans="8:8">
      <c r="H886" s="10"/>
    </row>
    <row r="887" spans="8:8">
      <c r="H887" s="10"/>
    </row>
    <row r="888" spans="8:8">
      <c r="H888" s="10"/>
    </row>
    <row r="889" spans="8:8">
      <c r="H889" s="10"/>
    </row>
    <row r="890" spans="8:8">
      <c r="H890" s="10"/>
    </row>
    <row r="891" spans="8:8">
      <c r="H891" s="10"/>
    </row>
    <row r="892" spans="8:8">
      <c r="H892" s="10"/>
    </row>
    <row r="893" spans="8:8">
      <c r="H893" s="10"/>
    </row>
    <row r="894" spans="8:8">
      <c r="H894" s="10"/>
    </row>
    <row r="895" spans="8:8">
      <c r="H895" s="10"/>
    </row>
    <row r="896" spans="8:8">
      <c r="H896" s="10"/>
    </row>
    <row r="897" spans="8:8">
      <c r="H897" s="10"/>
    </row>
    <row r="898" spans="8:8">
      <c r="H898" s="10"/>
    </row>
    <row r="899" spans="8:8">
      <c r="H899" s="10"/>
    </row>
    <row r="900" spans="8:8">
      <c r="H900" s="10"/>
    </row>
    <row r="901" spans="8:8">
      <c r="H901" s="10"/>
    </row>
    <row r="902" spans="8:8">
      <c r="H902" s="10"/>
    </row>
    <row r="903" spans="8:8">
      <c r="H903" s="10"/>
    </row>
    <row r="904" spans="8:8">
      <c r="H904" s="10"/>
    </row>
    <row r="905" spans="8:8">
      <c r="H905" s="10"/>
    </row>
    <row r="906" spans="8:8">
      <c r="H906" s="10"/>
    </row>
    <row r="907" spans="8:8">
      <c r="H907" s="10"/>
    </row>
    <row r="908" spans="8:8">
      <c r="H908" s="10"/>
    </row>
    <row r="909" spans="8:8">
      <c r="H909" s="10"/>
    </row>
    <row r="910" spans="8:8">
      <c r="H910" s="10"/>
    </row>
    <row r="911" spans="8:8">
      <c r="H911" s="10"/>
    </row>
    <row r="912" spans="8:8">
      <c r="H912" s="10"/>
    </row>
    <row r="913" spans="8:8">
      <c r="H913" s="10"/>
    </row>
    <row r="914" spans="8:8">
      <c r="H914" s="10"/>
    </row>
    <row r="915" spans="8:8">
      <c r="H915" s="10"/>
    </row>
    <row r="916" spans="8:8">
      <c r="H916" s="10"/>
    </row>
    <row r="917" spans="8:8">
      <c r="H917" s="10"/>
    </row>
    <row r="918" spans="8:8">
      <c r="H918" s="10"/>
    </row>
    <row r="919" spans="8:8">
      <c r="H919" s="10"/>
    </row>
    <row r="920" spans="8:8">
      <c r="H920" s="10"/>
    </row>
    <row r="921" spans="8:8">
      <c r="H921" s="10"/>
    </row>
    <row r="922" spans="8:8">
      <c r="H922" s="10"/>
    </row>
    <row r="923" spans="8:8">
      <c r="H923" s="10"/>
    </row>
    <row r="924" spans="8:8">
      <c r="H924" s="10"/>
    </row>
    <row r="925" spans="8:8">
      <c r="H925" s="10"/>
    </row>
    <row r="926" spans="8:8">
      <c r="H926" s="10"/>
    </row>
    <row r="927" spans="8:8">
      <c r="H927" s="10"/>
    </row>
    <row r="928" spans="8:8">
      <c r="H928" s="10"/>
    </row>
    <row r="929" spans="8:8">
      <c r="H929" s="10"/>
    </row>
    <row r="930" spans="8:8">
      <c r="H930" s="10"/>
    </row>
    <row r="931" spans="8:8">
      <c r="H931" s="10"/>
    </row>
    <row r="932" spans="8:8">
      <c r="H932" s="10"/>
    </row>
    <row r="933" spans="8:8">
      <c r="H933" s="10"/>
    </row>
    <row r="934" spans="8:8">
      <c r="H934" s="10"/>
    </row>
    <row r="935" spans="8:8">
      <c r="H935" s="10"/>
    </row>
    <row r="936" spans="8:8">
      <c r="H936" s="10"/>
    </row>
    <row r="937" spans="8:8">
      <c r="H937" s="10"/>
    </row>
    <row r="938" spans="8:8">
      <c r="H938" s="10"/>
    </row>
    <row r="939" spans="8:8">
      <c r="H939" s="10"/>
    </row>
    <row r="940" spans="8:8">
      <c r="H940" s="10"/>
    </row>
    <row r="941" spans="8:8">
      <c r="H941" s="10"/>
    </row>
    <row r="942" spans="8:8">
      <c r="H942" s="10"/>
    </row>
    <row r="943" spans="8:8">
      <c r="H943" s="10"/>
    </row>
    <row r="944" spans="8:8">
      <c r="H944" s="10"/>
    </row>
    <row r="945" spans="8:8">
      <c r="H945" s="10"/>
    </row>
    <row r="946" spans="8:8">
      <c r="H946" s="10"/>
    </row>
    <row r="947" spans="8:8">
      <c r="H947" s="10"/>
    </row>
    <row r="948" spans="8:8">
      <c r="H948" s="10"/>
    </row>
    <row r="949" spans="8:8">
      <c r="H949" s="10"/>
    </row>
    <row r="950" spans="8:8">
      <c r="H950" s="10"/>
    </row>
    <row r="951" spans="8:8">
      <c r="H951" s="10"/>
    </row>
    <row r="952" spans="8:8">
      <c r="H952" s="10"/>
    </row>
    <row r="953" spans="8:8">
      <c r="H953" s="10"/>
    </row>
    <row r="954" spans="8:8">
      <c r="H954" s="10"/>
    </row>
    <row r="955" spans="8:8">
      <c r="H955" s="10"/>
    </row>
    <row r="956" spans="8:8">
      <c r="H956" s="10"/>
    </row>
    <row r="957" spans="8:8">
      <c r="H957" s="10"/>
    </row>
    <row r="958" spans="8:8">
      <c r="H958" s="10"/>
    </row>
    <row r="959" spans="8:8">
      <c r="H959" s="10"/>
    </row>
    <row r="960" spans="8:8">
      <c r="H960" s="10"/>
    </row>
    <row r="961" spans="8:8">
      <c r="H961" s="10"/>
    </row>
    <row r="962" spans="8:8">
      <c r="H962" s="10"/>
    </row>
    <row r="963" spans="8:8">
      <c r="H963" s="10"/>
    </row>
    <row r="964" spans="8:8">
      <c r="H964" s="10"/>
    </row>
    <row r="965" spans="8:8">
      <c r="H965" s="10"/>
    </row>
    <row r="966" spans="8:8">
      <c r="H966" s="10"/>
    </row>
    <row r="967" spans="8:8">
      <c r="H967" s="10"/>
    </row>
    <row r="968" spans="8:8">
      <c r="H968" s="10"/>
    </row>
    <row r="969" spans="8:8">
      <c r="H969" s="10"/>
    </row>
    <row r="970" spans="8:8">
      <c r="H970" s="10"/>
    </row>
    <row r="971" spans="8:8">
      <c r="H971" s="10"/>
    </row>
    <row r="972" spans="8:8">
      <c r="H972" s="10"/>
    </row>
    <row r="973" spans="8:8">
      <c r="H973" s="10"/>
    </row>
    <row r="974" spans="8:8">
      <c r="H974" s="10"/>
    </row>
    <row r="975" spans="8:8">
      <c r="H975" s="10"/>
    </row>
    <row r="976" spans="8:8">
      <c r="H976" s="10"/>
    </row>
    <row r="977" spans="8:8">
      <c r="H977" s="10"/>
    </row>
    <row r="978" spans="8:8">
      <c r="H978" s="10"/>
    </row>
    <row r="979" spans="8:8">
      <c r="H979" s="10"/>
    </row>
    <row r="980" spans="8:8">
      <c r="H980" s="10"/>
    </row>
    <row r="981" spans="8:8">
      <c r="H981" s="10"/>
    </row>
    <row r="982" spans="8:8">
      <c r="H982" s="10"/>
    </row>
    <row r="983" spans="8:8">
      <c r="H983" s="10"/>
    </row>
    <row r="984" spans="8:8">
      <c r="H984" s="10"/>
    </row>
    <row r="985" spans="8:8">
      <c r="H985" s="10"/>
    </row>
    <row r="986" spans="8:8">
      <c r="H986" s="10"/>
    </row>
    <row r="987" spans="8:8">
      <c r="H987" s="10"/>
    </row>
    <row r="988" spans="8:8">
      <c r="H988" s="10"/>
    </row>
    <row r="989" spans="8:8">
      <c r="H989" s="10"/>
    </row>
    <row r="990" spans="8:8">
      <c r="H990" s="10"/>
    </row>
    <row r="991" spans="8:8">
      <c r="H991" s="10"/>
    </row>
    <row r="992" spans="8:8">
      <c r="H992" s="10"/>
    </row>
    <row r="993" spans="8:8">
      <c r="H993" s="10"/>
    </row>
    <row r="994" spans="8:8">
      <c r="H994" s="10"/>
    </row>
    <row r="995" spans="8:8">
      <c r="H995" s="10"/>
    </row>
    <row r="996" spans="8:8">
      <c r="H996" s="10"/>
    </row>
    <row r="997" spans="8:8">
      <c r="H997" s="10"/>
    </row>
    <row r="998" spans="8:8">
      <c r="H998" s="10"/>
    </row>
    <row r="999" spans="8:8">
      <c r="H999" s="10"/>
    </row>
    <row r="1000" spans="8:8">
      <c r="H1000" s="10"/>
    </row>
    <row r="1001" spans="8:8">
      <c r="H1001" s="10"/>
    </row>
    <row r="1002" spans="8:8">
      <c r="H1002" s="10"/>
    </row>
    <row r="1003" spans="8:8">
      <c r="H1003" s="10"/>
    </row>
    <row r="1004" spans="8:8">
      <c r="H1004" s="10"/>
    </row>
    <row r="1005" spans="8:8">
      <c r="H1005" s="10"/>
    </row>
    <row r="1006" spans="8:8">
      <c r="H1006" s="10"/>
    </row>
    <row r="1007" spans="8:8">
      <c r="H1007" s="10"/>
    </row>
    <row r="1008" spans="8:8">
      <c r="H1008" s="10"/>
    </row>
    <row r="1009" spans="8:8">
      <c r="H1009" s="10"/>
    </row>
    <row r="1010" spans="8:8">
      <c r="H1010" s="10"/>
    </row>
    <row r="1011" spans="8:8">
      <c r="H1011" s="10"/>
    </row>
    <row r="1012" spans="8:8">
      <c r="H1012" s="10"/>
    </row>
    <row r="1013" spans="8:8">
      <c r="H1013" s="10"/>
    </row>
    <row r="1014" spans="8:8">
      <c r="H1014" s="10"/>
    </row>
    <row r="1015" spans="8:8">
      <c r="H1015" s="10"/>
    </row>
    <row r="1016" spans="8:8">
      <c r="H1016" s="10"/>
    </row>
    <row r="1017" spans="8:8">
      <c r="H1017" s="10"/>
    </row>
    <row r="1018" spans="8:8">
      <c r="H1018" s="10"/>
    </row>
    <row r="1019" spans="8:8">
      <c r="H1019" s="10"/>
    </row>
    <row r="1020" spans="8:8">
      <c r="H1020" s="10"/>
    </row>
    <row r="1021" spans="8:8">
      <c r="H1021" s="10"/>
    </row>
    <row r="1022" spans="8:8">
      <c r="H1022" s="10"/>
    </row>
    <row r="1023" spans="8:8">
      <c r="H1023" s="10"/>
    </row>
    <row r="1024" spans="8:8">
      <c r="H1024" s="10"/>
    </row>
    <row r="1025" spans="8:8">
      <c r="H1025" s="10"/>
    </row>
    <row r="1026" spans="8:8">
      <c r="H1026" s="10"/>
    </row>
    <row r="1027" spans="8:8">
      <c r="H1027" s="10"/>
    </row>
    <row r="1028" spans="8:8">
      <c r="H1028" s="10"/>
    </row>
    <row r="1029" spans="8:8">
      <c r="H1029" s="10"/>
    </row>
    <row r="1030" spans="8:8">
      <c r="H1030" s="10"/>
    </row>
    <row r="1031" spans="8:8">
      <c r="H1031" s="10"/>
    </row>
    <row r="1032" spans="8:8">
      <c r="H1032" s="10"/>
    </row>
    <row r="1033" spans="8:8">
      <c r="H1033" s="10"/>
    </row>
    <row r="1034" spans="8:8">
      <c r="H1034" s="10"/>
    </row>
    <row r="1035" spans="8:8">
      <c r="H1035" s="10"/>
    </row>
    <row r="1036" spans="8:8">
      <c r="H1036" s="10"/>
    </row>
    <row r="1037" spans="8:8">
      <c r="H1037" s="10"/>
    </row>
    <row r="1038" spans="8:8">
      <c r="H1038" s="10"/>
    </row>
    <row r="1039" spans="8:8">
      <c r="H1039" s="10"/>
    </row>
    <row r="1040" spans="8:8">
      <c r="H1040" s="10"/>
    </row>
    <row r="1041" spans="8:8">
      <c r="H1041" s="10"/>
    </row>
    <row r="1042" spans="8:8">
      <c r="H1042" s="10"/>
    </row>
    <row r="1043" spans="8:8">
      <c r="H1043" s="10"/>
    </row>
    <row r="1044" spans="8:8">
      <c r="H1044" s="10"/>
    </row>
    <row r="1045" spans="8:8">
      <c r="H1045" s="10"/>
    </row>
    <row r="1046" spans="8:8">
      <c r="H1046" s="10"/>
    </row>
    <row r="1047" spans="8:8">
      <c r="H1047" s="10"/>
    </row>
    <row r="1048" spans="8:8">
      <c r="H1048" s="10"/>
    </row>
    <row r="1049" spans="8:8">
      <c r="H1049" s="10"/>
    </row>
    <row r="1050" spans="8:8">
      <c r="H1050" s="10"/>
    </row>
    <row r="1051" spans="8:8">
      <c r="H1051" s="10"/>
    </row>
    <row r="1052" spans="8:8">
      <c r="H1052" s="10"/>
    </row>
    <row r="1053" spans="8:8">
      <c r="H1053" s="10"/>
    </row>
    <row r="1054" spans="8:8">
      <c r="H1054" s="10"/>
    </row>
    <row r="1055" spans="8:8">
      <c r="H1055" s="10"/>
    </row>
    <row r="1056" spans="8:8">
      <c r="H1056" s="10"/>
    </row>
    <row r="1057" spans="8:8">
      <c r="H1057" s="10"/>
    </row>
    <row r="1058" spans="8:8">
      <c r="H1058" s="10"/>
    </row>
    <row r="1059" spans="8:8">
      <c r="H1059" s="10"/>
    </row>
    <row r="1060" spans="8:8">
      <c r="H1060" s="10"/>
    </row>
    <row r="1061" spans="8:8">
      <c r="H1061" s="10"/>
    </row>
    <row r="1062" spans="8:8">
      <c r="H1062" s="10"/>
    </row>
    <row r="1063" spans="8:8">
      <c r="H1063" s="10"/>
    </row>
    <row r="1064" spans="8:8">
      <c r="H1064" s="10"/>
    </row>
    <row r="1065" spans="8:8">
      <c r="H1065" s="10"/>
    </row>
    <row r="1066" spans="8:8">
      <c r="H1066" s="10"/>
    </row>
    <row r="1067" spans="8:8">
      <c r="H1067" s="10"/>
    </row>
    <row r="1068" spans="8:8">
      <c r="H1068" s="10"/>
    </row>
    <row r="1069" spans="8:8">
      <c r="H1069" s="10"/>
    </row>
    <row r="1070" spans="8:8">
      <c r="H1070" s="10"/>
    </row>
    <row r="1071" spans="8:8">
      <c r="H1071" s="10"/>
    </row>
    <row r="1072" spans="8:8">
      <c r="H1072" s="10"/>
    </row>
    <row r="1073" spans="8:8">
      <c r="H1073" s="10"/>
    </row>
    <row r="1074" spans="8:8">
      <c r="H1074" s="10"/>
    </row>
    <row r="1075" spans="8:8">
      <c r="H1075" s="10"/>
    </row>
    <row r="1076" spans="8:8">
      <c r="H1076" s="10"/>
    </row>
    <row r="1077" spans="8:8">
      <c r="H1077" s="10"/>
    </row>
    <row r="1078" spans="8:8">
      <c r="H1078" s="10"/>
    </row>
    <row r="1079" spans="8:8">
      <c r="H1079" s="10"/>
    </row>
    <row r="1080" spans="8:8">
      <c r="H1080" s="10"/>
    </row>
    <row r="1081" spans="8:8">
      <c r="H1081" s="10"/>
    </row>
    <row r="1082" spans="8:8">
      <c r="H1082" s="10"/>
    </row>
    <row r="1083" spans="8:8">
      <c r="H1083" s="10"/>
    </row>
    <row r="1084" spans="8:8">
      <c r="H1084" s="10"/>
    </row>
    <row r="1085" spans="8:8">
      <c r="H1085" s="10"/>
    </row>
    <row r="1086" spans="8:8">
      <c r="H1086" s="10"/>
    </row>
    <row r="1087" spans="8:8">
      <c r="H1087" s="10"/>
    </row>
    <row r="1088" spans="8:8">
      <c r="H1088" s="10"/>
    </row>
    <row r="1089" spans="8:8">
      <c r="H1089" s="10"/>
    </row>
    <row r="1090" spans="8:8">
      <c r="H1090" s="10"/>
    </row>
    <row r="1091" spans="8:8">
      <c r="H1091" s="10"/>
    </row>
    <row r="1092" spans="8:8">
      <c r="H1092" s="10"/>
    </row>
    <row r="1093" spans="8:8">
      <c r="H1093" s="10"/>
    </row>
    <row r="1094" spans="8:8">
      <c r="H1094" s="10"/>
    </row>
    <row r="1095" spans="8:8">
      <c r="H1095" s="10"/>
    </row>
    <row r="1096" spans="8:8">
      <c r="H1096" s="10"/>
    </row>
    <row r="1097" spans="8:8">
      <c r="H1097" s="10"/>
    </row>
    <row r="1098" spans="8:8">
      <c r="H1098" s="10"/>
    </row>
    <row r="1099" spans="8:8">
      <c r="H1099" s="10"/>
    </row>
    <row r="1100" spans="8:8">
      <c r="H1100" s="10"/>
    </row>
    <row r="1101" spans="8:8">
      <c r="H1101" s="10"/>
    </row>
    <row r="1102" spans="8:8">
      <c r="H1102" s="10"/>
    </row>
    <row r="1103" spans="8:8">
      <c r="H1103" s="10"/>
    </row>
    <row r="1104" spans="8:8">
      <c r="H1104" s="10"/>
    </row>
    <row r="1105" spans="8:8">
      <c r="H1105" s="10"/>
    </row>
    <row r="1106" spans="8:8">
      <c r="H1106" s="10"/>
    </row>
    <row r="1107" spans="8:8">
      <c r="H1107" s="10"/>
    </row>
    <row r="1108" spans="8:8">
      <c r="H1108" s="10"/>
    </row>
    <row r="1109" spans="8:8">
      <c r="H1109" s="10"/>
    </row>
    <row r="1110" spans="8:8">
      <c r="H1110" s="10"/>
    </row>
    <row r="1111" spans="8:8">
      <c r="H1111" s="10"/>
    </row>
    <row r="1112" spans="8:8">
      <c r="H1112" s="10"/>
    </row>
    <row r="1113" spans="8:8">
      <c r="H1113" s="10"/>
    </row>
    <row r="1114" spans="8:8">
      <c r="H1114" s="10"/>
    </row>
    <row r="1115" spans="8:8">
      <c r="H1115" s="10"/>
    </row>
    <row r="1116" spans="8:8">
      <c r="H1116" s="10"/>
    </row>
    <row r="1117" spans="8:8">
      <c r="H1117" s="10"/>
    </row>
    <row r="1118" spans="8:8">
      <c r="H1118" s="10"/>
    </row>
    <row r="1119" spans="8:8">
      <c r="H1119" s="10"/>
    </row>
    <row r="1120" spans="8:8">
      <c r="H1120" s="10"/>
    </row>
    <row r="1121" spans="8:8">
      <c r="H1121" s="10"/>
    </row>
    <row r="1122" spans="8:8">
      <c r="H1122" s="10"/>
    </row>
    <row r="1123" spans="8:8">
      <c r="H1123" s="10"/>
    </row>
    <row r="1124" spans="8:8">
      <c r="H1124" s="10"/>
    </row>
    <row r="1125" spans="8:8">
      <c r="H1125" s="10"/>
    </row>
    <row r="1126" spans="8:8">
      <c r="H1126" s="10"/>
    </row>
    <row r="1127" spans="8:8">
      <c r="H1127" s="10"/>
    </row>
    <row r="1128" spans="8:8">
      <c r="H1128" s="10"/>
    </row>
    <row r="1129" spans="8:8">
      <c r="H1129" s="10"/>
    </row>
    <row r="1130" spans="8:8">
      <c r="H1130" s="10"/>
    </row>
    <row r="1131" spans="8:8">
      <c r="H1131" s="10"/>
    </row>
    <row r="1132" spans="8:8">
      <c r="H1132" s="10"/>
    </row>
    <row r="1133" spans="8:8">
      <c r="H1133" s="10"/>
    </row>
    <row r="1134" spans="8:8">
      <c r="H1134" s="10"/>
    </row>
    <row r="1135" spans="8:8">
      <c r="H1135" s="10"/>
    </row>
    <row r="1136" spans="8:8">
      <c r="H1136" s="10"/>
    </row>
    <row r="1137" spans="8:8">
      <c r="H1137" s="10"/>
    </row>
    <row r="1138" spans="8:8">
      <c r="H1138" s="10"/>
    </row>
    <row r="1139" spans="8:8">
      <c r="H1139" s="10"/>
    </row>
    <row r="1140" spans="8:8">
      <c r="H1140" s="10"/>
    </row>
    <row r="1141" spans="8:8">
      <c r="H1141" s="10"/>
    </row>
    <row r="1142" spans="8:8">
      <c r="H1142" s="10"/>
    </row>
    <row r="1143" spans="8:8">
      <c r="H1143" s="10"/>
    </row>
    <row r="1144" spans="8:8">
      <c r="H1144" s="10"/>
    </row>
    <row r="1145" spans="8:8">
      <c r="H1145" s="10"/>
    </row>
    <row r="1146" spans="8:8">
      <c r="H1146" s="10"/>
    </row>
    <row r="1147" spans="8:8">
      <c r="H1147" s="10"/>
    </row>
    <row r="1148" spans="8:8">
      <c r="H1148" s="10"/>
    </row>
    <row r="1149" spans="8:8">
      <c r="H1149" s="10"/>
    </row>
    <row r="1150" spans="8:8">
      <c r="H1150" s="10"/>
    </row>
    <row r="1151" spans="8:8">
      <c r="H1151" s="10"/>
    </row>
    <row r="1152" spans="8:8">
      <c r="H1152" s="10"/>
    </row>
    <row r="1153" spans="8:8">
      <c r="H1153" s="10"/>
    </row>
    <row r="1154" spans="8:8">
      <c r="H1154" s="10"/>
    </row>
    <row r="1155" spans="8:8">
      <c r="H1155" s="10"/>
    </row>
    <row r="1156" spans="8:8">
      <c r="H1156" s="10"/>
    </row>
    <row r="1157" spans="8:8">
      <c r="H1157" s="10"/>
    </row>
    <row r="1158" spans="8:8">
      <c r="H1158" s="10"/>
    </row>
    <row r="1159" spans="8:8">
      <c r="H1159" s="10"/>
    </row>
    <row r="1160" spans="8:8">
      <c r="H1160" s="10"/>
    </row>
    <row r="1161" spans="8:8">
      <c r="H1161" s="10"/>
    </row>
    <row r="1162" spans="8:8">
      <c r="H1162" s="10"/>
    </row>
    <row r="1163" spans="8:8">
      <c r="H1163" s="10"/>
    </row>
    <row r="1164" spans="8:8">
      <c r="H1164" s="10"/>
    </row>
    <row r="1165" spans="8:8">
      <c r="H1165" s="10"/>
    </row>
    <row r="1166" spans="8:8">
      <c r="H1166" s="10"/>
    </row>
    <row r="1167" spans="8:8">
      <c r="H1167" s="10"/>
    </row>
    <row r="1168" spans="8:8">
      <c r="H1168" s="10"/>
    </row>
    <row r="1169" spans="8:8">
      <c r="H1169" s="10"/>
    </row>
    <row r="1170" spans="8:8">
      <c r="H1170" s="10"/>
    </row>
    <row r="1171" spans="8:8">
      <c r="H1171" s="10"/>
    </row>
    <row r="1172" spans="8:8">
      <c r="H1172" s="10"/>
    </row>
    <row r="1173" spans="8:8">
      <c r="H1173" s="10"/>
    </row>
    <row r="1174" spans="8:8">
      <c r="H1174" s="10"/>
    </row>
    <row r="1175" spans="8:8">
      <c r="H1175" s="10"/>
    </row>
    <row r="1176" spans="8:8">
      <c r="H1176" s="10"/>
    </row>
    <row r="1177" spans="8:8">
      <c r="H1177" s="10"/>
    </row>
    <row r="1178" spans="8:8">
      <c r="H1178" s="10"/>
    </row>
    <row r="1179" spans="8:8">
      <c r="H1179" s="10"/>
    </row>
    <row r="1180" spans="8:8">
      <c r="H1180" s="10"/>
    </row>
    <row r="1181" spans="8:8">
      <c r="H1181" s="10"/>
    </row>
    <row r="1182" spans="8:8">
      <c r="H1182" s="10"/>
    </row>
    <row r="1183" spans="8:8">
      <c r="H1183" s="10"/>
    </row>
    <row r="1184" spans="8:8">
      <c r="H1184" s="10"/>
    </row>
    <row r="1185" spans="8:8">
      <c r="H1185" s="10"/>
    </row>
    <row r="1186" spans="8:8">
      <c r="H1186" s="10"/>
    </row>
    <row r="1187" spans="8:8">
      <c r="H1187" s="10"/>
    </row>
    <row r="1188" spans="8:8">
      <c r="H1188" s="10"/>
    </row>
    <row r="1189" spans="8:8">
      <c r="H1189" s="10"/>
    </row>
    <row r="1190" spans="8:8">
      <c r="H1190" s="10"/>
    </row>
    <row r="1191" spans="8:8">
      <c r="H1191" s="10"/>
    </row>
    <row r="1192" spans="8:8">
      <c r="H1192" s="10"/>
    </row>
    <row r="1193" spans="8:8">
      <c r="H1193" s="10"/>
    </row>
    <row r="1194" spans="8:8">
      <c r="H1194" s="10"/>
    </row>
    <row r="1195" spans="8:8">
      <c r="H1195" s="10"/>
    </row>
    <row r="1196" spans="8:8">
      <c r="H1196" s="10"/>
    </row>
    <row r="1197" spans="8:8">
      <c r="H1197" s="10"/>
    </row>
    <row r="1198" spans="8:8">
      <c r="H1198" s="10"/>
    </row>
    <row r="1199" spans="8:8">
      <c r="H1199" s="10"/>
    </row>
    <row r="1200" spans="8:8">
      <c r="H1200" s="10"/>
    </row>
    <row r="1201" spans="8:8">
      <c r="H1201" s="10"/>
    </row>
    <row r="1202" spans="8:8">
      <c r="H1202" s="10"/>
    </row>
    <row r="1203" spans="8:8">
      <c r="H1203" s="10"/>
    </row>
    <row r="1204" spans="8:8">
      <c r="H1204" s="10"/>
    </row>
    <row r="1205" spans="8:8">
      <c r="H1205" s="10"/>
    </row>
    <row r="1206" spans="8:8">
      <c r="H1206" s="10"/>
    </row>
    <row r="1207" spans="8:8">
      <c r="H1207" s="10"/>
    </row>
    <row r="1208" spans="8:8">
      <c r="H1208" s="10"/>
    </row>
    <row r="1209" spans="8:8">
      <c r="H1209" s="10"/>
    </row>
    <row r="1210" spans="8:8">
      <c r="H1210" s="10"/>
    </row>
    <row r="1211" spans="8:8">
      <c r="H1211" s="10"/>
    </row>
    <row r="1212" spans="8:8">
      <c r="H1212" s="10"/>
    </row>
    <row r="1213" spans="8:8">
      <c r="H1213" s="10"/>
    </row>
    <row r="1214" spans="8:8">
      <c r="H1214" s="10"/>
    </row>
    <row r="1215" spans="8:8">
      <c r="H1215" s="10"/>
    </row>
    <row r="1216" spans="8:8">
      <c r="H1216" s="10"/>
    </row>
    <row r="1217" spans="8:8">
      <c r="H1217" s="10"/>
    </row>
    <row r="1218" spans="8:8">
      <c r="H1218" s="10"/>
    </row>
  </sheetData>
  <conditionalFormatting sqref="E4:E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B14:AF46"/>
  <sheetViews>
    <sheetView showGridLines="0" tabSelected="1" zoomScale="50" zoomScaleNormal="50" workbookViewId="0">
      <selection activeCell="AB46" sqref="AB46"/>
    </sheetView>
  </sheetViews>
  <sheetFormatPr defaultColWidth="8.72727272727273" defaultRowHeight="14.5"/>
  <cols>
    <col min="28" max="28" width="11.6363636363636"/>
    <col min="29" max="29" width="17.5454545454545"/>
    <col min="35" max="35" width="11.6363636363636"/>
    <col min="36" max="36" width="9.27272727272727"/>
    <col min="37" max="37" width="17.5454545454545"/>
  </cols>
  <sheetData>
    <row r="14" spans="32:32">
      <c r="AF14" s="9"/>
    </row>
    <row r="46" spans="28:28">
      <c r="AB46" t="s">
        <v>4388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opLeftCell="A7" workbookViewId="0">
      <selection activeCell="E5" sqref="E5"/>
    </sheetView>
  </sheetViews>
  <sheetFormatPr defaultColWidth="8.72727272727273" defaultRowHeight="14.5" outlineLevelCol="4"/>
  <cols>
    <col min="1" max="1" width="6" customWidth="1"/>
    <col min="2" max="2" width="16.2727272727273" customWidth="1"/>
    <col min="3" max="3" width="40.6363636363636" customWidth="1"/>
    <col min="4" max="4" width="44.7272727272727" customWidth="1"/>
    <col min="5" max="5" width="47.0909090909091" customWidth="1"/>
  </cols>
  <sheetData>
    <row r="1" spans="1:5">
      <c r="A1" s="1" t="s">
        <v>4389</v>
      </c>
      <c r="B1" s="2" t="s">
        <v>4390</v>
      </c>
      <c r="C1" s="2" t="s">
        <v>4391</v>
      </c>
      <c r="D1" s="2" t="s">
        <v>4392</v>
      </c>
      <c r="E1" s="2" t="s">
        <v>4393</v>
      </c>
    </row>
    <row r="2" spans="1:5">
      <c r="A2" s="3">
        <v>1</v>
      </c>
      <c r="B2" s="4" t="s">
        <v>4394</v>
      </c>
      <c r="C2" s="5" t="s">
        <v>4395</v>
      </c>
      <c r="D2" s="5" t="s">
        <v>4396</v>
      </c>
      <c r="E2" s="5" t="s">
        <v>4397</v>
      </c>
    </row>
    <row r="3" spans="1:5">
      <c r="A3" s="6">
        <v>2</v>
      </c>
      <c r="B3" s="7" t="s">
        <v>4331</v>
      </c>
      <c r="C3" s="8" t="s">
        <v>4398</v>
      </c>
      <c r="D3" s="8" t="s">
        <v>4399</v>
      </c>
      <c r="E3" s="8" t="s">
        <v>4400</v>
      </c>
    </row>
    <row r="4" spans="1:5">
      <c r="A4" s="3">
        <v>3</v>
      </c>
      <c r="B4" s="4" t="s">
        <v>4333</v>
      </c>
      <c r="C4" s="5" t="s">
        <v>4401</v>
      </c>
      <c r="D4" s="5" t="s">
        <v>4402</v>
      </c>
      <c r="E4" s="5" t="s">
        <v>4403</v>
      </c>
    </row>
    <row r="5" ht="25" spans="1:5">
      <c r="A5" s="6">
        <v>4</v>
      </c>
      <c r="B5" s="7" t="s">
        <v>4404</v>
      </c>
      <c r="C5" s="8" t="s">
        <v>4405</v>
      </c>
      <c r="D5" s="8" t="s">
        <v>4406</v>
      </c>
      <c r="E5" s="8" t="s">
        <v>4407</v>
      </c>
    </row>
    <row r="6" spans="1:5">
      <c r="A6" s="3">
        <v>5</v>
      </c>
      <c r="B6" s="4" t="s">
        <v>4404</v>
      </c>
      <c r="C6" s="5" t="s">
        <v>4408</v>
      </c>
      <c r="D6" s="5" t="s">
        <v>4409</v>
      </c>
      <c r="E6" s="5" t="s">
        <v>4410</v>
      </c>
    </row>
    <row r="7" ht="25" spans="1:5">
      <c r="A7" s="6">
        <v>6</v>
      </c>
      <c r="B7" s="7" t="s">
        <v>4411</v>
      </c>
      <c r="C7" s="8" t="s">
        <v>4412</v>
      </c>
      <c r="D7" s="8" t="s">
        <v>4413</v>
      </c>
      <c r="E7" s="8" t="s">
        <v>4414</v>
      </c>
    </row>
    <row r="8" ht="25" spans="1:5">
      <c r="A8" s="3">
        <v>7</v>
      </c>
      <c r="B8" s="4" t="s">
        <v>4415</v>
      </c>
      <c r="C8" s="5" t="s">
        <v>4416</v>
      </c>
      <c r="D8" s="5" t="s">
        <v>4417</v>
      </c>
      <c r="E8" s="5" t="s">
        <v>4418</v>
      </c>
    </row>
    <row r="9" spans="1:5">
      <c r="A9" s="6">
        <v>8</v>
      </c>
      <c r="B9" s="7" t="s">
        <v>4419</v>
      </c>
      <c r="C9" s="8" t="s">
        <v>4420</v>
      </c>
      <c r="D9" s="8" t="s">
        <v>4421</v>
      </c>
      <c r="E9" s="8" t="s">
        <v>4422</v>
      </c>
    </row>
    <row r="10" spans="1:5">
      <c r="A10" s="3">
        <v>9</v>
      </c>
      <c r="B10" s="4" t="s">
        <v>4423</v>
      </c>
      <c r="C10" s="5" t="s">
        <v>4424</v>
      </c>
      <c r="D10" s="5" t="s">
        <v>4425</v>
      </c>
      <c r="E10" s="5" t="s">
        <v>4426</v>
      </c>
    </row>
    <row r="11" ht="25" spans="1:5">
      <c r="A11" s="6">
        <v>10</v>
      </c>
      <c r="B11" s="7" t="s">
        <v>4427</v>
      </c>
      <c r="C11" s="8" t="s">
        <v>4428</v>
      </c>
      <c r="D11" s="8" t="s">
        <v>4429</v>
      </c>
      <c r="E11" s="8" t="s">
        <v>4430</v>
      </c>
    </row>
    <row r="12" ht="25" spans="1:5">
      <c r="A12" s="3">
        <v>11</v>
      </c>
      <c r="B12" s="4" t="s">
        <v>4431</v>
      </c>
      <c r="C12" s="5" t="s">
        <v>4432</v>
      </c>
      <c r="D12" s="5" t="s">
        <v>4433</v>
      </c>
      <c r="E12" s="5" t="s">
        <v>4434</v>
      </c>
    </row>
    <row r="13" spans="1:5">
      <c r="A13" s="6">
        <v>12</v>
      </c>
      <c r="B13" s="7" t="s">
        <v>4435</v>
      </c>
      <c r="C13" s="8" t="s">
        <v>4436</v>
      </c>
      <c r="D13" s="8" t="s">
        <v>4437</v>
      </c>
      <c r="E13" s="8" t="s">
        <v>4438</v>
      </c>
    </row>
    <row r="14" ht="25" spans="1:5">
      <c r="A14" s="3">
        <v>13</v>
      </c>
      <c r="B14" s="4" t="s">
        <v>4439</v>
      </c>
      <c r="C14" s="5" t="s">
        <v>4440</v>
      </c>
      <c r="D14" s="5" t="s">
        <v>4441</v>
      </c>
      <c r="E14" s="5" t="s">
        <v>4442</v>
      </c>
    </row>
    <row r="15" spans="1:5">
      <c r="A15" s="6">
        <v>14</v>
      </c>
      <c r="B15" s="7" t="s">
        <v>4439</v>
      </c>
      <c r="C15" s="8" t="s">
        <v>4443</v>
      </c>
      <c r="D15" s="8" t="s">
        <v>4444</v>
      </c>
      <c r="E15" s="8" t="s">
        <v>4445</v>
      </c>
    </row>
    <row r="16" spans="1:5">
      <c r="A16" s="3">
        <v>15</v>
      </c>
      <c r="B16" s="4" t="s">
        <v>4446</v>
      </c>
      <c r="C16" s="5" t="s">
        <v>4447</v>
      </c>
      <c r="D16" s="5" t="s">
        <v>4448</v>
      </c>
      <c r="E16" s="5" t="s">
        <v>4449</v>
      </c>
    </row>
    <row r="17" spans="1:5">
      <c r="A17" s="6">
        <v>16</v>
      </c>
      <c r="B17" s="7" t="s">
        <v>4446</v>
      </c>
      <c r="C17" s="8" t="s">
        <v>4450</v>
      </c>
      <c r="D17" s="8" t="s">
        <v>4451</v>
      </c>
      <c r="E17" s="8" t="s">
        <v>4452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Raw Data</vt:lpstr>
      <vt:lpstr>Cleaned Sheet</vt:lpstr>
      <vt:lpstr>Outlier Check</vt:lpstr>
      <vt:lpstr>Descriptive Statistics</vt:lpstr>
      <vt:lpstr>Pivot Tables</vt:lpstr>
      <vt:lpstr>Main Dashboard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2025-06-21T13:19:00Z</dcterms:created>
  <dcterms:modified xsi:type="dcterms:W3CDTF">2026-10-15T11:22:26Z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EE72533CBD064DD196366BADA75DE2EB_12</vt:lpwstr>
  </property>
  <property fmtid="{D5CDD505-2E9C-101B-9397-08002B2CF9AE}" pid="3" name="KSOProductBuildVer">
    <vt:lpwstr>2057-12.2.0.23206</vt:lpwstr>
  </property>
</Properties>
</file>